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3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4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drawings/drawing5.xml" ContentType="application/vnd.openxmlformats-officedocument.drawing+xml"/>
  <Override PartName="/xl/charts/chartEx5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3.xml" ContentType="application/vnd.openxmlformats-officedocument.themeOverride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4.xml" ContentType="application/vnd.openxmlformats-officedocument.themeOverride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5.xml" ContentType="application/vnd.openxmlformats-officedocument.themeOverride+xml"/>
  <Override PartName="/xl/charts/chart6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6.xml" ContentType="application/vnd.openxmlformats-officedocument.themeOverride+xml"/>
  <Override PartName="/xl/drawings/drawing9.xml" ContentType="application/vnd.openxmlformats-officedocument.drawing+xml"/>
  <Override PartName="/xl/charts/chart7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7.xml" ContentType="application/vnd.openxmlformats-officedocument.themeOverride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8.xml" ContentType="application/vnd.openxmlformats-officedocument.themeOverride+xml"/>
  <Override PartName="/xl/drawings/drawing11.xml" ContentType="application/vnd.openxmlformats-officedocument.drawing+xml"/>
  <Override PartName="/xl/charts/chart9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9.xml" ContentType="application/vnd.openxmlformats-officedocument.themeOverride+xml"/>
  <Override PartName="/xl/charts/chart10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10.xml" ContentType="application/vnd.openxmlformats-officedocument.themeOverrid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D:\Python\Bio_Cementation_Data_Analysis_added\"/>
    </mc:Choice>
  </mc:AlternateContent>
  <xr:revisionPtr revIDLastSave="0" documentId="13_ncr:1_{911EA61D-6F88-488C-A436-49900ECBF02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UCS" sheetId="1" r:id="rId1"/>
    <sheet name="NFMD_compared" sheetId="19" r:id="rId2"/>
    <sheet name="UCS_distribution" sheetId="17" r:id="rId3"/>
    <sheet name="Sheet7" sheetId="15" r:id="rId4"/>
    <sheet name="Treatment_method_vs_RD" sheetId="14" r:id="rId5"/>
    <sheet name="Chart1" sheetId="11" r:id="rId6"/>
    <sheet name="Almajed_vs_Cui" sheetId="10" r:id="rId7"/>
    <sheet name="van Passen vs Cui" sheetId="9" r:id="rId8"/>
    <sheet name="Beser_vs_Hui" sheetId="8" r:id="rId9"/>
    <sheet name="Permeability_Comparison" sheetId="18" r:id="rId10"/>
    <sheet name="Permeability" sheetId="2" r:id="rId11"/>
    <sheet name="Triaxial" sheetId="3" r:id="rId12"/>
    <sheet name="Sheet1" sheetId="4" r:id="rId13"/>
    <sheet name="Notes" sheetId="5" r:id="rId14"/>
    <sheet name="Sheet2" sheetId="6" r:id="rId15"/>
    <sheet name="Sheet3" sheetId="7" r:id="rId16"/>
    <sheet name="Sheet4" sheetId="12" r:id="rId17"/>
    <sheet name="Beser_vs_Liu_2017" sheetId="16" r:id="rId18"/>
    <sheet name="Sheet5" sheetId="13" r:id="rId19"/>
  </sheets>
  <definedNames>
    <definedName name="_xlchart.v1.0" hidden="1">UCS_distribution!$S$2:$S$573</definedName>
    <definedName name="_xlchart.v1.1" hidden="1">UCS_distribution!$T$2:$T$573</definedName>
    <definedName name="_xlchart.v1.10" hidden="1">Treatment_method_vs_RD!$B$204</definedName>
    <definedName name="_xlchart.v1.11" hidden="1">Treatment_method_vs_RD!$B$74</definedName>
    <definedName name="_xlchart.v1.2" hidden="1">UCS_distribution!$C$2:$C$573</definedName>
    <definedName name="_xlchart.v1.3" hidden="1">UCS_distribution!$B$2:$B$573</definedName>
    <definedName name="_xlchart.v1.4" hidden="1">Treatment_method_vs_RD!$A$195:$A$203</definedName>
    <definedName name="_xlchart.v1.5" hidden="1">Treatment_method_vs_RD!$A$204:$A$328</definedName>
    <definedName name="_xlchart.v1.6" hidden="1">Treatment_method_vs_RD!$A$2:$A$73</definedName>
    <definedName name="_xlchart.v1.7" hidden="1">Treatment_method_vs_RD!$A$74:$A$194</definedName>
    <definedName name="_xlchart.v1.8" hidden="1">Treatment_method_vs_RD!$B$195</definedName>
    <definedName name="_xlchart.v1.9" hidden="1">Treatment_method_vs_RD!$B$2</definedName>
  </definedNames>
  <calcPr calcId="191029"/>
  <pivotCaches>
    <pivotCache cacheId="0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3" i="19" l="1"/>
  <c r="AL4" i="19"/>
  <c r="AL5" i="19"/>
  <c r="AL6" i="19"/>
  <c r="AL7" i="19"/>
  <c r="AL8" i="19"/>
  <c r="AL9" i="19"/>
  <c r="AL10" i="19"/>
  <c r="AL11" i="19"/>
  <c r="AL12" i="19"/>
  <c r="AL13" i="19"/>
  <c r="AL14" i="19"/>
  <c r="AL15" i="19"/>
  <c r="AL16" i="19"/>
  <c r="AL17" i="19"/>
  <c r="AL18" i="19"/>
  <c r="AL19" i="19"/>
  <c r="AL20" i="19"/>
  <c r="AL21" i="19"/>
  <c r="AL22" i="19"/>
  <c r="AL23" i="19"/>
  <c r="AL24" i="19"/>
  <c r="AL25" i="19"/>
  <c r="AL26" i="19"/>
  <c r="AL27" i="19"/>
  <c r="AL28" i="19"/>
  <c r="AL29" i="19"/>
  <c r="AL30" i="19"/>
  <c r="AL31" i="19"/>
  <c r="AL32" i="19"/>
  <c r="AL33" i="19"/>
  <c r="AL34" i="19"/>
  <c r="AL35" i="19"/>
  <c r="AL36" i="19"/>
  <c r="AL37" i="19"/>
  <c r="AL38" i="19"/>
  <c r="AL39" i="19"/>
  <c r="AL40" i="19"/>
  <c r="AL41" i="19"/>
  <c r="AL42" i="19"/>
  <c r="AL43" i="19"/>
  <c r="AL44" i="19"/>
  <c r="AL45" i="19"/>
  <c r="AL46" i="19"/>
  <c r="AL47" i="19"/>
  <c r="AL48" i="19"/>
  <c r="AL49" i="19"/>
  <c r="AL50" i="19"/>
  <c r="AL51" i="19"/>
  <c r="AL52" i="19"/>
  <c r="AL53" i="19"/>
  <c r="AL54" i="19"/>
  <c r="AL55" i="19"/>
  <c r="AL56" i="19"/>
  <c r="AL57" i="19"/>
  <c r="AL58" i="19"/>
  <c r="AL59" i="19"/>
  <c r="AL60" i="19"/>
  <c r="AL61" i="19"/>
  <c r="AL62" i="19"/>
  <c r="AL63" i="19"/>
  <c r="AL64" i="19"/>
  <c r="AL65" i="19"/>
  <c r="AL66" i="19"/>
  <c r="AL67" i="19"/>
  <c r="AL68" i="19"/>
  <c r="AL69" i="19"/>
  <c r="AL70" i="19"/>
  <c r="AL71" i="19"/>
  <c r="AL72" i="19"/>
  <c r="AL73" i="19"/>
  <c r="AL74" i="19"/>
  <c r="AL75" i="19"/>
  <c r="AL76" i="19"/>
  <c r="AL77" i="19"/>
  <c r="AL78" i="19"/>
  <c r="AL79" i="19"/>
  <c r="AL80" i="19"/>
  <c r="AL81" i="19"/>
  <c r="AL82" i="19"/>
  <c r="AL83" i="19"/>
  <c r="AL84" i="19"/>
  <c r="AL85" i="19"/>
  <c r="AL86" i="19"/>
  <c r="AL87" i="19"/>
  <c r="AL88" i="19"/>
  <c r="AL89" i="19"/>
  <c r="AL90" i="19"/>
  <c r="AL91" i="19"/>
  <c r="AL92" i="19"/>
  <c r="AL93" i="19"/>
  <c r="AL94" i="19"/>
  <c r="AL95" i="19"/>
  <c r="AL96" i="19"/>
  <c r="AL97" i="19"/>
  <c r="AL98" i="19"/>
  <c r="AL99" i="19"/>
  <c r="AL100" i="19"/>
  <c r="AL101" i="19"/>
  <c r="AL102" i="19"/>
  <c r="AL103" i="19"/>
  <c r="AL104" i="19"/>
  <c r="AL105" i="19"/>
  <c r="AL106" i="19"/>
  <c r="AL107" i="19"/>
  <c r="AL108" i="19"/>
  <c r="AL109" i="19"/>
  <c r="AL110" i="19"/>
  <c r="AL111" i="19"/>
  <c r="AL112" i="19"/>
  <c r="AL113" i="19"/>
  <c r="AL114" i="19"/>
  <c r="AL115" i="19"/>
  <c r="AL116" i="19"/>
  <c r="AL117" i="19"/>
  <c r="AL118" i="19"/>
  <c r="AL119" i="19"/>
  <c r="AL120" i="19"/>
  <c r="AL121" i="19"/>
  <c r="AL122" i="19"/>
  <c r="AL123" i="19"/>
  <c r="AL124" i="19"/>
  <c r="AL125" i="19"/>
  <c r="AL126" i="19"/>
  <c r="AL127" i="19"/>
  <c r="AL128" i="19"/>
  <c r="AL129" i="19"/>
  <c r="AL130" i="19"/>
  <c r="AL131" i="19"/>
  <c r="AL132" i="19"/>
  <c r="AL133" i="19"/>
  <c r="AL134" i="19"/>
  <c r="AL135" i="19"/>
  <c r="AL136" i="19"/>
  <c r="AL137" i="19"/>
  <c r="AL138" i="19"/>
  <c r="AL139" i="19"/>
  <c r="AL140" i="19"/>
  <c r="AL141" i="19"/>
  <c r="AL142" i="19"/>
  <c r="AL143" i="19"/>
  <c r="AL144" i="19"/>
  <c r="AL145" i="19"/>
  <c r="AL146" i="19"/>
  <c r="AL147" i="19"/>
  <c r="AL148" i="19"/>
  <c r="AL149" i="19"/>
  <c r="AL150" i="19"/>
  <c r="AL151" i="19"/>
  <c r="AL152" i="19"/>
  <c r="AL153" i="19"/>
  <c r="AL154" i="19"/>
  <c r="AL155" i="19"/>
  <c r="AL156" i="19"/>
  <c r="AL157" i="19"/>
  <c r="AL158" i="19"/>
  <c r="AL159" i="19"/>
  <c r="AL160" i="19"/>
  <c r="AL161" i="19"/>
  <c r="AL162" i="19"/>
  <c r="AL163" i="19"/>
  <c r="AL164" i="19"/>
  <c r="AL165" i="19"/>
  <c r="AL166" i="19"/>
  <c r="AL167" i="19"/>
  <c r="AL168" i="19"/>
  <c r="AL169" i="19"/>
  <c r="AL170" i="19"/>
  <c r="AL171" i="19"/>
  <c r="AL172" i="19"/>
  <c r="AL173" i="19"/>
  <c r="AL174" i="19"/>
  <c r="AL175" i="19"/>
  <c r="AL176" i="19"/>
  <c r="AL177" i="19"/>
  <c r="AL178" i="19"/>
  <c r="AL179" i="19"/>
  <c r="AL180" i="19"/>
  <c r="AL181" i="19"/>
  <c r="AL182" i="19"/>
  <c r="AL183" i="19"/>
  <c r="AL184" i="19"/>
  <c r="AL185" i="19"/>
  <c r="AL186" i="19"/>
  <c r="AL187" i="19"/>
  <c r="AL188" i="19"/>
  <c r="AL189" i="19"/>
  <c r="AL190" i="19"/>
  <c r="AL191" i="19"/>
  <c r="AL192" i="19"/>
  <c r="AL193" i="19"/>
  <c r="AL194" i="19"/>
  <c r="AL195" i="19"/>
  <c r="AL196" i="19"/>
  <c r="AL197" i="19"/>
  <c r="AL198" i="19"/>
  <c r="AL199" i="19"/>
  <c r="AL200" i="19"/>
  <c r="AL201" i="19"/>
  <c r="AL202" i="19"/>
  <c r="AL203" i="19"/>
  <c r="AL204" i="19"/>
  <c r="AL205" i="19"/>
  <c r="AL206" i="19"/>
  <c r="AL207" i="19"/>
  <c r="AL208" i="19"/>
  <c r="AL209" i="19"/>
  <c r="AL210" i="19"/>
  <c r="AL211" i="19"/>
  <c r="AL212" i="19"/>
  <c r="AL2" i="19"/>
  <c r="AE127" i="19"/>
  <c r="R127" i="19"/>
  <c r="P127" i="19"/>
  <c r="O127" i="19"/>
  <c r="M127" i="19" s="1"/>
  <c r="AE126" i="19"/>
  <c r="R126" i="19"/>
  <c r="P126" i="19"/>
  <c r="O126" i="19"/>
  <c r="M126" i="19" s="1"/>
  <c r="AE125" i="19"/>
  <c r="R125" i="19"/>
  <c r="P125" i="19"/>
  <c r="O125" i="19"/>
  <c r="M125" i="19" s="1"/>
  <c r="AE124" i="19"/>
  <c r="R124" i="19"/>
  <c r="P124" i="19"/>
  <c r="O124" i="19"/>
  <c r="M124" i="19" s="1"/>
  <c r="AE123" i="19"/>
  <c r="R123" i="19"/>
  <c r="P123" i="19"/>
  <c r="O123" i="19"/>
  <c r="M123" i="19" s="1"/>
  <c r="AE122" i="19"/>
  <c r="R122" i="19"/>
  <c r="P122" i="19"/>
  <c r="O122" i="19"/>
  <c r="M122" i="19" s="1"/>
  <c r="AE121" i="19"/>
  <c r="R121" i="19"/>
  <c r="P121" i="19"/>
  <c r="O121" i="19"/>
  <c r="M121" i="19" s="1"/>
  <c r="AE120" i="19"/>
  <c r="R120" i="19"/>
  <c r="P120" i="19"/>
  <c r="O120" i="19"/>
  <c r="M120" i="19" s="1"/>
  <c r="AE119" i="19"/>
  <c r="R119" i="19"/>
  <c r="P119" i="19"/>
  <c r="O119" i="19"/>
  <c r="M119" i="19" s="1"/>
  <c r="S33" i="19"/>
  <c r="S32" i="19"/>
  <c r="S31" i="19"/>
  <c r="S30" i="19"/>
  <c r="S29" i="19"/>
  <c r="S28" i="19"/>
  <c r="S27" i="19"/>
  <c r="S26" i="19"/>
  <c r="S25" i="19"/>
  <c r="S24" i="19"/>
  <c r="S23" i="19"/>
  <c r="S22" i="19"/>
  <c r="S21" i="19"/>
  <c r="S20" i="19"/>
  <c r="S19" i="19"/>
  <c r="S18" i="19"/>
  <c r="S17" i="19"/>
  <c r="S16" i="19"/>
  <c r="S15" i="19"/>
  <c r="S14" i="19"/>
  <c r="S13" i="19"/>
  <c r="T2" i="17" a="1"/>
  <c r="T2" i="17" s="1"/>
  <c r="C3" i="17"/>
  <c r="C4" i="17"/>
  <c r="C5" i="17"/>
  <c r="C6" i="17"/>
  <c r="C7" i="17"/>
  <c r="C8" i="17"/>
  <c r="C9" i="17"/>
  <c r="C10" i="17"/>
  <c r="C11" i="17"/>
  <c r="C12" i="17"/>
  <c r="C13" i="17"/>
  <c r="C14" i="17"/>
  <c r="C15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1" i="17"/>
  <c r="C32" i="17"/>
  <c r="C33" i="17"/>
  <c r="C34" i="17"/>
  <c r="C35" i="17"/>
  <c r="C36" i="17"/>
  <c r="C37" i="17"/>
  <c r="C38" i="17"/>
  <c r="C39" i="17"/>
  <c r="C40" i="17"/>
  <c r="C41" i="17"/>
  <c r="C42" i="17"/>
  <c r="C43" i="17"/>
  <c r="C44" i="17"/>
  <c r="C45" i="17"/>
  <c r="C46" i="17"/>
  <c r="C47" i="17"/>
  <c r="C48" i="17"/>
  <c r="C49" i="17"/>
  <c r="C50" i="17"/>
  <c r="C51" i="17"/>
  <c r="C52" i="17"/>
  <c r="C53" i="17"/>
  <c r="C54" i="17"/>
  <c r="C55" i="17"/>
  <c r="C56" i="17"/>
  <c r="C57" i="17"/>
  <c r="C58" i="17"/>
  <c r="C59" i="17"/>
  <c r="C60" i="17"/>
  <c r="C61" i="17"/>
  <c r="C62" i="17"/>
  <c r="C63" i="17"/>
  <c r="C64" i="17"/>
  <c r="C65" i="17"/>
  <c r="C66" i="17"/>
  <c r="C67" i="17"/>
  <c r="C68" i="17"/>
  <c r="C69" i="17"/>
  <c r="C70" i="17"/>
  <c r="C71" i="17"/>
  <c r="C72" i="17"/>
  <c r="C73" i="17"/>
  <c r="C74" i="17"/>
  <c r="C75" i="17"/>
  <c r="C76" i="17"/>
  <c r="C77" i="17"/>
  <c r="C78" i="17"/>
  <c r="C79" i="17"/>
  <c r="C80" i="17"/>
  <c r="C81" i="17"/>
  <c r="C82" i="17"/>
  <c r="C83" i="17"/>
  <c r="C84" i="17"/>
  <c r="C85" i="17"/>
  <c r="C86" i="17"/>
  <c r="C87" i="17"/>
  <c r="C88" i="17"/>
  <c r="C89" i="17"/>
  <c r="C90" i="17"/>
  <c r="C91" i="17"/>
  <c r="C92" i="17"/>
  <c r="C93" i="17"/>
  <c r="C94" i="17"/>
  <c r="C95" i="17"/>
  <c r="C96" i="17"/>
  <c r="C97" i="17"/>
  <c r="C98" i="17"/>
  <c r="C99" i="17"/>
  <c r="C100" i="17"/>
  <c r="C101" i="17"/>
  <c r="C102" i="17"/>
  <c r="C103" i="17"/>
  <c r="C104" i="17"/>
  <c r="C105" i="17"/>
  <c r="C106" i="17"/>
  <c r="C107" i="17"/>
  <c r="C108" i="17"/>
  <c r="C109" i="17"/>
  <c r="C110" i="17"/>
  <c r="C111" i="17"/>
  <c r="C112" i="17"/>
  <c r="C113" i="17"/>
  <c r="C114" i="17"/>
  <c r="C115" i="17"/>
  <c r="C116" i="17"/>
  <c r="C117" i="17"/>
  <c r="C118" i="17"/>
  <c r="C119" i="17"/>
  <c r="C120" i="17"/>
  <c r="C121" i="17"/>
  <c r="C122" i="17"/>
  <c r="C123" i="17"/>
  <c r="C124" i="17"/>
  <c r="C125" i="17"/>
  <c r="C126" i="17"/>
  <c r="C127" i="17"/>
  <c r="C128" i="17"/>
  <c r="C129" i="17"/>
  <c r="C130" i="17"/>
  <c r="C131" i="17"/>
  <c r="C132" i="17"/>
  <c r="C133" i="17"/>
  <c r="C134" i="17"/>
  <c r="C135" i="17"/>
  <c r="C136" i="17"/>
  <c r="C137" i="17"/>
  <c r="C138" i="17"/>
  <c r="C139" i="17"/>
  <c r="C140" i="17"/>
  <c r="C141" i="17"/>
  <c r="C142" i="17"/>
  <c r="C143" i="17"/>
  <c r="C144" i="17"/>
  <c r="C145" i="17"/>
  <c r="C146" i="17"/>
  <c r="C147" i="17"/>
  <c r="C148" i="17"/>
  <c r="C149" i="17"/>
  <c r="C150" i="17"/>
  <c r="C151" i="17"/>
  <c r="C152" i="17"/>
  <c r="C153" i="17"/>
  <c r="C154" i="17"/>
  <c r="C155" i="17"/>
  <c r="C156" i="17"/>
  <c r="C157" i="17"/>
  <c r="C158" i="17"/>
  <c r="C159" i="17"/>
  <c r="C160" i="17"/>
  <c r="C161" i="17"/>
  <c r="C162" i="17"/>
  <c r="C163" i="17"/>
  <c r="C164" i="17"/>
  <c r="C165" i="17"/>
  <c r="C166" i="17"/>
  <c r="C167" i="17"/>
  <c r="C168" i="17"/>
  <c r="C169" i="17"/>
  <c r="C170" i="17"/>
  <c r="C171" i="17"/>
  <c r="C172" i="17"/>
  <c r="C173" i="17"/>
  <c r="C174" i="17"/>
  <c r="C175" i="17"/>
  <c r="C176" i="17"/>
  <c r="C177" i="17"/>
  <c r="C178" i="17"/>
  <c r="C179" i="17"/>
  <c r="C180" i="17"/>
  <c r="C181" i="17"/>
  <c r="C182" i="17"/>
  <c r="C183" i="17"/>
  <c r="C184" i="17"/>
  <c r="C185" i="17"/>
  <c r="C186" i="17"/>
  <c r="C187" i="17"/>
  <c r="C188" i="17"/>
  <c r="C189" i="17"/>
  <c r="C190" i="17"/>
  <c r="C191" i="17"/>
  <c r="C192" i="17"/>
  <c r="C193" i="17"/>
  <c r="C194" i="17"/>
  <c r="C195" i="17"/>
  <c r="C196" i="17"/>
  <c r="C197" i="17"/>
  <c r="C198" i="17"/>
  <c r="C199" i="17"/>
  <c r="C200" i="17"/>
  <c r="C201" i="17"/>
  <c r="C202" i="17"/>
  <c r="C203" i="17"/>
  <c r="C204" i="17"/>
  <c r="C205" i="17"/>
  <c r="C206" i="17"/>
  <c r="C207" i="17"/>
  <c r="C208" i="17"/>
  <c r="C209" i="17"/>
  <c r="C210" i="17"/>
  <c r="C211" i="17"/>
  <c r="C212" i="17"/>
  <c r="C213" i="17"/>
  <c r="C214" i="17"/>
  <c r="C215" i="17"/>
  <c r="C216" i="17"/>
  <c r="C217" i="17"/>
  <c r="C218" i="17"/>
  <c r="C219" i="17"/>
  <c r="C220" i="17"/>
  <c r="C221" i="17"/>
  <c r="C222" i="17"/>
  <c r="C223" i="17"/>
  <c r="C224" i="17"/>
  <c r="C225" i="17"/>
  <c r="C226" i="17"/>
  <c r="C227" i="17"/>
  <c r="C228" i="17"/>
  <c r="C229" i="17"/>
  <c r="C230" i="17"/>
  <c r="C231" i="17"/>
  <c r="C232" i="17"/>
  <c r="C233" i="17"/>
  <c r="C234" i="17"/>
  <c r="C235" i="17"/>
  <c r="C236" i="17"/>
  <c r="C237" i="17"/>
  <c r="C238" i="17"/>
  <c r="C239" i="17"/>
  <c r="C240" i="17"/>
  <c r="C241" i="17"/>
  <c r="C242" i="17"/>
  <c r="C243" i="17"/>
  <c r="C244" i="17"/>
  <c r="C245" i="17"/>
  <c r="C246" i="17"/>
  <c r="C247" i="17"/>
  <c r="C248" i="17"/>
  <c r="C249" i="17"/>
  <c r="C250" i="17"/>
  <c r="C251" i="17"/>
  <c r="C252" i="17"/>
  <c r="C253" i="17"/>
  <c r="C254" i="17"/>
  <c r="C255" i="17"/>
  <c r="C256" i="17"/>
  <c r="C257" i="17"/>
  <c r="C258" i="17"/>
  <c r="C259" i="17"/>
  <c r="C260" i="17"/>
  <c r="C261" i="17"/>
  <c r="C262" i="17"/>
  <c r="C263" i="17"/>
  <c r="C264" i="17"/>
  <c r="C265" i="17"/>
  <c r="C266" i="17"/>
  <c r="C267" i="17"/>
  <c r="C268" i="17"/>
  <c r="C269" i="17"/>
  <c r="C270" i="17"/>
  <c r="C271" i="17"/>
  <c r="C272" i="17"/>
  <c r="C273" i="17"/>
  <c r="C274" i="17"/>
  <c r="C275" i="17"/>
  <c r="C276" i="17"/>
  <c r="C277" i="17"/>
  <c r="C278" i="17"/>
  <c r="C279" i="17"/>
  <c r="C280" i="17"/>
  <c r="C281" i="17"/>
  <c r="C282" i="17"/>
  <c r="C283" i="17"/>
  <c r="C284" i="17"/>
  <c r="C285" i="17"/>
  <c r="C286" i="17"/>
  <c r="C287" i="17"/>
  <c r="C288" i="17"/>
  <c r="C289" i="17"/>
  <c r="C290" i="17"/>
  <c r="C291" i="17"/>
  <c r="C292" i="17"/>
  <c r="C293" i="17"/>
  <c r="C294" i="17"/>
  <c r="C295" i="17"/>
  <c r="C296" i="17"/>
  <c r="C297" i="17"/>
  <c r="C298" i="17"/>
  <c r="C299" i="17"/>
  <c r="C300" i="17"/>
  <c r="C301" i="17"/>
  <c r="C302" i="17"/>
  <c r="C303" i="17"/>
  <c r="C304" i="17"/>
  <c r="C305" i="17"/>
  <c r="C306" i="17"/>
  <c r="C307" i="17"/>
  <c r="C308" i="17"/>
  <c r="C309" i="17"/>
  <c r="C310" i="17"/>
  <c r="C311" i="17"/>
  <c r="C312" i="17"/>
  <c r="C313" i="17"/>
  <c r="C314" i="17"/>
  <c r="C315" i="17"/>
  <c r="C316" i="17"/>
  <c r="C317" i="17"/>
  <c r="C318" i="17"/>
  <c r="C319" i="17"/>
  <c r="C320" i="17"/>
  <c r="C321" i="17"/>
  <c r="C322" i="17"/>
  <c r="C323" i="17"/>
  <c r="C324" i="17"/>
  <c r="C325" i="17"/>
  <c r="C326" i="17"/>
  <c r="C327" i="17"/>
  <c r="C328" i="17"/>
  <c r="C329" i="17"/>
  <c r="C330" i="17"/>
  <c r="C331" i="17"/>
  <c r="C332" i="17"/>
  <c r="C333" i="17"/>
  <c r="C334" i="17"/>
  <c r="C335" i="17"/>
  <c r="C336" i="17"/>
  <c r="C337" i="17"/>
  <c r="C338" i="17"/>
  <c r="C339" i="17"/>
  <c r="C340" i="17"/>
  <c r="C341" i="17"/>
  <c r="C342" i="17"/>
  <c r="C343" i="17"/>
  <c r="C344" i="17"/>
  <c r="C345" i="17"/>
  <c r="C346" i="17"/>
  <c r="C347" i="17"/>
  <c r="C348" i="17"/>
  <c r="C349" i="17"/>
  <c r="C350" i="17"/>
  <c r="C351" i="17"/>
  <c r="C352" i="17"/>
  <c r="C353" i="17"/>
  <c r="C354" i="17"/>
  <c r="C355" i="17"/>
  <c r="C356" i="17"/>
  <c r="C357" i="17"/>
  <c r="C358" i="17"/>
  <c r="C359" i="17"/>
  <c r="C360" i="17"/>
  <c r="C361" i="17"/>
  <c r="C362" i="17"/>
  <c r="C363" i="17"/>
  <c r="C364" i="17"/>
  <c r="C365" i="17"/>
  <c r="C366" i="17"/>
  <c r="C367" i="17"/>
  <c r="C368" i="17"/>
  <c r="C369" i="17"/>
  <c r="C370" i="17"/>
  <c r="C371" i="17"/>
  <c r="C372" i="17"/>
  <c r="C373" i="17"/>
  <c r="C374" i="17"/>
  <c r="C375" i="17"/>
  <c r="C376" i="17"/>
  <c r="C377" i="17"/>
  <c r="C378" i="17"/>
  <c r="C379" i="17"/>
  <c r="C380" i="17"/>
  <c r="C381" i="17"/>
  <c r="C382" i="17"/>
  <c r="C383" i="17"/>
  <c r="C384" i="17"/>
  <c r="C385" i="17"/>
  <c r="C386" i="17"/>
  <c r="C387" i="17"/>
  <c r="C388" i="17"/>
  <c r="C389" i="17"/>
  <c r="C390" i="17"/>
  <c r="C391" i="17"/>
  <c r="C392" i="17"/>
  <c r="C393" i="17"/>
  <c r="C394" i="17"/>
  <c r="C395" i="17"/>
  <c r="C396" i="17"/>
  <c r="C397" i="17"/>
  <c r="C398" i="17"/>
  <c r="C399" i="17"/>
  <c r="C400" i="17"/>
  <c r="C401" i="17"/>
  <c r="C402" i="17"/>
  <c r="C403" i="17"/>
  <c r="C404" i="17"/>
  <c r="C405" i="17"/>
  <c r="C406" i="17"/>
  <c r="C407" i="17"/>
  <c r="C408" i="17"/>
  <c r="C409" i="17"/>
  <c r="C410" i="17"/>
  <c r="C411" i="17"/>
  <c r="C412" i="17"/>
  <c r="C413" i="17"/>
  <c r="C414" i="17"/>
  <c r="C415" i="17"/>
  <c r="C416" i="17"/>
  <c r="C417" i="17"/>
  <c r="C418" i="17"/>
  <c r="C419" i="17"/>
  <c r="C420" i="17"/>
  <c r="C421" i="17"/>
  <c r="C422" i="17"/>
  <c r="C423" i="17"/>
  <c r="C424" i="17"/>
  <c r="C425" i="17"/>
  <c r="C426" i="17"/>
  <c r="C427" i="17"/>
  <c r="C428" i="17"/>
  <c r="C429" i="17"/>
  <c r="C430" i="17"/>
  <c r="C431" i="17"/>
  <c r="C432" i="17"/>
  <c r="C433" i="17"/>
  <c r="C434" i="17"/>
  <c r="C435" i="17"/>
  <c r="C436" i="17"/>
  <c r="C437" i="17"/>
  <c r="C438" i="17"/>
  <c r="C439" i="17"/>
  <c r="C440" i="17"/>
  <c r="C441" i="17"/>
  <c r="C442" i="17"/>
  <c r="C443" i="17"/>
  <c r="C444" i="17"/>
  <c r="C445" i="17"/>
  <c r="C446" i="17"/>
  <c r="C447" i="17"/>
  <c r="C448" i="17"/>
  <c r="C449" i="17"/>
  <c r="C450" i="17"/>
  <c r="C451" i="17"/>
  <c r="C452" i="17"/>
  <c r="C453" i="17"/>
  <c r="C454" i="17"/>
  <c r="C455" i="17"/>
  <c r="C456" i="17"/>
  <c r="C457" i="17"/>
  <c r="C458" i="17"/>
  <c r="C459" i="17"/>
  <c r="C460" i="17"/>
  <c r="C461" i="17"/>
  <c r="C462" i="17"/>
  <c r="C463" i="17"/>
  <c r="C464" i="17"/>
  <c r="C465" i="17"/>
  <c r="C466" i="17"/>
  <c r="C467" i="17"/>
  <c r="C468" i="17"/>
  <c r="C469" i="17"/>
  <c r="C470" i="17"/>
  <c r="C471" i="17"/>
  <c r="C472" i="17"/>
  <c r="C473" i="17"/>
  <c r="C474" i="17"/>
  <c r="C475" i="17"/>
  <c r="C476" i="17"/>
  <c r="C477" i="17"/>
  <c r="C478" i="17"/>
  <c r="C479" i="17"/>
  <c r="C480" i="17"/>
  <c r="C481" i="17"/>
  <c r="C482" i="17"/>
  <c r="C483" i="17"/>
  <c r="C484" i="17"/>
  <c r="C485" i="17"/>
  <c r="C486" i="17"/>
  <c r="C487" i="17"/>
  <c r="C488" i="17"/>
  <c r="C489" i="17"/>
  <c r="C490" i="17"/>
  <c r="C491" i="17"/>
  <c r="C492" i="17"/>
  <c r="C493" i="17"/>
  <c r="C494" i="17"/>
  <c r="C495" i="17"/>
  <c r="C496" i="17"/>
  <c r="C497" i="17"/>
  <c r="C498" i="17"/>
  <c r="C499" i="17"/>
  <c r="C500" i="17"/>
  <c r="C501" i="17"/>
  <c r="C502" i="17"/>
  <c r="C503" i="17"/>
  <c r="C504" i="17"/>
  <c r="C505" i="17"/>
  <c r="C506" i="17"/>
  <c r="C507" i="17"/>
  <c r="C508" i="17"/>
  <c r="C509" i="17"/>
  <c r="C510" i="17"/>
  <c r="C511" i="17"/>
  <c r="C512" i="17"/>
  <c r="C513" i="17"/>
  <c r="C514" i="17"/>
  <c r="C515" i="17"/>
  <c r="C516" i="17"/>
  <c r="C517" i="17"/>
  <c r="C518" i="17"/>
  <c r="C519" i="17"/>
  <c r="C520" i="17"/>
  <c r="C521" i="17"/>
  <c r="C522" i="17"/>
  <c r="C523" i="17"/>
  <c r="C524" i="17"/>
  <c r="C525" i="17"/>
  <c r="C526" i="17"/>
  <c r="C527" i="17"/>
  <c r="C528" i="17"/>
  <c r="C529" i="17"/>
  <c r="C530" i="17"/>
  <c r="C531" i="17"/>
  <c r="C532" i="17"/>
  <c r="C533" i="17"/>
  <c r="C534" i="17"/>
  <c r="C535" i="17"/>
  <c r="C536" i="17"/>
  <c r="C537" i="17"/>
  <c r="C538" i="17"/>
  <c r="C539" i="17"/>
  <c r="C540" i="17"/>
  <c r="C541" i="17"/>
  <c r="C542" i="17"/>
  <c r="C543" i="17"/>
  <c r="C544" i="17"/>
  <c r="C545" i="17"/>
  <c r="C546" i="17"/>
  <c r="C547" i="17"/>
  <c r="C548" i="17"/>
  <c r="C549" i="17"/>
  <c r="C550" i="17"/>
  <c r="C551" i="17"/>
  <c r="C552" i="17"/>
  <c r="C553" i="17"/>
  <c r="C554" i="17"/>
  <c r="C555" i="17"/>
  <c r="C556" i="17"/>
  <c r="C557" i="17"/>
  <c r="C558" i="17"/>
  <c r="C559" i="17"/>
  <c r="C560" i="17"/>
  <c r="C561" i="17"/>
  <c r="C562" i="17"/>
  <c r="C563" i="17"/>
  <c r="C564" i="17"/>
  <c r="C565" i="17"/>
  <c r="C566" i="17"/>
  <c r="C567" i="17"/>
  <c r="C568" i="17"/>
  <c r="C569" i="17"/>
  <c r="C570" i="17"/>
  <c r="C571" i="17"/>
  <c r="C572" i="17"/>
  <c r="C573" i="17"/>
  <c r="C2" i="17"/>
  <c r="G3" i="17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3" i="17"/>
  <c r="F74" i="17"/>
  <c r="F75" i="17"/>
  <c r="F76" i="17"/>
  <c r="F77" i="17"/>
  <c r="F78" i="17"/>
  <c r="F79" i="17"/>
  <c r="F80" i="17"/>
  <c r="F81" i="17"/>
  <c r="F82" i="17"/>
  <c r="F83" i="17"/>
  <c r="F84" i="17"/>
  <c r="F85" i="17"/>
  <c r="F86" i="17"/>
  <c r="F87" i="17"/>
  <c r="F88" i="17"/>
  <c r="F89" i="17"/>
  <c r="F90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F121" i="17"/>
  <c r="F122" i="17"/>
  <c r="F123" i="17"/>
  <c r="F124" i="17"/>
  <c r="F125" i="17"/>
  <c r="F126" i="17"/>
  <c r="F127" i="17"/>
  <c r="F128" i="17"/>
  <c r="F129" i="17"/>
  <c r="F130" i="17"/>
  <c r="F131" i="17"/>
  <c r="F132" i="17"/>
  <c r="F133" i="17"/>
  <c r="F134" i="17"/>
  <c r="F135" i="17"/>
  <c r="F136" i="17"/>
  <c r="F137" i="17"/>
  <c r="F138" i="17"/>
  <c r="F139" i="17"/>
  <c r="F140" i="17"/>
  <c r="F141" i="17"/>
  <c r="F142" i="17"/>
  <c r="F143" i="17"/>
  <c r="F144" i="17"/>
  <c r="F145" i="17"/>
  <c r="F146" i="17"/>
  <c r="F147" i="17"/>
  <c r="F148" i="17"/>
  <c r="F149" i="17"/>
  <c r="F150" i="17"/>
  <c r="F151" i="17"/>
  <c r="F152" i="17"/>
  <c r="F153" i="17"/>
  <c r="F154" i="17"/>
  <c r="F155" i="17"/>
  <c r="F156" i="17"/>
  <c r="F157" i="17"/>
  <c r="F158" i="17"/>
  <c r="F159" i="17"/>
  <c r="F160" i="17"/>
  <c r="F161" i="17"/>
  <c r="F162" i="17"/>
  <c r="F163" i="17"/>
  <c r="F164" i="17"/>
  <c r="F165" i="17"/>
  <c r="F166" i="17"/>
  <c r="F167" i="17"/>
  <c r="F168" i="17"/>
  <c r="F169" i="17"/>
  <c r="F170" i="17"/>
  <c r="F171" i="17"/>
  <c r="F172" i="17"/>
  <c r="F173" i="17"/>
  <c r="F174" i="17"/>
  <c r="F175" i="17"/>
  <c r="F176" i="17"/>
  <c r="F177" i="17"/>
  <c r="F178" i="17"/>
  <c r="F179" i="17"/>
  <c r="F180" i="17"/>
  <c r="F181" i="17"/>
  <c r="F182" i="17"/>
  <c r="F183" i="17"/>
  <c r="F184" i="17"/>
  <c r="F185" i="17"/>
  <c r="F186" i="17"/>
  <c r="F187" i="17"/>
  <c r="F188" i="17"/>
  <c r="F189" i="17"/>
  <c r="F190" i="17"/>
  <c r="F191" i="17"/>
  <c r="F192" i="17"/>
  <c r="F193" i="17"/>
  <c r="F194" i="17"/>
  <c r="F195" i="17"/>
  <c r="F196" i="17"/>
  <c r="F197" i="17"/>
  <c r="F198" i="17"/>
  <c r="F199" i="17"/>
  <c r="F200" i="17"/>
  <c r="F201" i="17"/>
  <c r="F202" i="17"/>
  <c r="F203" i="17"/>
  <c r="F204" i="17"/>
  <c r="F205" i="17"/>
  <c r="F206" i="17"/>
  <c r="F207" i="17"/>
  <c r="F208" i="17"/>
  <c r="F209" i="17"/>
  <c r="F210" i="17"/>
  <c r="F211" i="17"/>
  <c r="F212" i="17"/>
  <c r="F213" i="17"/>
  <c r="F214" i="17"/>
  <c r="F215" i="17"/>
  <c r="F216" i="17"/>
  <c r="F217" i="17"/>
  <c r="F218" i="17"/>
  <c r="F219" i="17"/>
  <c r="F220" i="17"/>
  <c r="F221" i="17"/>
  <c r="F222" i="17"/>
  <c r="F223" i="17"/>
  <c r="F224" i="17"/>
  <c r="F225" i="17"/>
  <c r="F226" i="17"/>
  <c r="F227" i="17"/>
  <c r="F228" i="17"/>
  <c r="F229" i="17"/>
  <c r="F230" i="17"/>
  <c r="F231" i="17"/>
  <c r="F232" i="17"/>
  <c r="F233" i="17"/>
  <c r="F234" i="17"/>
  <c r="F235" i="17"/>
  <c r="F236" i="17"/>
  <c r="F237" i="17"/>
  <c r="F238" i="17"/>
  <c r="F239" i="17"/>
  <c r="F240" i="17"/>
  <c r="F241" i="17"/>
  <c r="F242" i="17"/>
  <c r="F243" i="17"/>
  <c r="F244" i="17"/>
  <c r="F245" i="17"/>
  <c r="F246" i="17"/>
  <c r="F247" i="17"/>
  <c r="F248" i="17"/>
  <c r="F249" i="17"/>
  <c r="F250" i="17"/>
  <c r="F251" i="17"/>
  <c r="F252" i="17"/>
  <c r="F253" i="17"/>
  <c r="F254" i="17"/>
  <c r="F255" i="17"/>
  <c r="F256" i="17"/>
  <c r="F257" i="17"/>
  <c r="F258" i="17"/>
  <c r="F259" i="17"/>
  <c r="F260" i="17"/>
  <c r="F261" i="17"/>
  <c r="F262" i="17"/>
  <c r="F263" i="17"/>
  <c r="F264" i="17"/>
  <c r="F265" i="17"/>
  <c r="F266" i="17"/>
  <c r="F267" i="17"/>
  <c r="F268" i="17"/>
  <c r="F269" i="17"/>
  <c r="F270" i="17"/>
  <c r="F271" i="17"/>
  <c r="F272" i="17"/>
  <c r="F273" i="17"/>
  <c r="F274" i="17"/>
  <c r="F275" i="17"/>
  <c r="F276" i="17"/>
  <c r="F277" i="17"/>
  <c r="F278" i="17"/>
  <c r="F279" i="17"/>
  <c r="F280" i="17"/>
  <c r="F281" i="17"/>
  <c r="F282" i="17"/>
  <c r="F283" i="17"/>
  <c r="F284" i="17"/>
  <c r="F285" i="17"/>
  <c r="F286" i="17"/>
  <c r="F287" i="17"/>
  <c r="F288" i="17"/>
  <c r="F289" i="17"/>
  <c r="F290" i="17"/>
  <c r="F291" i="17"/>
  <c r="F292" i="17"/>
  <c r="F293" i="17"/>
  <c r="F294" i="17"/>
  <c r="F295" i="17"/>
  <c r="F296" i="17"/>
  <c r="F297" i="17"/>
  <c r="F298" i="17"/>
  <c r="F299" i="17"/>
  <c r="F300" i="17"/>
  <c r="F301" i="17"/>
  <c r="F302" i="17"/>
  <c r="F303" i="17"/>
  <c r="F304" i="17"/>
  <c r="F305" i="17"/>
  <c r="F306" i="17"/>
  <c r="F307" i="17"/>
  <c r="F308" i="17"/>
  <c r="F309" i="17"/>
  <c r="F310" i="17"/>
  <c r="F311" i="17"/>
  <c r="F312" i="17"/>
  <c r="F313" i="17"/>
  <c r="F314" i="17"/>
  <c r="F315" i="17"/>
  <c r="F316" i="17"/>
  <c r="F317" i="17"/>
  <c r="F318" i="17"/>
  <c r="F319" i="17"/>
  <c r="F320" i="17"/>
  <c r="F321" i="17"/>
  <c r="F322" i="17"/>
  <c r="F323" i="17"/>
  <c r="F324" i="17"/>
  <c r="F325" i="17"/>
  <c r="F326" i="17"/>
  <c r="F327" i="17"/>
  <c r="F328" i="17"/>
  <c r="F329" i="17"/>
  <c r="F330" i="17"/>
  <c r="F331" i="17"/>
  <c r="F332" i="17"/>
  <c r="F333" i="17"/>
  <c r="F334" i="17"/>
  <c r="F335" i="17"/>
  <c r="F336" i="17"/>
  <c r="F337" i="17"/>
  <c r="F338" i="17"/>
  <c r="F339" i="17"/>
  <c r="F340" i="17"/>
  <c r="F341" i="17"/>
  <c r="F342" i="17"/>
  <c r="F343" i="17"/>
  <c r="F344" i="17"/>
  <c r="F345" i="17"/>
  <c r="F346" i="17"/>
  <c r="F347" i="17"/>
  <c r="F348" i="17"/>
  <c r="F349" i="17"/>
  <c r="F350" i="17"/>
  <c r="F351" i="17"/>
  <c r="F352" i="17"/>
  <c r="F353" i="17"/>
  <c r="F354" i="17"/>
  <c r="F355" i="17"/>
  <c r="F356" i="17"/>
  <c r="F357" i="17"/>
  <c r="F358" i="17"/>
  <c r="F359" i="17"/>
  <c r="F360" i="17"/>
  <c r="F361" i="17"/>
  <c r="F362" i="17"/>
  <c r="F363" i="17"/>
  <c r="F364" i="17"/>
  <c r="F365" i="17"/>
  <c r="F366" i="17"/>
  <c r="F367" i="17"/>
  <c r="F368" i="17"/>
  <c r="F369" i="17"/>
  <c r="F370" i="17"/>
  <c r="F371" i="17"/>
  <c r="F372" i="17"/>
  <c r="F373" i="17"/>
  <c r="F374" i="17"/>
  <c r="F375" i="17"/>
  <c r="F376" i="17"/>
  <c r="F377" i="17"/>
  <c r="F378" i="17"/>
  <c r="F379" i="17"/>
  <c r="F380" i="17"/>
  <c r="F381" i="17"/>
  <c r="F382" i="17"/>
  <c r="F383" i="17"/>
  <c r="F384" i="17"/>
  <c r="F385" i="17"/>
  <c r="F386" i="17"/>
  <c r="F387" i="17"/>
  <c r="F388" i="17"/>
  <c r="F389" i="17"/>
  <c r="F390" i="17"/>
  <c r="F391" i="17"/>
  <c r="F392" i="17"/>
  <c r="F393" i="17"/>
  <c r="F394" i="17"/>
  <c r="F395" i="17"/>
  <c r="F396" i="17"/>
  <c r="F397" i="17"/>
  <c r="F398" i="17"/>
  <c r="F399" i="17"/>
  <c r="F400" i="17"/>
  <c r="F401" i="17"/>
  <c r="F402" i="17"/>
  <c r="F403" i="17"/>
  <c r="F404" i="17"/>
  <c r="F405" i="17"/>
  <c r="F406" i="17"/>
  <c r="F407" i="17"/>
  <c r="F408" i="17"/>
  <c r="F409" i="17"/>
  <c r="F410" i="17"/>
  <c r="F411" i="17"/>
  <c r="F412" i="17"/>
  <c r="F413" i="17"/>
  <c r="F414" i="17"/>
  <c r="F415" i="17"/>
  <c r="F416" i="17"/>
  <c r="F417" i="17"/>
  <c r="F418" i="17"/>
  <c r="F419" i="17"/>
  <c r="F420" i="17"/>
  <c r="F421" i="17"/>
  <c r="F422" i="17"/>
  <c r="F423" i="17"/>
  <c r="F424" i="17"/>
  <c r="F425" i="17"/>
  <c r="F426" i="17"/>
  <c r="F427" i="17"/>
  <c r="F428" i="17"/>
  <c r="F429" i="17"/>
  <c r="F430" i="17"/>
  <c r="F431" i="17"/>
  <c r="F432" i="17"/>
  <c r="F433" i="17"/>
  <c r="F434" i="17"/>
  <c r="F435" i="17"/>
  <c r="F436" i="17"/>
  <c r="F437" i="17"/>
  <c r="F438" i="17"/>
  <c r="F439" i="17"/>
  <c r="F440" i="17"/>
  <c r="F441" i="17"/>
  <c r="F442" i="17"/>
  <c r="F443" i="17"/>
  <c r="F444" i="17"/>
  <c r="F445" i="17"/>
  <c r="F446" i="17"/>
  <c r="F447" i="17"/>
  <c r="F448" i="17"/>
  <c r="F449" i="17"/>
  <c r="F450" i="17"/>
  <c r="F451" i="17"/>
  <c r="F452" i="17"/>
  <c r="F453" i="17"/>
  <c r="F454" i="17"/>
  <c r="F455" i="17"/>
  <c r="F456" i="17"/>
  <c r="F457" i="17"/>
  <c r="F458" i="17"/>
  <c r="F459" i="17"/>
  <c r="F460" i="17"/>
  <c r="F461" i="17"/>
  <c r="F462" i="17"/>
  <c r="F463" i="17"/>
  <c r="F464" i="17"/>
  <c r="F465" i="17"/>
  <c r="F466" i="17"/>
  <c r="F467" i="17"/>
  <c r="F468" i="17"/>
  <c r="F469" i="17"/>
  <c r="F470" i="17"/>
  <c r="F471" i="17"/>
  <c r="F472" i="17"/>
  <c r="F473" i="17"/>
  <c r="F474" i="17"/>
  <c r="F475" i="17"/>
  <c r="F476" i="17"/>
  <c r="F477" i="17"/>
  <c r="F478" i="17"/>
  <c r="F479" i="17"/>
  <c r="F480" i="17"/>
  <c r="F481" i="17"/>
  <c r="F482" i="17"/>
  <c r="F483" i="17"/>
  <c r="F484" i="17"/>
  <c r="F485" i="17"/>
  <c r="F486" i="17"/>
  <c r="F487" i="17"/>
  <c r="F488" i="17"/>
  <c r="F489" i="17"/>
  <c r="F490" i="17"/>
  <c r="F491" i="17"/>
  <c r="F492" i="17"/>
  <c r="F493" i="17"/>
  <c r="F494" i="17"/>
  <c r="F495" i="17"/>
  <c r="F496" i="17"/>
  <c r="F497" i="17"/>
  <c r="F498" i="17"/>
  <c r="F499" i="17"/>
  <c r="F500" i="17"/>
  <c r="F501" i="17"/>
  <c r="F502" i="17"/>
  <c r="F503" i="17"/>
  <c r="F504" i="17"/>
  <c r="F505" i="17"/>
  <c r="F506" i="17"/>
  <c r="F507" i="17"/>
  <c r="F508" i="17"/>
  <c r="F509" i="17"/>
  <c r="F510" i="17"/>
  <c r="F511" i="17"/>
  <c r="F512" i="17"/>
  <c r="F513" i="17"/>
  <c r="F514" i="17"/>
  <c r="F515" i="17"/>
  <c r="F516" i="17"/>
  <c r="F517" i="17"/>
  <c r="F518" i="17"/>
  <c r="F519" i="17"/>
  <c r="F520" i="17"/>
  <c r="F521" i="17"/>
  <c r="F522" i="17"/>
  <c r="F523" i="17"/>
  <c r="F524" i="17"/>
  <c r="F525" i="17"/>
  <c r="F526" i="17"/>
  <c r="F527" i="17"/>
  <c r="F528" i="17"/>
  <c r="F529" i="17"/>
  <c r="F530" i="17"/>
  <c r="F531" i="17"/>
  <c r="F532" i="17"/>
  <c r="F533" i="17"/>
  <c r="F534" i="17"/>
  <c r="F535" i="17"/>
  <c r="F536" i="17"/>
  <c r="F537" i="17"/>
  <c r="F538" i="17"/>
  <c r="F539" i="17"/>
  <c r="F540" i="17"/>
  <c r="F541" i="17"/>
  <c r="F542" i="17"/>
  <c r="F543" i="17"/>
  <c r="F544" i="17"/>
  <c r="F545" i="17"/>
  <c r="F546" i="17"/>
  <c r="F547" i="17"/>
  <c r="F548" i="17"/>
  <c r="F549" i="17"/>
  <c r="F550" i="17"/>
  <c r="F551" i="17"/>
  <c r="F552" i="17"/>
  <c r="F553" i="17"/>
  <c r="F554" i="17"/>
  <c r="F555" i="17"/>
  <c r="F556" i="17"/>
  <c r="F557" i="17"/>
  <c r="F558" i="17"/>
  <c r="F559" i="17"/>
  <c r="F560" i="17"/>
  <c r="F561" i="17"/>
  <c r="F562" i="17"/>
  <c r="F563" i="17"/>
  <c r="F564" i="17"/>
  <c r="F565" i="17"/>
  <c r="F566" i="17"/>
  <c r="F567" i="17"/>
  <c r="F568" i="17"/>
  <c r="F569" i="17"/>
  <c r="F570" i="17"/>
  <c r="F571" i="17"/>
  <c r="F572" i="17"/>
  <c r="F573" i="17"/>
  <c r="F3" i="17"/>
  <c r="D126" i="17"/>
  <c r="D127" i="17" s="1"/>
  <c r="D128" i="17" s="1"/>
  <c r="D129" i="17" s="1"/>
  <c r="D130" i="17" s="1"/>
  <c r="D131" i="17" s="1"/>
  <c r="D132" i="17" s="1"/>
  <c r="D133" i="17" s="1"/>
  <c r="D134" i="17" s="1"/>
  <c r="D135" i="17" s="1"/>
  <c r="D136" i="17" s="1"/>
  <c r="D137" i="17" s="1"/>
  <c r="D138" i="17" s="1"/>
  <c r="D139" i="17" s="1"/>
  <c r="D140" i="17" s="1"/>
  <c r="D141" i="17" s="1"/>
  <c r="D142" i="17" s="1"/>
  <c r="E126" i="17"/>
  <c r="E127" i="17" s="1"/>
  <c r="E128" i="17" s="1"/>
  <c r="E129" i="17" s="1"/>
  <c r="E130" i="17" s="1"/>
  <c r="E131" i="17" s="1"/>
  <c r="E132" i="17" s="1"/>
  <c r="E133" i="17" s="1"/>
  <c r="E134" i="17" s="1"/>
  <c r="E135" i="17" s="1"/>
  <c r="E136" i="17" s="1"/>
  <c r="E137" i="17" s="1"/>
  <c r="E138" i="17" s="1"/>
  <c r="E139" i="17" s="1"/>
  <c r="E140" i="17" s="1"/>
  <c r="E141" i="17" s="1"/>
  <c r="E142" i="17" s="1"/>
  <c r="D102" i="17"/>
  <c r="D103" i="17" s="1"/>
  <c r="D104" i="17" s="1"/>
  <c r="D105" i="17" s="1"/>
  <c r="D106" i="17" s="1"/>
  <c r="D107" i="17" s="1"/>
  <c r="D108" i="17" s="1"/>
  <c r="D109" i="17" s="1"/>
  <c r="D110" i="17" s="1"/>
  <c r="D111" i="17" s="1"/>
  <c r="D112" i="17" s="1"/>
  <c r="D113" i="17" s="1"/>
  <c r="D114" i="17" s="1"/>
  <c r="D115" i="17" s="1"/>
  <c r="D116" i="17" s="1"/>
  <c r="D117" i="17" s="1"/>
  <c r="D118" i="17" s="1"/>
  <c r="D119" i="17" s="1"/>
  <c r="D120" i="17" s="1"/>
  <c r="D121" i="17" s="1"/>
  <c r="D122" i="17" s="1"/>
  <c r="D123" i="17" s="1"/>
  <c r="D124" i="17" s="1"/>
  <c r="D125" i="17" s="1"/>
  <c r="E102" i="17"/>
  <c r="E103" i="17" s="1"/>
  <c r="E104" i="17" s="1"/>
  <c r="E105" i="17" s="1"/>
  <c r="E106" i="17" s="1"/>
  <c r="E107" i="17" s="1"/>
  <c r="E108" i="17" s="1"/>
  <c r="E109" i="17" s="1"/>
  <c r="E110" i="17" s="1"/>
  <c r="E111" i="17" s="1"/>
  <c r="E112" i="17" s="1"/>
  <c r="E113" i="17" s="1"/>
  <c r="E114" i="17" s="1"/>
  <c r="E115" i="17" s="1"/>
  <c r="E116" i="17" s="1"/>
  <c r="E117" i="17" s="1"/>
  <c r="E118" i="17" s="1"/>
  <c r="E119" i="17" s="1"/>
  <c r="E120" i="17" s="1"/>
  <c r="E121" i="17" s="1"/>
  <c r="E122" i="17" s="1"/>
  <c r="E123" i="17" s="1"/>
  <c r="E124" i="17" s="1"/>
  <c r="E125" i="17" s="1"/>
  <c r="D77" i="17"/>
  <c r="E77" i="17"/>
  <c r="D78" i="17"/>
  <c r="E78" i="17"/>
  <c r="D79" i="17"/>
  <c r="E79" i="17"/>
  <c r="D80" i="17"/>
  <c r="E80" i="17"/>
  <c r="D81" i="17"/>
  <c r="E81" i="17"/>
  <c r="D82" i="17"/>
  <c r="E82" i="17"/>
  <c r="D83" i="17"/>
  <c r="E83" i="17"/>
  <c r="D84" i="17"/>
  <c r="D85" i="17" s="1"/>
  <c r="D86" i="17" s="1"/>
  <c r="D87" i="17" s="1"/>
  <c r="D88" i="17" s="1"/>
  <c r="D89" i="17" s="1"/>
  <c r="D90" i="17" s="1"/>
  <c r="D91" i="17" s="1"/>
  <c r="D92" i="17" s="1"/>
  <c r="D93" i="17" s="1"/>
  <c r="D94" i="17" s="1"/>
  <c r="D95" i="17" s="1"/>
  <c r="D96" i="17" s="1"/>
  <c r="D97" i="17" s="1"/>
  <c r="D98" i="17" s="1"/>
  <c r="D99" i="17" s="1"/>
  <c r="D100" i="17" s="1"/>
  <c r="D101" i="17" s="1"/>
  <c r="E84" i="17"/>
  <c r="E85" i="17" s="1"/>
  <c r="E86" i="17" s="1"/>
  <c r="E87" i="17" s="1"/>
  <c r="E88" i="17" s="1"/>
  <c r="E89" i="17" s="1"/>
  <c r="E90" i="17" s="1"/>
  <c r="E91" i="17" s="1"/>
  <c r="E92" i="17" s="1"/>
  <c r="E93" i="17" s="1"/>
  <c r="E94" i="17" s="1"/>
  <c r="E95" i="17" s="1"/>
  <c r="E96" i="17" s="1"/>
  <c r="E97" i="17" s="1"/>
  <c r="E98" i="17" s="1"/>
  <c r="E99" i="17" s="1"/>
  <c r="E100" i="17" s="1"/>
  <c r="E101" i="17" s="1"/>
  <c r="D57" i="17"/>
  <c r="E57" i="17"/>
  <c r="D58" i="17"/>
  <c r="E58" i="17"/>
  <c r="E59" i="17" s="1"/>
  <c r="E60" i="17" s="1"/>
  <c r="E61" i="17" s="1"/>
  <c r="E62" i="17" s="1"/>
  <c r="E63" i="17" s="1"/>
  <c r="E64" i="17" s="1"/>
  <c r="E65" i="17" s="1"/>
  <c r="E66" i="17" s="1"/>
  <c r="E67" i="17" s="1"/>
  <c r="E68" i="17" s="1"/>
  <c r="E69" i="17" s="1"/>
  <c r="E70" i="17" s="1"/>
  <c r="E71" i="17" s="1"/>
  <c r="E72" i="17" s="1"/>
  <c r="E73" i="17" s="1"/>
  <c r="E74" i="17" s="1"/>
  <c r="E75" i="17" s="1"/>
  <c r="E76" i="17" s="1"/>
  <c r="D59" i="17"/>
  <c r="D60" i="17" s="1"/>
  <c r="D61" i="17" s="1"/>
  <c r="D62" i="17" s="1"/>
  <c r="D63" i="17" s="1"/>
  <c r="D64" i="17" s="1"/>
  <c r="D65" i="17" s="1"/>
  <c r="D66" i="17" s="1"/>
  <c r="D67" i="17" s="1"/>
  <c r="D68" i="17" s="1"/>
  <c r="D69" i="17" s="1"/>
  <c r="D70" i="17" s="1"/>
  <c r="D71" i="17" s="1"/>
  <c r="D72" i="17" s="1"/>
  <c r="D73" i="17" s="1"/>
  <c r="D74" i="17" s="1"/>
  <c r="D75" i="17" s="1"/>
  <c r="D76" i="17" s="1"/>
  <c r="D45" i="17"/>
  <c r="E45" i="17"/>
  <c r="D46" i="17"/>
  <c r="E46" i="17"/>
  <c r="E47" i="17" s="1"/>
  <c r="E48" i="17" s="1"/>
  <c r="E49" i="17" s="1"/>
  <c r="E50" i="17" s="1"/>
  <c r="E51" i="17" s="1"/>
  <c r="E52" i="17" s="1"/>
  <c r="E53" i="17" s="1"/>
  <c r="E54" i="17" s="1"/>
  <c r="E55" i="17" s="1"/>
  <c r="E56" i="17" s="1"/>
  <c r="D47" i="17"/>
  <c r="D48" i="17" s="1"/>
  <c r="D49" i="17" s="1"/>
  <c r="D50" i="17" s="1"/>
  <c r="D51" i="17" s="1"/>
  <c r="D52" i="17" s="1"/>
  <c r="D53" i="17" s="1"/>
  <c r="D54" i="17" s="1"/>
  <c r="D55" i="17" s="1"/>
  <c r="D56" i="17" s="1"/>
  <c r="D28" i="17"/>
  <c r="D29" i="17" s="1"/>
  <c r="D30" i="17" s="1"/>
  <c r="D31" i="17" s="1"/>
  <c r="D32" i="17" s="1"/>
  <c r="D33" i="17" s="1"/>
  <c r="D34" i="17" s="1"/>
  <c r="D35" i="17" s="1"/>
  <c r="D36" i="17" s="1"/>
  <c r="D37" i="17" s="1"/>
  <c r="D38" i="17" s="1"/>
  <c r="D39" i="17" s="1"/>
  <c r="D40" i="17" s="1"/>
  <c r="D41" i="17" s="1"/>
  <c r="D42" i="17" s="1"/>
  <c r="D43" i="17" s="1"/>
  <c r="D44" i="17" s="1"/>
  <c r="E28" i="17"/>
  <c r="E29" i="17" s="1"/>
  <c r="E30" i="17" s="1"/>
  <c r="E31" i="17" s="1"/>
  <c r="E32" i="17" s="1"/>
  <c r="E33" i="17" s="1"/>
  <c r="E34" i="17" s="1"/>
  <c r="E35" i="17" s="1"/>
  <c r="E36" i="17" s="1"/>
  <c r="E37" i="17" s="1"/>
  <c r="E38" i="17" s="1"/>
  <c r="E39" i="17" s="1"/>
  <c r="E40" i="17" s="1"/>
  <c r="E41" i="17" s="1"/>
  <c r="E42" i="17" s="1"/>
  <c r="E43" i="17" s="1"/>
  <c r="E44" i="17" s="1"/>
  <c r="D5" i="17"/>
  <c r="E5" i="17"/>
  <c r="D6" i="17"/>
  <c r="E6" i="17"/>
  <c r="D7" i="17"/>
  <c r="E7" i="17"/>
  <c r="D8" i="17"/>
  <c r="E8" i="17"/>
  <c r="D9" i="17"/>
  <c r="E9" i="17"/>
  <c r="E10" i="17" s="1"/>
  <c r="E11" i="17" s="1"/>
  <c r="E12" i="17" s="1"/>
  <c r="E13" i="17" s="1"/>
  <c r="E14" i="17" s="1"/>
  <c r="E15" i="17" s="1"/>
  <c r="E16" i="17" s="1"/>
  <c r="E17" i="17" s="1"/>
  <c r="E18" i="17" s="1"/>
  <c r="E19" i="17" s="1"/>
  <c r="E20" i="17" s="1"/>
  <c r="E21" i="17" s="1"/>
  <c r="E22" i="17" s="1"/>
  <c r="E23" i="17" s="1"/>
  <c r="E24" i="17" s="1"/>
  <c r="E25" i="17" s="1"/>
  <c r="E26" i="17" s="1"/>
  <c r="E27" i="17" s="1"/>
  <c r="D10" i="17"/>
  <c r="D11" i="17" s="1"/>
  <c r="D12" i="17" s="1"/>
  <c r="D13" i="17" s="1"/>
  <c r="D14" i="17" s="1"/>
  <c r="D15" i="17" s="1"/>
  <c r="D16" i="17" s="1"/>
  <c r="D17" i="17" s="1"/>
  <c r="D18" i="17" s="1"/>
  <c r="D19" i="17" s="1"/>
  <c r="D20" i="17" s="1"/>
  <c r="D21" i="17" s="1"/>
  <c r="D22" i="17" s="1"/>
  <c r="D23" i="17" s="1"/>
  <c r="D24" i="17" s="1"/>
  <c r="D25" i="17" s="1"/>
  <c r="D26" i="17" s="1"/>
  <c r="D27" i="17" s="1"/>
  <c r="E4" i="17"/>
  <c r="D4" i="17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I318" i="2"/>
  <c r="AI319" i="2"/>
  <c r="AI320" i="2"/>
  <c r="AI321" i="2"/>
  <c r="AI322" i="2"/>
  <c r="AI323" i="2"/>
  <c r="AI324" i="2"/>
  <c r="AI325" i="2"/>
  <c r="AI326" i="2"/>
  <c r="AI327" i="2"/>
  <c r="AI328" i="2"/>
  <c r="AI329" i="2"/>
  <c r="AI330" i="2"/>
  <c r="AI331" i="2"/>
  <c r="AI332" i="2"/>
  <c r="AI333" i="2"/>
  <c r="AI334" i="2"/>
  <c r="AI335" i="2"/>
  <c r="AI336" i="2"/>
  <c r="AI337" i="2"/>
  <c r="AI338" i="2"/>
  <c r="AI339" i="2"/>
  <c r="AI340" i="2"/>
  <c r="AI341" i="2"/>
  <c r="AI342" i="2"/>
  <c r="AI343" i="2"/>
  <c r="AI344" i="2"/>
  <c r="AI345" i="2"/>
  <c r="AI346" i="2"/>
  <c r="AI347" i="2"/>
  <c r="AI348" i="2"/>
  <c r="AI349" i="2"/>
  <c r="AI350" i="2"/>
  <c r="AI351" i="2"/>
  <c r="AI352" i="2"/>
  <c r="AI353" i="2"/>
  <c r="AI354" i="2"/>
  <c r="AI355" i="2"/>
  <c r="AI356" i="2"/>
  <c r="AI357" i="2"/>
  <c r="AI358" i="2"/>
  <c r="AI359" i="2"/>
  <c r="AI360" i="2"/>
  <c r="AI361" i="2"/>
  <c r="AI2" i="2"/>
  <c r="G84" i="12"/>
  <c r="G83" i="12"/>
  <c r="AL79" i="12"/>
  <c r="AL78" i="12"/>
  <c r="AL77" i="12"/>
  <c r="AL76" i="12"/>
  <c r="AL75" i="12"/>
  <c r="AL74" i="12"/>
  <c r="AL73" i="12"/>
  <c r="AL72" i="12"/>
  <c r="AL71" i="12"/>
  <c r="AL70" i="12"/>
  <c r="AL69" i="12"/>
  <c r="AL68" i="12"/>
  <c r="AL67" i="12"/>
  <c r="AL66" i="12"/>
  <c r="AL65" i="12"/>
  <c r="AL64" i="12"/>
  <c r="AL63" i="12"/>
  <c r="AL62" i="12"/>
  <c r="AL61" i="12"/>
  <c r="AL60" i="12"/>
  <c r="AL59" i="12"/>
  <c r="AL58" i="12"/>
  <c r="AL57" i="12"/>
  <c r="AL56" i="12"/>
  <c r="AL55" i="12"/>
  <c r="AL54" i="12"/>
  <c r="AL53" i="12"/>
  <c r="AL52" i="12"/>
  <c r="AL51" i="12"/>
  <c r="AL50" i="12"/>
  <c r="AL49" i="12"/>
  <c r="AL48" i="12"/>
  <c r="AL47" i="12"/>
  <c r="AL46" i="12"/>
  <c r="AL45" i="12"/>
  <c r="AL44" i="12"/>
  <c r="AL43" i="12"/>
  <c r="AL42" i="12"/>
  <c r="AL41" i="12"/>
  <c r="AL40" i="12"/>
  <c r="AL39" i="12"/>
  <c r="AL38" i="12"/>
  <c r="AL37" i="12"/>
  <c r="AL36" i="12"/>
  <c r="AL35" i="12"/>
  <c r="AL34" i="12"/>
  <c r="AL33" i="12"/>
  <c r="AL32" i="12"/>
  <c r="AL31" i="12"/>
  <c r="AL30" i="12"/>
  <c r="AL29" i="12"/>
  <c r="AL28" i="12"/>
  <c r="AL27" i="12"/>
  <c r="AL26" i="12"/>
  <c r="AL25" i="12"/>
  <c r="AL24" i="12"/>
  <c r="AL23" i="12"/>
  <c r="AL22" i="12"/>
  <c r="AL21" i="12"/>
  <c r="AL20" i="12"/>
  <c r="AL19" i="12"/>
  <c r="AL18" i="12"/>
  <c r="AL17" i="12"/>
  <c r="AL16" i="12"/>
  <c r="AL15" i="12"/>
  <c r="AL14" i="12"/>
  <c r="AL13" i="12"/>
  <c r="AL12" i="12"/>
  <c r="AL11" i="12"/>
  <c r="AL10" i="12"/>
  <c r="AL9" i="12"/>
  <c r="AL8" i="12"/>
  <c r="AL82" i="12"/>
  <c r="AL81" i="12"/>
  <c r="AL80" i="12"/>
  <c r="AL7" i="12"/>
  <c r="P7" i="12"/>
  <c r="O7" i="12"/>
  <c r="M7" i="12" s="1"/>
  <c r="AL6" i="12"/>
  <c r="P6" i="12"/>
  <c r="O6" i="12"/>
  <c r="M6" i="12" s="1"/>
  <c r="AL5" i="12"/>
  <c r="P5" i="12"/>
  <c r="O5" i="12"/>
  <c r="M5" i="12" s="1"/>
  <c r="AL4" i="12"/>
  <c r="P4" i="12"/>
  <c r="O4" i="12"/>
  <c r="M4" i="12" s="1"/>
  <c r="AL3" i="12"/>
  <c r="P3" i="12"/>
  <c r="O3" i="12"/>
  <c r="M3" i="12" s="1"/>
  <c r="AL2" i="12"/>
  <c r="P2" i="12"/>
  <c r="O2" i="12"/>
  <c r="M2" i="12" s="1"/>
  <c r="G575" i="1"/>
  <c r="G574" i="1"/>
  <c r="AL53" i="10"/>
  <c r="AL52" i="10"/>
  <c r="AL51" i="10"/>
  <c r="AL50" i="10"/>
  <c r="AL49" i="10"/>
  <c r="AL48" i="10"/>
  <c r="AL47" i="10"/>
  <c r="AL46" i="10"/>
  <c r="AL45" i="10"/>
  <c r="AL44" i="10"/>
  <c r="AL43" i="10"/>
  <c r="AL42" i="10"/>
  <c r="AL41" i="10"/>
  <c r="AL40" i="10"/>
  <c r="AL39" i="10"/>
  <c r="AL38" i="10"/>
  <c r="AL37" i="10"/>
  <c r="AL36" i="10"/>
  <c r="AL35" i="10"/>
  <c r="AL34" i="10"/>
  <c r="AL33" i="10"/>
  <c r="AL32" i="10"/>
  <c r="AL31" i="10"/>
  <c r="AL30" i="10"/>
  <c r="AL29" i="10"/>
  <c r="AL28" i="10"/>
  <c r="AL27" i="10"/>
  <c r="AL26" i="10"/>
  <c r="AL25" i="10"/>
  <c r="AL24" i="10"/>
  <c r="AL23" i="10"/>
  <c r="AL22" i="10"/>
  <c r="AL21" i="10"/>
  <c r="AL20" i="10"/>
  <c r="AL19" i="10"/>
  <c r="AL18" i="10"/>
  <c r="AL17" i="10"/>
  <c r="AL16" i="10"/>
  <c r="AL15" i="10"/>
  <c r="AL14" i="10"/>
  <c r="AL13" i="10"/>
  <c r="AL12" i="10"/>
  <c r="AL11" i="10"/>
  <c r="AL40" i="9"/>
  <c r="AE40" i="9"/>
  <c r="AL39" i="9"/>
  <c r="AE39" i="9"/>
  <c r="AL38" i="9"/>
  <c r="AE38" i="9"/>
  <c r="AL37" i="9"/>
  <c r="AE37" i="9"/>
  <c r="AL36" i="9"/>
  <c r="AE36" i="9"/>
  <c r="AL35" i="9"/>
  <c r="AE35" i="9"/>
  <c r="AL34" i="9"/>
  <c r="AE34" i="9"/>
  <c r="AL33" i="9"/>
  <c r="AE33" i="9"/>
  <c r="AL32" i="9"/>
  <c r="AE32" i="9"/>
  <c r="AL31" i="9"/>
  <c r="AE31" i="9"/>
  <c r="AL30" i="9"/>
  <c r="AE30" i="9"/>
  <c r="AL29" i="9"/>
  <c r="AE29" i="9"/>
  <c r="AL28" i="9"/>
  <c r="AE28" i="9"/>
  <c r="AL27" i="9"/>
  <c r="AE27" i="9"/>
  <c r="AL26" i="9"/>
  <c r="AE26" i="9"/>
  <c r="AL25" i="9"/>
  <c r="AE25" i="9"/>
  <c r="AL24" i="9"/>
  <c r="AE24" i="9"/>
  <c r="AL23" i="9"/>
  <c r="AE23" i="9"/>
  <c r="AL22" i="9"/>
  <c r="AE22" i="9"/>
  <c r="AL21" i="9"/>
  <c r="AE21" i="9"/>
  <c r="AL20" i="9"/>
  <c r="AE20" i="9"/>
  <c r="AL19" i="9"/>
  <c r="AE19" i="9"/>
  <c r="AL18" i="9"/>
  <c r="AE18" i="9"/>
  <c r="AL17" i="9"/>
  <c r="AE17" i="9"/>
  <c r="AL16" i="9"/>
  <c r="AE16" i="9"/>
  <c r="AL15" i="9"/>
  <c r="AE15" i="9"/>
  <c r="AL14" i="9"/>
  <c r="AE14" i="9"/>
  <c r="AL13" i="9"/>
  <c r="AE13" i="9"/>
  <c r="AL12" i="9"/>
  <c r="AE12" i="9"/>
  <c r="AL11" i="9"/>
  <c r="AE11" i="9"/>
  <c r="AL10" i="9"/>
  <c r="AE10" i="9"/>
  <c r="AL9" i="9"/>
  <c r="AE9" i="9"/>
  <c r="AL8" i="9"/>
  <c r="AE8" i="9"/>
  <c r="AL7" i="9"/>
  <c r="AE7" i="9"/>
  <c r="AL6" i="9"/>
  <c r="AE6" i="9"/>
  <c r="AL5" i="9"/>
  <c r="AE5" i="9"/>
  <c r="AL4" i="9"/>
  <c r="AE4" i="9"/>
  <c r="AL3" i="9"/>
  <c r="AE3" i="9"/>
  <c r="AL2" i="9"/>
  <c r="AE2" i="9"/>
  <c r="AL83" i="9"/>
  <c r="AL82" i="9"/>
  <c r="AL81" i="9"/>
  <c r="AL80" i="9"/>
  <c r="AL79" i="9"/>
  <c r="AL78" i="9"/>
  <c r="AL77" i="9"/>
  <c r="AL76" i="9"/>
  <c r="AL75" i="9"/>
  <c r="AL74" i="9"/>
  <c r="AL73" i="9"/>
  <c r="AL72" i="9"/>
  <c r="AL71" i="9"/>
  <c r="AL70" i="9"/>
  <c r="AL69" i="9"/>
  <c r="AL68" i="9"/>
  <c r="AL67" i="9"/>
  <c r="AL66" i="9"/>
  <c r="AL65" i="9"/>
  <c r="AL64" i="9"/>
  <c r="AL63" i="9"/>
  <c r="AL62" i="9"/>
  <c r="AL61" i="9"/>
  <c r="AL60" i="9"/>
  <c r="AL59" i="9"/>
  <c r="AL58" i="9"/>
  <c r="AL57" i="9"/>
  <c r="AL56" i="9"/>
  <c r="AL55" i="9"/>
  <c r="AL54" i="9"/>
  <c r="AL53" i="9"/>
  <c r="AL52" i="9"/>
  <c r="AL51" i="9"/>
  <c r="AL50" i="9"/>
  <c r="AL49" i="9"/>
  <c r="AL48" i="9"/>
  <c r="AL47" i="9"/>
  <c r="AL46" i="9"/>
  <c r="AL45" i="9"/>
  <c r="AL44" i="9"/>
  <c r="AL43" i="9"/>
  <c r="AL42" i="9"/>
  <c r="AL41" i="9"/>
  <c r="AA19" i="8"/>
  <c r="AL19" i="8"/>
  <c r="AA20" i="8"/>
  <c r="AL20" i="8"/>
  <c r="AA21" i="8"/>
  <c r="AL21" i="8"/>
  <c r="BH24" i="6"/>
  <c r="AZ21" i="6"/>
  <c r="AY21" i="6"/>
  <c r="BA17" i="6"/>
  <c r="AZ17" i="6"/>
  <c r="AY17" i="6"/>
  <c r="AZ16" i="6"/>
  <c r="AY16" i="6"/>
  <c r="AY15" i="6"/>
  <c r="A574" i="6"/>
  <c r="B574" i="6"/>
  <c r="C574" i="6"/>
  <c r="D574" i="6"/>
  <c r="E574" i="6"/>
  <c r="F574" i="6"/>
  <c r="G574" i="6"/>
  <c r="H574" i="6"/>
  <c r="I574" i="6"/>
  <c r="J574" i="6"/>
  <c r="K574" i="6"/>
  <c r="L574" i="6"/>
  <c r="M574" i="6"/>
  <c r="N574" i="6"/>
  <c r="O574" i="6"/>
  <c r="P574" i="6"/>
  <c r="Q574" i="6"/>
  <c r="R574" i="6"/>
  <c r="S574" i="6"/>
  <c r="T574" i="6"/>
  <c r="U574" i="6"/>
  <c r="V574" i="6"/>
  <c r="W574" i="6"/>
  <c r="X574" i="6"/>
  <c r="Y574" i="6"/>
  <c r="Z574" i="6"/>
  <c r="AA574" i="6"/>
  <c r="AB574" i="6"/>
  <c r="AC574" i="6"/>
  <c r="AD574" i="6"/>
  <c r="AE574" i="6"/>
  <c r="AF574" i="6"/>
  <c r="AG574" i="6"/>
  <c r="AH574" i="6"/>
  <c r="AI574" i="6"/>
  <c r="AJ574" i="6"/>
  <c r="AK574" i="6"/>
  <c r="P381" i="6"/>
  <c r="O381" i="6"/>
  <c r="M381" i="6" s="1"/>
  <c r="P380" i="6"/>
  <c r="O380" i="6"/>
  <c r="M380" i="6" s="1"/>
  <c r="P379" i="6"/>
  <c r="O379" i="6"/>
  <c r="M379" i="6"/>
  <c r="P378" i="6"/>
  <c r="O378" i="6"/>
  <c r="M378" i="6"/>
  <c r="P377" i="6"/>
  <c r="O377" i="6"/>
  <c r="M377" i="6"/>
  <c r="P376" i="6"/>
  <c r="O376" i="6"/>
  <c r="M376" i="6"/>
  <c r="AE375" i="6"/>
  <c r="R375" i="6"/>
  <c r="P375" i="6"/>
  <c r="O375" i="6"/>
  <c r="M375" i="6" s="1"/>
  <c r="AE374" i="6"/>
  <c r="R374" i="6"/>
  <c r="P374" i="6"/>
  <c r="O374" i="6"/>
  <c r="M374" i="6"/>
  <c r="AE373" i="6"/>
  <c r="R373" i="6"/>
  <c r="P373" i="6"/>
  <c r="O373" i="6"/>
  <c r="M373" i="6" s="1"/>
  <c r="AE372" i="6"/>
  <c r="R372" i="6"/>
  <c r="P372" i="6"/>
  <c r="O372" i="6"/>
  <c r="M372" i="6" s="1"/>
  <c r="AE371" i="6"/>
  <c r="R371" i="6"/>
  <c r="P371" i="6"/>
  <c r="O371" i="6"/>
  <c r="M371" i="6"/>
  <c r="AE370" i="6"/>
  <c r="R370" i="6"/>
  <c r="P370" i="6"/>
  <c r="O370" i="6"/>
  <c r="M370" i="6"/>
  <c r="AE369" i="6"/>
  <c r="R369" i="6"/>
  <c r="P369" i="6"/>
  <c r="O369" i="6"/>
  <c r="M369" i="6"/>
  <c r="AE368" i="6"/>
  <c r="R368" i="6"/>
  <c r="P368" i="6"/>
  <c r="O368" i="6"/>
  <c r="M368" i="6"/>
  <c r="AE367" i="6"/>
  <c r="R367" i="6"/>
  <c r="P367" i="6"/>
  <c r="O367" i="6"/>
  <c r="M367" i="6"/>
  <c r="AE366" i="6"/>
  <c r="R366" i="6"/>
  <c r="P366" i="6"/>
  <c r="O366" i="6"/>
  <c r="M366" i="6" s="1"/>
  <c r="AE365" i="6"/>
  <c r="R365" i="6"/>
  <c r="P365" i="6"/>
  <c r="O365" i="6"/>
  <c r="M365" i="6"/>
  <c r="AE364" i="6"/>
  <c r="R364" i="6"/>
  <c r="P364" i="6"/>
  <c r="O364" i="6"/>
  <c r="M364" i="6" s="1"/>
  <c r="S253" i="6"/>
  <c r="S252" i="6"/>
  <c r="S251" i="6"/>
  <c r="S250" i="6"/>
  <c r="S249" i="6"/>
  <c r="S248" i="6"/>
  <c r="S247" i="6"/>
  <c r="S246" i="6"/>
  <c r="S245" i="6"/>
  <c r="S244" i="6"/>
  <c r="S243" i="6"/>
  <c r="S242" i="6"/>
  <c r="S241" i="6"/>
  <c r="S240" i="6"/>
  <c r="S239" i="6"/>
  <c r="S238" i="6"/>
  <c r="S237" i="6"/>
  <c r="S236" i="6"/>
  <c r="S235" i="6"/>
  <c r="S234" i="6"/>
  <c r="S233" i="6"/>
  <c r="S232" i="6"/>
  <c r="S231" i="6"/>
  <c r="S230" i="6"/>
  <c r="S229" i="6"/>
  <c r="S228" i="6"/>
  <c r="S227" i="6"/>
  <c r="S226" i="6"/>
  <c r="S225" i="6"/>
  <c r="S224" i="6"/>
  <c r="S223" i="6"/>
  <c r="S222" i="6"/>
  <c r="S221" i="6"/>
  <c r="AA197" i="6"/>
  <c r="AA196" i="6"/>
  <c r="AA195" i="6"/>
  <c r="AA194" i="6"/>
  <c r="N194" i="6"/>
  <c r="AA193" i="6"/>
  <c r="N193" i="6"/>
  <c r="AA192" i="6"/>
  <c r="N192" i="6"/>
  <c r="S157" i="6"/>
  <c r="S156" i="6"/>
  <c r="S155" i="6"/>
  <c r="S154" i="6"/>
  <c r="S153" i="6"/>
  <c r="S152" i="6"/>
  <c r="S151" i="6"/>
  <c r="S150" i="6"/>
  <c r="S149" i="6"/>
  <c r="S148" i="6"/>
  <c r="S147" i="6"/>
  <c r="S146" i="6"/>
  <c r="S145" i="6"/>
  <c r="S144" i="6"/>
  <c r="S143" i="6"/>
  <c r="S142" i="6"/>
  <c r="S141" i="6"/>
  <c r="S140" i="6"/>
  <c r="S139" i="6"/>
  <c r="S138" i="6"/>
  <c r="S137" i="6"/>
  <c r="S136" i="6"/>
  <c r="S135" i="6"/>
  <c r="S134" i="6"/>
  <c r="S133" i="6"/>
  <c r="S132" i="6"/>
  <c r="S131" i="6"/>
  <c r="S130" i="6"/>
  <c r="S129" i="6"/>
  <c r="S128" i="6"/>
  <c r="S127" i="6"/>
  <c r="S126" i="6"/>
  <c r="S125" i="6"/>
  <c r="S124" i="6"/>
  <c r="S123" i="6"/>
  <c r="S122" i="6"/>
  <c r="S121" i="6"/>
  <c r="S120" i="6"/>
  <c r="S119" i="6"/>
  <c r="S118" i="6"/>
  <c r="S117" i="6"/>
  <c r="S116" i="6"/>
  <c r="S115" i="6"/>
  <c r="S114" i="6"/>
  <c r="S113" i="6"/>
  <c r="S112" i="6"/>
  <c r="S111" i="6"/>
  <c r="S110" i="6"/>
  <c r="S109" i="6"/>
  <c r="S108" i="6"/>
  <c r="S107" i="6"/>
  <c r="S106" i="6"/>
  <c r="S105" i="6"/>
  <c r="S104" i="6"/>
  <c r="S103" i="6"/>
  <c r="S102" i="6"/>
  <c r="S101" i="6"/>
  <c r="S100" i="6"/>
  <c r="S99" i="6"/>
  <c r="S98" i="6"/>
  <c r="S97" i="6"/>
  <c r="S96" i="6"/>
  <c r="S95" i="6"/>
  <c r="S94" i="6"/>
  <c r="S93" i="6"/>
  <c r="S92" i="6"/>
  <c r="S91" i="6"/>
  <c r="S90" i="6"/>
  <c r="S89" i="6"/>
  <c r="S88" i="6"/>
  <c r="S87" i="6"/>
  <c r="S86" i="6"/>
  <c r="AE40" i="6"/>
  <c r="AE39" i="6"/>
  <c r="AE38" i="6"/>
  <c r="AE37" i="6"/>
  <c r="AE36" i="6"/>
  <c r="AE35" i="6"/>
  <c r="AE34" i="6"/>
  <c r="AE33" i="6"/>
  <c r="AE32" i="6"/>
  <c r="AE31" i="6"/>
  <c r="AE30" i="6"/>
  <c r="AE29" i="6"/>
  <c r="AE28" i="6"/>
  <c r="AE27" i="6"/>
  <c r="AE26" i="6"/>
  <c r="AE25" i="6"/>
  <c r="AE24" i="6"/>
  <c r="AE23" i="6"/>
  <c r="AE22" i="6"/>
  <c r="AE21" i="6"/>
  <c r="AE20" i="6"/>
  <c r="AE19" i="6"/>
  <c r="AE18" i="6"/>
  <c r="AE17" i="6"/>
  <c r="AE16" i="6"/>
  <c r="AE15" i="6"/>
  <c r="AE14" i="6"/>
  <c r="AE13" i="6"/>
  <c r="AE12" i="6"/>
  <c r="AE11" i="6"/>
  <c r="AE10" i="6"/>
  <c r="AE9" i="6"/>
  <c r="AE8" i="6"/>
  <c r="AE7" i="6"/>
  <c r="AE6" i="6"/>
  <c r="AE5" i="6"/>
  <c r="AE4" i="6"/>
  <c r="AE3" i="6"/>
  <c r="AE2" i="6"/>
  <c r="L19" i="4"/>
  <c r="L14" i="4"/>
  <c r="L25" i="4"/>
  <c r="L13" i="4"/>
  <c r="L12" i="4"/>
  <c r="L11" i="4"/>
  <c r="L29" i="4"/>
  <c r="L10" i="4"/>
  <c r="L9" i="4"/>
  <c r="L8" i="4"/>
  <c r="L31" i="4"/>
  <c r="L24" i="4"/>
  <c r="L23" i="4"/>
  <c r="L28" i="4"/>
  <c r="L27" i="4"/>
  <c r="L21" i="4"/>
  <c r="L22" i="4"/>
  <c r="L20" i="4"/>
  <c r="L34" i="4"/>
  <c r="L26" i="4"/>
  <c r="L33" i="4"/>
  <c r="L32" i="4"/>
  <c r="L18" i="4"/>
  <c r="L30" i="4"/>
  <c r="L16" i="4"/>
  <c r="L17" i="4"/>
  <c r="L15" i="4"/>
  <c r="L7" i="4"/>
  <c r="L6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S29" i="2"/>
  <c r="S30" i="2"/>
  <c r="S31" i="2"/>
  <c r="S32" i="2" s="1"/>
  <c r="S33" i="2" s="1"/>
  <c r="S34" i="2" s="1"/>
  <c r="S35" i="2" s="1"/>
  <c r="S36" i="2" s="1"/>
  <c r="S37" i="2" s="1"/>
  <c r="S38" i="2"/>
  <c r="S39" i="2"/>
  <c r="S40" i="2" s="1"/>
  <c r="S41" i="2" s="1"/>
  <c r="S42" i="2" s="1"/>
  <c r="S43" i="2" s="1"/>
  <c r="S44" i="2" s="1"/>
  <c r="S45" i="2" s="1"/>
  <c r="S46" i="2" s="1"/>
  <c r="S47" i="2" s="1"/>
  <c r="S48" i="2" s="1"/>
  <c r="S49" i="2" s="1"/>
  <c r="S50" i="2" s="1"/>
  <c r="S51" i="2"/>
  <c r="S52" i="2" s="1"/>
  <c r="S53" i="2" s="1"/>
  <c r="S54" i="2" s="1"/>
  <c r="S55" i="2" s="1"/>
  <c r="S56" i="2" s="1"/>
  <c r="S57" i="2" s="1"/>
  <c r="S58" i="2" s="1"/>
  <c r="S59" i="2" s="1"/>
  <c r="S60" i="2" s="1"/>
  <c r="S61" i="2" s="1"/>
  <c r="S62" i="2" s="1"/>
  <c r="S63" i="2" s="1"/>
  <c r="S64" i="2"/>
  <c r="S65" i="2" s="1"/>
  <c r="S66" i="2" s="1"/>
  <c r="S67" i="2" s="1"/>
  <c r="S68" i="2" s="1"/>
  <c r="S69" i="2" s="1"/>
  <c r="S70" i="2" s="1"/>
  <c r="S71" i="2" s="1"/>
  <c r="S72" i="2" s="1"/>
  <c r="S73" i="2" s="1"/>
  <c r="S74" i="2" s="1"/>
  <c r="S75" i="2" s="1"/>
  <c r="S76" i="2" s="1"/>
  <c r="S77" i="2" s="1"/>
  <c r="S78" i="2" s="1"/>
  <c r="S79" i="2" s="1"/>
  <c r="S80" i="2"/>
  <c r="S81" i="2" s="1"/>
  <c r="S82" i="2" s="1"/>
  <c r="S83" i="2" s="1"/>
  <c r="S84" i="2" s="1"/>
  <c r="S85" i="2" s="1"/>
  <c r="S86" i="2" s="1"/>
  <c r="S87" i="2" s="1"/>
  <c r="S88" i="2" s="1"/>
  <c r="S89" i="2" s="1"/>
  <c r="S90" i="2" s="1"/>
  <c r="S91" i="2" s="1"/>
  <c r="S92" i="2" s="1"/>
  <c r="S93" i="2" s="1"/>
  <c r="S94" i="2"/>
  <c r="S95" i="2"/>
  <c r="S96" i="2"/>
  <c r="S97" i="2" s="1"/>
  <c r="S98" i="2" s="1"/>
  <c r="S99" i="2" s="1"/>
  <c r="S100" i="2" s="1"/>
  <c r="S101" i="2" s="1"/>
  <c r="S102" i="2" s="1"/>
  <c r="S103" i="2" s="1"/>
  <c r="S104" i="2" s="1"/>
  <c r="S105" i="2" s="1"/>
  <c r="S106" i="2" s="1"/>
  <c r="S107" i="2"/>
  <c r="S108" i="2"/>
  <c r="S109" i="2"/>
  <c r="S110" i="2" s="1"/>
  <c r="S111" i="2" s="1"/>
  <c r="S112" i="2" s="1"/>
  <c r="S113" i="2" s="1"/>
  <c r="S114" i="2" s="1"/>
  <c r="S115" i="2" s="1"/>
  <c r="S116" i="2" s="1"/>
  <c r="S117" i="2" s="1"/>
  <c r="S118" i="2" s="1"/>
  <c r="S119" i="2" s="1"/>
  <c r="S120" i="2" s="1"/>
  <c r="S121" i="2"/>
  <c r="S122" i="2"/>
  <c r="S123" i="2" s="1"/>
  <c r="S124" i="2" s="1"/>
  <c r="S125" i="2" s="1"/>
  <c r="S126" i="2" s="1"/>
  <c r="S127" i="2" s="1"/>
  <c r="S128" i="2" s="1"/>
  <c r="S129" i="2" s="1"/>
  <c r="S130" i="2" s="1"/>
  <c r="S131" i="2" s="1"/>
  <c r="S132" i="2" s="1"/>
  <c r="S133" i="2" s="1"/>
  <c r="S134" i="2" s="1"/>
  <c r="S135" i="2" s="1"/>
  <c r="S136" i="2" s="1"/>
  <c r="S137" i="2" s="1"/>
  <c r="S138" i="2" s="1"/>
  <c r="S139" i="2" s="1"/>
  <c r="S140" i="2" s="1"/>
  <c r="S141" i="2" s="1"/>
  <c r="S142" i="2" s="1"/>
  <c r="S143" i="2" s="1"/>
  <c r="S144" i="2"/>
  <c r="S145" i="2" s="1"/>
  <c r="S146" i="2" s="1"/>
  <c r="S147" i="2" s="1"/>
  <c r="S148" i="2" s="1"/>
  <c r="S149" i="2" s="1"/>
  <c r="S150" i="2" s="1"/>
  <c r="S151" i="2" s="1"/>
  <c r="S152" i="2" s="1"/>
  <c r="S153" i="2" s="1"/>
  <c r="S154" i="2" s="1"/>
  <c r="S155" i="2" s="1"/>
  <c r="S156" i="2" s="1"/>
  <c r="S157" i="2" s="1"/>
  <c r="S158" i="2" s="1"/>
  <c r="S159" i="2"/>
  <c r="S160" i="2"/>
  <c r="S161" i="2" s="1"/>
  <c r="S162" i="2" s="1"/>
  <c r="S163" i="2" s="1"/>
  <c r="S164" i="2" s="1"/>
  <c r="S165" i="2" s="1"/>
  <c r="S166" i="2" s="1"/>
  <c r="S167" i="2"/>
  <c r="S168" i="2" s="1"/>
  <c r="S169" i="2" s="1"/>
  <c r="S170" i="2" s="1"/>
  <c r="S171" i="2" s="1"/>
  <c r="S172" i="2" s="1"/>
  <c r="S173" i="2" s="1"/>
  <c r="S174" i="2" s="1"/>
  <c r="S175" i="2"/>
  <c r="S176" i="2"/>
  <c r="S177" i="2" s="1"/>
  <c r="S178" i="2" s="1"/>
  <c r="S179" i="2" s="1"/>
  <c r="S180" i="2" s="1"/>
  <c r="S181" i="2" s="1"/>
  <c r="S182" i="2" s="1"/>
  <c r="S183" i="2" s="1"/>
  <c r="S184" i="2" s="1"/>
  <c r="S185" i="2" s="1"/>
  <c r="S186" i="2"/>
  <c r="S187" i="2" s="1"/>
  <c r="S188" i="2" s="1"/>
  <c r="S189" i="2" s="1"/>
  <c r="S190" i="2" s="1"/>
  <c r="S191" i="2" s="1"/>
  <c r="S192" i="2" s="1"/>
  <c r="S193" i="2" s="1"/>
  <c r="S194" i="2" s="1"/>
  <c r="S195" i="2" s="1"/>
  <c r="S196" i="2" s="1"/>
  <c r="S197" i="2"/>
  <c r="S198" i="2"/>
  <c r="S199" i="2" s="1"/>
  <c r="S200" i="2" s="1"/>
  <c r="S201" i="2" s="1"/>
  <c r="S202" i="2" s="1"/>
  <c r="S203" i="2" s="1"/>
  <c r="S204" i="2" s="1"/>
  <c r="S205" i="2" s="1"/>
  <c r="S206" i="2" s="1"/>
  <c r="S207" i="2" s="1"/>
  <c r="S208" i="2" s="1"/>
  <c r="S209" i="2" s="1"/>
  <c r="S210" i="2" s="1"/>
  <c r="S211" i="2" s="1"/>
  <c r="S212" i="2"/>
  <c r="S213" i="2" s="1"/>
  <c r="S214" i="2" s="1"/>
  <c r="S215" i="2" s="1"/>
  <c r="S216" i="2" s="1"/>
  <c r="S217" i="2" s="1"/>
  <c r="S218" i="2" s="1"/>
  <c r="S219" i="2" s="1"/>
  <c r="S220" i="2"/>
  <c r="S221" i="2"/>
  <c r="S222" i="2"/>
  <c r="S223" i="2"/>
  <c r="S224" i="2" s="1"/>
  <c r="S225" i="2" s="1"/>
  <c r="S226" i="2" s="1"/>
  <c r="S227" i="2" s="1"/>
  <c r="S228" i="2"/>
  <c r="S229" i="2" s="1"/>
  <c r="S230" i="2" s="1"/>
  <c r="S231" i="2" s="1"/>
  <c r="S232" i="2" s="1"/>
  <c r="S233" i="2" s="1"/>
  <c r="S234" i="2" s="1"/>
  <c r="S235" i="2" s="1"/>
  <c r="S236" i="2" s="1"/>
  <c r="S237" i="2" s="1"/>
  <c r="S238" i="2"/>
  <c r="S239" i="2"/>
  <c r="S240" i="2" s="1"/>
  <c r="S241" i="2" s="1"/>
  <c r="S242" i="2" s="1"/>
  <c r="S243" i="2" s="1"/>
  <c r="S244" i="2" s="1"/>
  <c r="S245" i="2" s="1"/>
  <c r="S246" i="2"/>
  <c r="S247" i="2" s="1"/>
  <c r="S248" i="2" s="1"/>
  <c r="S249" i="2" s="1"/>
  <c r="S250" i="2" s="1"/>
  <c r="S251" i="2"/>
  <c r="S252" i="2"/>
  <c r="S253" i="2"/>
  <c r="S254" i="2" s="1"/>
  <c r="S255" i="2" s="1"/>
  <c r="S256" i="2"/>
  <c r="S257" i="2" s="1"/>
  <c r="S258" i="2" s="1"/>
  <c r="S259" i="2" s="1"/>
  <c r="S260" i="2" s="1"/>
  <c r="S261" i="2"/>
  <c r="S262" i="2"/>
  <c r="S263" i="2" s="1"/>
  <c r="S264" i="2" s="1"/>
  <c r="S265" i="2" s="1"/>
  <c r="S266" i="2"/>
  <c r="S267" i="2" s="1"/>
  <c r="S268" i="2" s="1"/>
  <c r="S269" i="2" s="1"/>
  <c r="S270" i="2" s="1"/>
  <c r="S2" i="2"/>
  <c r="S3" i="2" s="1"/>
  <c r="S4" i="2" s="1"/>
  <c r="S5" i="2" s="1"/>
  <c r="S6" i="2" s="1"/>
  <c r="S7" i="2" s="1"/>
  <c r="S8" i="2" s="1"/>
  <c r="S9" i="2" s="1"/>
  <c r="S10" i="2" s="1"/>
  <c r="S11" i="2" s="1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S22" i="2" s="1"/>
  <c r="S23" i="2" s="1"/>
  <c r="S24" i="2" s="1"/>
  <c r="S25" i="2" s="1"/>
  <c r="S26" i="2" s="1"/>
  <c r="S27" i="2" s="1"/>
  <c r="S28" i="2" s="1"/>
  <c r="P377" i="1"/>
  <c r="P378" i="1"/>
  <c r="P379" i="1"/>
  <c r="P380" i="1"/>
  <c r="P381" i="1"/>
  <c r="O377" i="1"/>
  <c r="M377" i="1" s="1"/>
  <c r="O378" i="1"/>
  <c r="M378" i="1" s="1"/>
  <c r="O379" i="1"/>
  <c r="M379" i="1" s="1"/>
  <c r="O380" i="1"/>
  <c r="M380" i="1" s="1"/>
  <c r="O381" i="1"/>
  <c r="M381" i="1" s="1"/>
  <c r="O376" i="1"/>
  <c r="M376" i="1" s="1"/>
  <c r="P376" i="1"/>
  <c r="AE365" i="1"/>
  <c r="AE366" i="1"/>
  <c r="AE367" i="1"/>
  <c r="AE368" i="1"/>
  <c r="AE369" i="1"/>
  <c r="AE370" i="1"/>
  <c r="AE371" i="1"/>
  <c r="AE372" i="1"/>
  <c r="AE373" i="1"/>
  <c r="AE374" i="1"/>
  <c r="AE375" i="1"/>
  <c r="AE364" i="1"/>
  <c r="P365" i="1"/>
  <c r="P366" i="1"/>
  <c r="P367" i="1"/>
  <c r="P368" i="1"/>
  <c r="P369" i="1"/>
  <c r="P370" i="1"/>
  <c r="P371" i="1"/>
  <c r="P372" i="1"/>
  <c r="P373" i="1"/>
  <c r="P374" i="1"/>
  <c r="P375" i="1"/>
  <c r="P364" i="1"/>
  <c r="O364" i="1"/>
  <c r="M364" i="1" s="1"/>
  <c r="O365" i="1"/>
  <c r="M365" i="1" s="1"/>
  <c r="O366" i="1"/>
  <c r="M366" i="1" s="1"/>
  <c r="O367" i="1"/>
  <c r="M367" i="1" s="1"/>
  <c r="O368" i="1"/>
  <c r="M368" i="1" s="1"/>
  <c r="O369" i="1"/>
  <c r="M369" i="1" s="1"/>
  <c r="O370" i="1"/>
  <c r="M370" i="1" s="1"/>
  <c r="O371" i="1"/>
  <c r="M371" i="1" s="1"/>
  <c r="O372" i="1"/>
  <c r="M372" i="1" s="1"/>
  <c r="O373" i="1"/>
  <c r="M373" i="1" s="1"/>
  <c r="O374" i="1"/>
  <c r="M374" i="1" s="1"/>
  <c r="O375" i="1"/>
  <c r="M375" i="1" s="1"/>
  <c r="R365" i="1"/>
  <c r="R366" i="1"/>
  <c r="R367" i="1"/>
  <c r="R368" i="1"/>
  <c r="R369" i="1"/>
  <c r="R370" i="1"/>
  <c r="R371" i="1"/>
  <c r="R372" i="1"/>
  <c r="R373" i="1"/>
  <c r="R374" i="1"/>
  <c r="R375" i="1"/>
  <c r="R364" i="1"/>
  <c r="S246" i="1"/>
  <c r="S247" i="1"/>
  <c r="S248" i="1"/>
  <c r="S249" i="1"/>
  <c r="S250" i="1"/>
  <c r="S251" i="1"/>
  <c r="S252" i="1"/>
  <c r="S253" i="1"/>
  <c r="S245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21" i="1"/>
  <c r="AA196" i="1"/>
  <c r="AA197" i="1"/>
  <c r="AA195" i="1"/>
  <c r="AA193" i="1"/>
  <c r="AA194" i="1"/>
  <c r="AA192" i="1"/>
  <c r="N193" i="1"/>
  <c r="N194" i="1"/>
  <c r="N192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86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<sst xmlns="http://schemas.openxmlformats.org/spreadsheetml/2006/main" count="41000" uniqueCount="466">
  <si>
    <t>Carbonate Content (%)</t>
  </si>
  <si>
    <t>Unconfined Compressive Strength (kPa)</t>
  </si>
  <si>
    <t>Soil Type (USCS)</t>
  </si>
  <si>
    <t>Soil Type (General Name)</t>
  </si>
  <si>
    <t>Sand Mineral</t>
  </si>
  <si>
    <t>d10 (mm)</t>
  </si>
  <si>
    <t>d50 (mm)</t>
  </si>
  <si>
    <t>d30 (mm)</t>
  </si>
  <si>
    <t>d60 (mm)</t>
  </si>
  <si>
    <t>Coeficient of Uniformity (Cu)</t>
  </si>
  <si>
    <t>Coefficient of Curvature (Cc)</t>
  </si>
  <si>
    <t>Fine Content (%)</t>
  </si>
  <si>
    <t>Relative Density (%)</t>
  </si>
  <si>
    <t>Dry Density (kg/m3)</t>
  </si>
  <si>
    <t>emax</t>
  </si>
  <si>
    <t>emin</t>
  </si>
  <si>
    <t>Initial Permeability (m/s)</t>
  </si>
  <si>
    <t>Pathway</t>
  </si>
  <si>
    <t>Sub-Pathway</t>
  </si>
  <si>
    <t>Treatment Method</t>
  </si>
  <si>
    <t>Ncycle</t>
  </si>
  <si>
    <t>Urea Concentration (M)</t>
  </si>
  <si>
    <t>UC Ratio</t>
  </si>
  <si>
    <t>Urease Source</t>
  </si>
  <si>
    <t>Urease Activity (M urea/h)</t>
  </si>
  <si>
    <t>Rsquare</t>
  </si>
  <si>
    <t>Additives</t>
  </si>
  <si>
    <t>First Author</t>
  </si>
  <si>
    <t>Date of Publication</t>
  </si>
  <si>
    <t>Paper Titles</t>
  </si>
  <si>
    <t>Specific Gravity (Gs)</t>
  </si>
  <si>
    <t>Regression Type</t>
  </si>
  <si>
    <t>Power</t>
  </si>
  <si>
    <t>SP</t>
  </si>
  <si>
    <t>NA</t>
  </si>
  <si>
    <t>Poorly Graded Sand</t>
  </si>
  <si>
    <t>MICP</t>
  </si>
  <si>
    <t>Augmented</t>
  </si>
  <si>
    <t>INJECTION</t>
  </si>
  <si>
    <t>S. Pasteurii</t>
  </si>
  <si>
    <t>Pure</t>
  </si>
  <si>
    <t>Paassen</t>
  </si>
  <si>
    <t>Quantifying Biomediated Ground Improvement by Ureolysis:
Large-Scale Biogrout Experiment</t>
  </si>
  <si>
    <t>Varied</t>
  </si>
  <si>
    <t>Moisture Content before UCS Test (%)</t>
  </si>
  <si>
    <t>Al Qabany</t>
  </si>
  <si>
    <t xml:space="preserve">Effect of chemical treatment used in MICP on engineering properties of
cemented soils
</t>
  </si>
  <si>
    <t>Ottawa Sand</t>
  </si>
  <si>
    <t>IMMERSION</t>
  </si>
  <si>
    <t>EICP</t>
  </si>
  <si>
    <t>Commercial</t>
  </si>
  <si>
    <t>Fisher Scientific</t>
  </si>
  <si>
    <t>pH</t>
  </si>
  <si>
    <t>NH4Cl, Nutrient Broth, NaHCO3</t>
  </si>
  <si>
    <t>NH4Cl, Nutrient Broth, NaHCO4</t>
  </si>
  <si>
    <t>NH4Cl, Nutrient Broth, NaHCO5</t>
  </si>
  <si>
    <t>NH4Cl, Nutrient Broth, NaHCO6</t>
  </si>
  <si>
    <t>NH4Cl, Nutrient Broth, NaHCO7</t>
  </si>
  <si>
    <t>NH4Cl, Nutrient Broth, NaHCO8</t>
  </si>
  <si>
    <t>NH4Cl, Nutrient Broth, NaHCO9</t>
  </si>
  <si>
    <t>NH4Cl, Nutrient Broth, NaHCO10</t>
  </si>
  <si>
    <t>NH4Cl, Nutrient Broth, NaHCO11</t>
  </si>
  <si>
    <t>NH4Cl, Nutrient Broth, NaHCO12</t>
  </si>
  <si>
    <t>NH4Cl, Nutrient Broth, NaHCO13</t>
  </si>
  <si>
    <t>NH4Cl, Nutrient Broth, NaHCO14</t>
  </si>
  <si>
    <t>NH4Cl, Nutrient Broth, NaHCO15</t>
  </si>
  <si>
    <t>NH4Cl, Nutrient Broth, NaHCO16</t>
  </si>
  <si>
    <t>NH4Cl, Nutrient Broth, NaHCO17</t>
  </si>
  <si>
    <t>NH4Cl, Nutrient Broth, NaHCO18</t>
  </si>
  <si>
    <t>NH4Cl, Nutrient Broth, NaHCO19</t>
  </si>
  <si>
    <t>NH4Cl, Nutrient Broth, NaHCO20</t>
  </si>
  <si>
    <t>NH4Cl, Nutrient Broth, NaHCO21</t>
  </si>
  <si>
    <t>NH4Cl, Nutrient Broth, NaHCO22</t>
  </si>
  <si>
    <t>NH4Cl, Nutrient Broth, NaHCO23</t>
  </si>
  <si>
    <t>NH4Cl, Nutrient Broth, NaHCO24</t>
  </si>
  <si>
    <t>NH4Cl, Nutrient Broth, NaHCO25</t>
  </si>
  <si>
    <t>NH4Cl, Nutrient Broth, NaHCO26</t>
  </si>
  <si>
    <t>NH4Cl, Nutrient Broth, NaHCO27</t>
  </si>
  <si>
    <t>NH4Cl, Nutrient Broth, NaHCO28</t>
  </si>
  <si>
    <t>NH4Cl, Nutrient Broth, NaHCO29</t>
  </si>
  <si>
    <t>NH4Cl, Nutrient Broth, NaHCO30</t>
  </si>
  <si>
    <t>NH4Cl, Nutrient Broth, NaHCO31</t>
  </si>
  <si>
    <t>NH4Cl, Nutrient Broth, NaHCO32</t>
  </si>
  <si>
    <t>NH4Cl, Nutrient Broth, NaHCO33</t>
  </si>
  <si>
    <t>NH4Cl, Nutrient Broth, NaHCO34</t>
  </si>
  <si>
    <t>NH4Cl, Nutrient Broth, NaHCO35</t>
  </si>
  <si>
    <t>NH4Cl, Nutrient Broth, NaHCO36</t>
  </si>
  <si>
    <t>NH4Cl, Nutrient Broth, NaHCO37</t>
  </si>
  <si>
    <t>NH4Cl, Nutrient Broth, NaHCO38</t>
  </si>
  <si>
    <t>NH4Cl, Nutrient Broth, NaHCO39</t>
  </si>
  <si>
    <t>NH4Cl, Nutrient Broth, NaHCO40</t>
  </si>
  <si>
    <t>NH4Cl, Nutrient Broth, NaHCO41</t>
  </si>
  <si>
    <t>NH4Cl, Nutrient Broth, NaHCO42</t>
  </si>
  <si>
    <t>NH4Cl, Nutrient Broth, NaHCO43</t>
  </si>
  <si>
    <t>NH4Cl, Nutrient Broth, NaHCO44</t>
  </si>
  <si>
    <t>NH4Cl, Nutrient Broth, NaHCO45</t>
  </si>
  <si>
    <t>NH4Cl, Nutrient Broth, NaHCO46</t>
  </si>
  <si>
    <t>NH4Cl, Nutrient Broth, NaHCO47</t>
  </si>
  <si>
    <t>NH4Cl, Nutrient Broth, NaHCO48</t>
  </si>
  <si>
    <t>NH4Cl, Nutrient Broth, NaHCO49</t>
  </si>
  <si>
    <t>NH4Cl, Nutrient Broth, NaHCO50</t>
  </si>
  <si>
    <t>NH4Cl, Nutrient Broth, NaHCO51</t>
  </si>
  <si>
    <t>NH4Cl, Nutrient Broth, NaHCO52</t>
  </si>
  <si>
    <t>NH4Cl, Nutrient Broth, NaHCO53</t>
  </si>
  <si>
    <t>NH4Cl, Nutrient Broth, NaHCO54</t>
  </si>
  <si>
    <t>NH4Cl, Nutrient Broth, NaHCO55</t>
  </si>
  <si>
    <t>NH4Cl, Nutrient Broth, NaHCO56</t>
  </si>
  <si>
    <t>NH4Cl, Nutrient Broth, NaHCO57</t>
  </si>
  <si>
    <t>NH4Cl, Nutrient Broth, NaHCO58</t>
  </si>
  <si>
    <t>NH4Cl, Nutrient Broth, NaHCO59</t>
  </si>
  <si>
    <t>NH4Cl, Nutrient Broth, NaHCO60</t>
  </si>
  <si>
    <t>NH4Cl, Nutrient Broth, NaHCO61</t>
  </si>
  <si>
    <t>NH4Cl, Nutrient Broth, NaHCO62</t>
  </si>
  <si>
    <t>NH4Cl, Nutrient Broth, NaHCO63</t>
  </si>
  <si>
    <t>NH4Cl, Nutrient Broth, NaHCO64</t>
  </si>
  <si>
    <t>NH4Cl, Nutrient Broth, NaHCO65</t>
  </si>
  <si>
    <t>NH4Cl, Nutrient Broth, NaHCO66</t>
  </si>
  <si>
    <t>NH4Cl, Nutrient Broth, NaHCO67</t>
  </si>
  <si>
    <t>NH4Cl, Nutrient Broth, NaHCO68</t>
  </si>
  <si>
    <t>NH4Cl, Nutrient Broth, NaHCO69</t>
  </si>
  <si>
    <t>NH4Cl, Nutrient Broth, NaHCO70</t>
  </si>
  <si>
    <t>NH4Cl, Nutrient Broth, NaHCO71</t>
  </si>
  <si>
    <t>NH4Cl, Nutrient Broth, NaHCO72</t>
  </si>
  <si>
    <t>NH4Cl, Nutrient Broth, NaHCO73</t>
  </si>
  <si>
    <t>NH4Cl, Nutrient Broth, NaHCO74</t>
  </si>
  <si>
    <t>Zhao</t>
  </si>
  <si>
    <t>Factors Affecting Improvement of Engineering Properties of MICP-Treated Soil Catalyzed by Bacteria and Urease</t>
  </si>
  <si>
    <t>NH4Cl, Nutrient Broth, NaHCO75</t>
  </si>
  <si>
    <t>NH4Cl, Nutrient Broth, NaHCO76</t>
  </si>
  <si>
    <t>NH4Cl, Nutrient Broth, NaHCO77</t>
  </si>
  <si>
    <t>NH4Cl, Nutrient Broth, NaHCO78</t>
  </si>
  <si>
    <t>NH4Cl, Nutrient Broth, NaHCO79</t>
  </si>
  <si>
    <t>NH4Cl, Nutrient Broth, NaHCO80</t>
  </si>
  <si>
    <t>NH4Cl, Nutrient Broth, NaHCO81</t>
  </si>
  <si>
    <t>NH4Cl, Nutrient Broth, NaHCO82</t>
  </si>
  <si>
    <t>NH4Cl, Nutrient Broth, NaHCO83</t>
  </si>
  <si>
    <t>NH4Cl, Nutrient Broth, NaHCO84</t>
  </si>
  <si>
    <t>NH4Cl, Nutrient Broth, NaHCO85</t>
  </si>
  <si>
    <t>NH4Cl, Nutrient Broth, NaHCO86</t>
  </si>
  <si>
    <t>Li</t>
  </si>
  <si>
    <t>Impact of Oxygen Availability on Microbially Induced Calcite Precipitation (MICP) Treatment</t>
  </si>
  <si>
    <t>Pararhodobacter sp</t>
  </si>
  <si>
    <t>NH4Cl, Nutrient Broth, NaHCO87</t>
  </si>
  <si>
    <t>NH4Cl, Nutrient Broth, NaHCO88</t>
  </si>
  <si>
    <t>NH4Cl, Nutrient Broth, NaHCO89</t>
  </si>
  <si>
    <t>NH4Cl, Nutrient Broth, NaHCO90</t>
  </si>
  <si>
    <t>NH4Cl, Nutrient Broth, NaHCO91</t>
  </si>
  <si>
    <t>NH4Cl, Nutrient Broth, NaHCO92</t>
  </si>
  <si>
    <t>NH4Cl, Nutrient Broth, NaHCO93</t>
  </si>
  <si>
    <t>NH4Cl, Nutrient Broth, NaHCO94</t>
  </si>
  <si>
    <t>NH4Cl, Nutrient Broth, NaHCO95</t>
  </si>
  <si>
    <t>NH4Cl, Nutrient Broth, NaHCO96</t>
  </si>
  <si>
    <t>NH4Cl, Nutrient Broth, NaHCO97</t>
  </si>
  <si>
    <t>NH4Cl, Nutrient Broth, NaHCO98</t>
  </si>
  <si>
    <t>NH4Cl, Nutrient Broth, NaHCO99</t>
  </si>
  <si>
    <t>NH4Cl, Nutrient Broth, NaHCO100</t>
  </si>
  <si>
    <t>NH4Cl, Nutrient Broth, NaHCO101</t>
  </si>
  <si>
    <t>NH4Cl, Nutrient Broth, NaHCO102</t>
  </si>
  <si>
    <t>NH4Cl, Nutrient Broth, NaHCO103</t>
  </si>
  <si>
    <t>NH4Cl, Nutrient Broth, NaHCO104</t>
  </si>
  <si>
    <t>Amarakoon</t>
  </si>
  <si>
    <t>Factors Affecting Sand Solidifcation Using MICP with Pararhodobacter sp.</t>
  </si>
  <si>
    <t>PERCOLATION</t>
  </si>
  <si>
    <t>Bacilius Sp</t>
  </si>
  <si>
    <t>Choi</t>
  </si>
  <si>
    <t>Properties of biocemented, fiber reinforced sand</t>
  </si>
  <si>
    <t>Alkalophilic Microbes</t>
  </si>
  <si>
    <t>Hui</t>
  </si>
  <si>
    <t>Characterization of microbe cementitious materials</t>
  </si>
  <si>
    <t>Toyoura Sand</t>
  </si>
  <si>
    <t>Silica</t>
  </si>
  <si>
    <t>Commerical</t>
  </si>
  <si>
    <t>Yasuhara</t>
  </si>
  <si>
    <t>Experiments and predictions of physical properties of sand cemented by enzymatically-induced carbonate precipitation</t>
  </si>
  <si>
    <t>2095 Granusil Silica Sand</t>
  </si>
  <si>
    <t>2096 Granusil Silica Sand</t>
  </si>
  <si>
    <t>2097 Granusil Silica Sand</t>
  </si>
  <si>
    <t>Jack Bean Meal</t>
  </si>
  <si>
    <t>Beser</t>
  </si>
  <si>
    <t>UREOLYSIS INDUCED MINERAL PRECIPITATION MATERIAL PROPERTIES COMPARED TO OIL AND GAS WELL CEMENTS</t>
  </si>
  <si>
    <t>MEICP</t>
  </si>
  <si>
    <t>SP+JBM</t>
  </si>
  <si>
    <t>MICP+EICP</t>
  </si>
  <si>
    <t>ENCIP</t>
  </si>
  <si>
    <t>Nutrient Broth</t>
  </si>
  <si>
    <t>2098 Granusil Silica Sand</t>
  </si>
  <si>
    <t>2099 Granusil Silica Sand</t>
  </si>
  <si>
    <t>2100 Granusil Silica Sand</t>
  </si>
  <si>
    <t>2101 Granusil Silica Sand</t>
  </si>
  <si>
    <t>2102 Granusil Silica Sand</t>
  </si>
  <si>
    <t>2103 Granusil Silica Sand</t>
  </si>
  <si>
    <t>2104 Granusil Silica Sand</t>
  </si>
  <si>
    <t>2105 Granusil Silica Sand</t>
  </si>
  <si>
    <t>2106 Granusil Silica Sand</t>
  </si>
  <si>
    <t>2107 Granusil Silica Sand</t>
  </si>
  <si>
    <t>2108 Granusil Silica Sand</t>
  </si>
  <si>
    <t>2109 Granusil Silica Sand</t>
  </si>
  <si>
    <t>2110 Granusil Silica Sand</t>
  </si>
  <si>
    <t>2111 Granusil Silica Sand</t>
  </si>
  <si>
    <t>Bacterial Extracted</t>
  </si>
  <si>
    <t xml:space="preserve">SP </t>
  </si>
  <si>
    <t>Hoang</t>
  </si>
  <si>
    <t>Engineering Properties of Biocementation Coarse- and Fine-Grained Sand Catalyzed By Bacterial Cells and Bacterial Enzyme</t>
  </si>
  <si>
    <t>NFMD</t>
  </si>
  <si>
    <t>Jack Bean</t>
  </si>
  <si>
    <t>Martin</t>
  </si>
  <si>
    <t>Mid-scale biocemented soil columns via enzyme-induced carbonate precipitation (EICP)</t>
  </si>
  <si>
    <t>MIX-COMPACT</t>
  </si>
  <si>
    <t>Pandey</t>
  </si>
  <si>
    <t>Feasibility study of water based/polymer modified EICP for soil improvement involving recycled glass aggregate</t>
  </si>
  <si>
    <t>Arab</t>
  </si>
  <si>
    <t>One-Phase EICP Biotreatment of Sand Exposed to Various Environmental Conditions</t>
  </si>
  <si>
    <t>Ottawa 20/30</t>
  </si>
  <si>
    <t>Ottawa 20/31</t>
  </si>
  <si>
    <t>Ottawa 20/32</t>
  </si>
  <si>
    <t>Ottawa 20/33</t>
  </si>
  <si>
    <t>Ottawa 20/34</t>
  </si>
  <si>
    <t>Crude Extract in Chemical Solution</t>
  </si>
  <si>
    <t xml:space="preserve">  Crude Extracts in Water</t>
  </si>
  <si>
    <t>Sigma Aldrich High Activity</t>
  </si>
  <si>
    <t>Sigma Aldrich Low Activity</t>
  </si>
  <si>
    <t>Khodadadi Tirkolaei</t>
  </si>
  <si>
    <t>Crude Urease Extract for Biocementation</t>
  </si>
  <si>
    <t>Kishida Chemical</t>
  </si>
  <si>
    <t>Neupane</t>
  </si>
  <si>
    <t>Distribution of mineralized carbonate and its quantification method in enzyme mediated calcite precipitation technique</t>
  </si>
  <si>
    <t>Ottawa20/30</t>
  </si>
  <si>
    <t>Ottawa F-85</t>
  </si>
  <si>
    <t>Pasillas</t>
  </si>
  <si>
    <t>Viscosity-Enhanced EICP Treatment of Soil</t>
  </si>
  <si>
    <t>Ottawa20/31</t>
  </si>
  <si>
    <t>Ottawa20/32</t>
  </si>
  <si>
    <t>Ottawa20/33</t>
  </si>
  <si>
    <t>Ottawa20/34</t>
  </si>
  <si>
    <t>Ottawa20/35</t>
  </si>
  <si>
    <t>Ottawa20/36</t>
  </si>
  <si>
    <t>Ottawa20/37</t>
  </si>
  <si>
    <t>Ottawa20/38</t>
  </si>
  <si>
    <t>Almajed</t>
  </si>
  <si>
    <t>Enzyme Induced Biocementated sand with High strength at Low Carbonate Content</t>
  </si>
  <si>
    <t>SC</t>
  </si>
  <si>
    <t>Clayey Sand</t>
  </si>
  <si>
    <t>Soybeans</t>
  </si>
  <si>
    <t>Lee and Kim</t>
  </si>
  <si>
    <t>An Experimental Study on Enzymatic-Induced Carbonate Precipitation Using Yellow Soybeans for Soil Stabilization</t>
  </si>
  <si>
    <t>Nakdong River Sand</t>
  </si>
  <si>
    <t>Jack Bean Extracts</t>
  </si>
  <si>
    <t>Calcium hydroxide</t>
  </si>
  <si>
    <t>Calcium nitrate</t>
  </si>
  <si>
    <t>Effect of Plant-Induced Calcite Precipitation on the Strength of Sand</t>
  </si>
  <si>
    <t>Park</t>
  </si>
  <si>
    <t>Putra</t>
  </si>
  <si>
    <t>Optimum Condition for the Application of Enzyme-Mediated Calcite Precipitation Technique as Soil Improvement Method</t>
  </si>
  <si>
    <t>Baseline Investigation on Enzyme-Induced Calcium Carbonate Precipitation</t>
  </si>
  <si>
    <t>SP-SM</t>
  </si>
  <si>
    <t>SM</t>
  </si>
  <si>
    <t>BEICP</t>
  </si>
  <si>
    <t>Poorly Graded Silty Sand</t>
  </si>
  <si>
    <t>Silty Sand</t>
  </si>
  <si>
    <t>Sand and silty-sand soil stabilization using bacterial enzyme–induced calcite precipitation (BEICP)</t>
  </si>
  <si>
    <t>Seawater Added</t>
  </si>
  <si>
    <t>Calcerous</t>
  </si>
  <si>
    <t>Sword Jack Bean</t>
  </si>
  <si>
    <t>Miftah</t>
  </si>
  <si>
    <t>Biocementation of Calcareous Beach Sand Using Enzymatic Calcium Carbonate Precipitation</t>
  </si>
  <si>
    <t>F-60</t>
  </si>
  <si>
    <t>Kavazanjian and Hamdan</t>
  </si>
  <si>
    <t>Enzyme Induced Carbonate Precipitation (EICP) Columns for Ground Improvement</t>
  </si>
  <si>
    <t>Adelaide Industrial Sand</t>
  </si>
  <si>
    <t>NH4Cl</t>
  </si>
  <si>
    <t>NH4CL+NFMD</t>
  </si>
  <si>
    <t>Ahenkorah</t>
  </si>
  <si>
    <t>A comparison of mechanical responses for Microbial and Enzyme-induced cemented Sand</t>
  </si>
  <si>
    <t>Poorly Graded Silica Sand</t>
  </si>
  <si>
    <t>MgCl2</t>
  </si>
  <si>
    <t>Effect of Magnesium as Substitute Material in Enzyme-Mediated Calcite Precipitation for Soil Improvement</t>
  </si>
  <si>
    <t>Bacteria Extracted Urease</t>
  </si>
  <si>
    <t>POWER</t>
  </si>
  <si>
    <t>Lai</t>
  </si>
  <si>
    <t>Effect of pH on soil improvement using one-phase-low-pH MICP or EICP biocementation method</t>
  </si>
  <si>
    <t>Ottawa 20/35</t>
  </si>
  <si>
    <t>pH Controlled</t>
  </si>
  <si>
    <t>Ottawa 20/36</t>
  </si>
  <si>
    <t>Ottawa 20/37</t>
  </si>
  <si>
    <t>Ottawa 20/38</t>
  </si>
  <si>
    <t>Ottawa 20/39</t>
  </si>
  <si>
    <t>Ottawa 20/40</t>
  </si>
  <si>
    <t>Ottawa 20/41</t>
  </si>
  <si>
    <t>Ottawa 20/42</t>
  </si>
  <si>
    <t>Ottawa 20/43</t>
  </si>
  <si>
    <t>Ottawa 20/44</t>
  </si>
  <si>
    <t>Ottawa 20/45</t>
  </si>
  <si>
    <t>Ottawa 20/46</t>
  </si>
  <si>
    <t>Ottawa 20/47</t>
  </si>
  <si>
    <t>Ottawa 20/48</t>
  </si>
  <si>
    <t>Ottawa 20/49</t>
  </si>
  <si>
    <t>Ottawa 20/50</t>
  </si>
  <si>
    <t>Ottawa 20/51</t>
  </si>
  <si>
    <t>Ottawa 20/52</t>
  </si>
  <si>
    <t>Ottawa 20/53</t>
  </si>
  <si>
    <t>Ottawa 20/54</t>
  </si>
  <si>
    <t>Ottawa 20/55</t>
  </si>
  <si>
    <t>Ottawa 20/56</t>
  </si>
  <si>
    <t>Ottawa 20/57</t>
  </si>
  <si>
    <t>Ottawa 20/58</t>
  </si>
  <si>
    <t>Ottawa 20/59</t>
  </si>
  <si>
    <t xml:space="preserve">Bacterial Urease </t>
  </si>
  <si>
    <t>Bacterial Urease</t>
  </si>
  <si>
    <t>pH controlled</t>
  </si>
  <si>
    <t>Chen</t>
  </si>
  <si>
    <t>Modified one-phase-low-pH EICP method using low-pH cementation solution for soil biomineralization</t>
  </si>
  <si>
    <t>GP</t>
  </si>
  <si>
    <t>Poorly Graded Gravel</t>
  </si>
  <si>
    <t>Soybean Urease</t>
  </si>
  <si>
    <t>Soy Bean</t>
  </si>
  <si>
    <t>Jiang</t>
  </si>
  <si>
    <t>Study on the mechanism and optimal proportioning test of pea gravel backfill
behind TBM tunnel linings reinforced with enzyme-induced calcium carbonate
precipitation (EICP) technology</t>
  </si>
  <si>
    <t>Permeability (m/s)</t>
  </si>
  <si>
    <t>Nutrient Broth, NH4Cl, Sodium Bicarbonate</t>
  </si>
  <si>
    <t xml:space="preserve"> 5.12×10⁻⁴</t>
  </si>
  <si>
    <t xml:space="preserve"> 1.66×10⁻⁴</t>
  </si>
  <si>
    <t xml:space="preserve"> 9.37×10⁻⁵</t>
  </si>
  <si>
    <t xml:space="preserve"> 2.72×10⁻⁴</t>
  </si>
  <si>
    <t xml:space="preserve"> 1.05×10⁻⁴</t>
  </si>
  <si>
    <t xml:space="preserve"> 4.55×10⁻⁵</t>
  </si>
  <si>
    <t xml:space="preserve"> 2.43×10⁻⁴</t>
  </si>
  <si>
    <t xml:space="preserve"> 7.76×10⁻⁵</t>
  </si>
  <si>
    <t xml:space="preserve"> 2.27×10⁻⁵</t>
  </si>
  <si>
    <t xml:space="preserve"> 9.39×10⁻⁵</t>
  </si>
  <si>
    <t xml:space="preserve"> 5.62×10⁻⁵</t>
  </si>
  <si>
    <t xml:space="preserve"> 1.93×10⁻⁵</t>
  </si>
  <si>
    <t xml:space="preserve"> 8.66×10⁻⁵</t>
  </si>
  <si>
    <t xml:space="preserve"> 4.76×10⁻⁵</t>
  </si>
  <si>
    <t xml:space="preserve"> 1.72×10⁻⁵</t>
  </si>
  <si>
    <t>E50 (kpa)</t>
  </si>
  <si>
    <t>q_peak (kPa)</t>
  </si>
  <si>
    <t>q_residual (kPa)</t>
  </si>
  <si>
    <t>epsilon_peak (%)</t>
  </si>
  <si>
    <t>Calcerous Sand</t>
  </si>
  <si>
    <t>Soybean</t>
  </si>
  <si>
    <t>Triaxial Compression Behavior and Damage Model of EICP‑Cemented Calcareous Sand</t>
  </si>
  <si>
    <t>ASTM C778-graded quartz sand</t>
  </si>
  <si>
    <t>Liu</t>
  </si>
  <si>
    <t>Bio-reinforcement efficiency of enzyme-induced carbonate precipitation modified by sword bean crude urease combined with multiple enhancers on bio-cemented sand</t>
  </si>
  <si>
    <t>CH</t>
  </si>
  <si>
    <t>Expansive Clay</t>
  </si>
  <si>
    <t>Mehmood</t>
  </si>
  <si>
    <t>Experimental study on the engineering characteristics of expansive soil improved conjointly using enzyme induced carbonate
precipitation and eggshell powder</t>
  </si>
  <si>
    <t>Tengger Desert Sand</t>
  </si>
  <si>
    <t>Evaluation of enzyme-induced carbonate precipitation using crude soybean urease during soil percolation</t>
  </si>
  <si>
    <t>CD</t>
  </si>
  <si>
    <t>Hamdan</t>
  </si>
  <si>
    <t>Applications of Enzyme Induced Carbonate Precipitation (EICP) for Soil Improvement</t>
  </si>
  <si>
    <t>F-61</t>
  </si>
  <si>
    <t>CU</t>
  </si>
  <si>
    <t>ML*</t>
  </si>
  <si>
    <t>No plastic Silt</t>
  </si>
  <si>
    <t>Gao</t>
  </si>
  <si>
    <t>Calcium carbonate precipitation catalyzed by soybean urease as an improvement method for fine-grained soil</t>
  </si>
  <si>
    <t>Gitanjali</t>
  </si>
  <si>
    <t>Bio-cementation of sand using enzyme-induced calcite precipitation: Mechanical behavior and microstructural analysis</t>
  </si>
  <si>
    <t>Poorly Graded Sand with some fine</t>
  </si>
  <si>
    <t>Extracted</t>
  </si>
  <si>
    <t>Zhang</t>
  </si>
  <si>
    <t>Mechanical behaviour of EICP-treated calcareous sands: experimental study and constitutive modelling</t>
  </si>
  <si>
    <t xml:space="preserve">    Ottawa 20–30</t>
  </si>
  <si>
    <t>Nafisi</t>
  </si>
  <si>
    <t>Influence of Microbe and Enzyme-Induced Treatments on Cemented Sand Shear Response</t>
  </si>
  <si>
    <t>NFMD+NH4Cl</t>
  </si>
  <si>
    <t xml:space="preserve">    Ottawa 50–70</t>
  </si>
  <si>
    <t>Triaxial Test Type</t>
  </si>
  <si>
    <t>Data Summary</t>
  </si>
  <si>
    <t>Variables</t>
  </si>
  <si>
    <t>NA Count</t>
  </si>
  <si>
    <t>Total Data</t>
  </si>
  <si>
    <t>Data Available</t>
  </si>
  <si>
    <t>Diameter (mm)</t>
  </si>
  <si>
    <t>Height to Diameter Ratio</t>
  </si>
  <si>
    <t>Strain Rate (%/min)</t>
  </si>
  <si>
    <t>1. In the study by Liu (2023), they mentioned the aspect ratio varied from 1:1.5 to 1:2, so I took average value</t>
  </si>
  <si>
    <t>2. When loading rate was provided in mm/min, I converted to strain rate using ratio of loading rate/initial height of sample*100</t>
  </si>
  <si>
    <t>Blessington quarry sand</t>
  </si>
  <si>
    <t>Carbonate rich</t>
  </si>
  <si>
    <t>STIMULATED</t>
  </si>
  <si>
    <t>Shivaprakash</t>
  </si>
  <si>
    <t>Effect of natural carbonates on microbially induced calcite precipitation process</t>
  </si>
  <si>
    <t>Poorly Graded sand</t>
  </si>
  <si>
    <t>Calcareous</t>
  </si>
  <si>
    <t>AUGMENTATION</t>
  </si>
  <si>
    <t>Biocementation of calcareous sand using soluble calcium derived from calcareous sand</t>
  </si>
  <si>
    <t>Soluble Carbonate from sand</t>
  </si>
  <si>
    <t>PURE</t>
  </si>
  <si>
    <t>Effects of Different Types of Fibers on the Physical and Mechanical Properties of MICP-Treated Calcareous Sand</t>
  </si>
  <si>
    <t>Experimental study on permeability and strength characteristics ofMICP-treated calcareous sand</t>
  </si>
  <si>
    <t>Medium sand</t>
  </si>
  <si>
    <t>Cui</t>
  </si>
  <si>
    <t>Seawater-based soybean urease for calcareous sand biomineralization</t>
  </si>
  <si>
    <t>Artificial Sea Water</t>
  </si>
  <si>
    <t>Artificial Sea Water + 5 g/L MgCl2</t>
  </si>
  <si>
    <t>Artificial Sea Water + 0.5g/L CaCl2</t>
  </si>
  <si>
    <t>Properties</t>
  </si>
  <si>
    <t>No of Missing Values</t>
  </si>
  <si>
    <t>SN</t>
  </si>
  <si>
    <t>Data After Cleaning</t>
  </si>
  <si>
    <t>X1</t>
  </si>
  <si>
    <t>X2</t>
  </si>
  <si>
    <t>X3</t>
  </si>
  <si>
    <t>X4</t>
  </si>
  <si>
    <t>X5</t>
  </si>
  <si>
    <t>Squred Multiple Correlation</t>
  </si>
  <si>
    <t>f2</t>
  </si>
  <si>
    <t>1-beta</t>
  </si>
  <si>
    <t>Sample Size</t>
  </si>
  <si>
    <t>Medium Effect Size (f2 = 0.15)</t>
  </si>
  <si>
    <t>R2</t>
  </si>
  <si>
    <t>Urease Activity (M urea_h)</t>
  </si>
  <si>
    <t>Dry Density (kg_m3)</t>
  </si>
  <si>
    <t>Initial Permeability (m_s)</t>
  </si>
  <si>
    <t>Author-Date</t>
  </si>
  <si>
    <t>Beser et al. (2018)</t>
  </si>
  <si>
    <t>Almajed et al. (2019)</t>
  </si>
  <si>
    <t>Almajed (2019)</t>
  </si>
  <si>
    <t>Cui (2024)</t>
  </si>
  <si>
    <t>Mineralogy</t>
  </si>
  <si>
    <t>30-40</t>
  </si>
  <si>
    <t>d50</t>
  </si>
  <si>
    <t>Moisture content before UCS test</t>
  </si>
  <si>
    <t>Miftah (2020)</t>
  </si>
  <si>
    <t>Shivaprakash (2025)</t>
  </si>
  <si>
    <t>Chen (2023)</t>
  </si>
  <si>
    <t>Liu (2017)</t>
  </si>
  <si>
    <t>1-2 (exact value not provided)</t>
  </si>
  <si>
    <t>Relative density (approx)</t>
  </si>
  <si>
    <t>30-40 (exact value not provided)</t>
  </si>
  <si>
    <t>Varied  from 30 to 80</t>
  </si>
  <si>
    <t>36.4 (saturated)</t>
  </si>
  <si>
    <t>36-39 (saturated)</t>
  </si>
  <si>
    <t>Comparison between studies in Calcareous sand</t>
  </si>
  <si>
    <t>Sum of Relative Density (%)</t>
  </si>
  <si>
    <t>sigma_3</t>
  </si>
  <si>
    <t>Normalized Permeability</t>
  </si>
  <si>
    <t>Liu et al. (2017)</t>
  </si>
  <si>
    <t>UCS</t>
  </si>
  <si>
    <t>Log UCS</t>
  </si>
  <si>
    <t>Bins</t>
  </si>
  <si>
    <t>0-100</t>
  </si>
  <si>
    <t>100-200</t>
  </si>
  <si>
    <t>Category</t>
  </si>
  <si>
    <t xml:space="preserve">Loading Rate </t>
  </si>
  <si>
    <t>1.25 (%/min)</t>
  </si>
  <si>
    <t>0.21 Mpa/s</t>
  </si>
  <si>
    <t>Cui et al. (2024)</t>
  </si>
  <si>
    <t>0.6 mm</t>
  </si>
  <si>
    <t>1mm to 2 mm</t>
  </si>
  <si>
    <t>Relative Density</t>
  </si>
  <si>
    <t>Mix-and-Compact</t>
  </si>
  <si>
    <t>Injection</t>
  </si>
  <si>
    <t>Moisture Content before UCS test</t>
  </si>
  <si>
    <t>Oven Dried (0)</t>
  </si>
  <si>
    <t>Saturated for 24 h</t>
  </si>
  <si>
    <t>Modifications</t>
  </si>
  <si>
    <t>Non fat milk powder modified</t>
  </si>
  <si>
    <t>Crude urease extracted in sea water</t>
  </si>
  <si>
    <t>Al Qabany (2013)</t>
  </si>
  <si>
    <t>Hoang (2020)</t>
  </si>
  <si>
    <t>Yasuhara (2013)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</si>
</sst>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sz val="12"/>
      <color rgb="FFFF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 wrapText="1"/>
    </xf>
    <xf numFmtId="2" fontId="2" fillId="0" borderId="5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2" fontId="2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2" fontId="2" fillId="0" borderId="12" xfId="0" applyNumberFormat="1" applyFont="1" applyBorder="1" applyAlignment="1">
      <alignment horizontal="center" vertical="center"/>
    </xf>
    <xf numFmtId="11" fontId="2" fillId="0" borderId="4" xfId="0" applyNumberFormat="1" applyFont="1" applyBorder="1" applyAlignment="1">
      <alignment horizontal="center" vertical="center"/>
    </xf>
    <xf numFmtId="11" fontId="2" fillId="0" borderId="12" xfId="0" applyNumberFormat="1" applyFont="1" applyBorder="1" applyAlignment="1">
      <alignment horizontal="center" vertical="center"/>
    </xf>
    <xf numFmtId="11" fontId="2" fillId="0" borderId="5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11" fontId="2" fillId="0" borderId="1" xfId="0" applyNumberFormat="1" applyFont="1" applyBorder="1" applyAlignment="1">
      <alignment horizontal="center" vertical="center"/>
    </xf>
    <xf numFmtId="11" fontId="2" fillId="2" borderId="1" xfId="0" applyNumberFormat="1" applyFont="1" applyFill="1" applyBorder="1" applyAlignment="1">
      <alignment horizontal="center" vertical="center" wrapText="1"/>
    </xf>
    <xf numFmtId="11" fontId="2" fillId="0" borderId="1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" fontId="2" fillId="2" borderId="12" xfId="0" applyNumberFormat="1" applyFont="1" applyFill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8" borderId="0" xfId="0" applyFont="1" applyFill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2" fontId="2" fillId="0" borderId="18" xfId="0" applyNumberFormat="1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0" fillId="0" borderId="1" xfId="0" applyBorder="1"/>
    <xf numFmtId="11" fontId="2" fillId="0" borderId="18" xfId="0" applyNumberFormat="1" applyFont="1" applyBorder="1" applyAlignment="1">
      <alignment horizontal="center" vertical="center"/>
    </xf>
    <xf numFmtId="164" fontId="2" fillId="0" borderId="18" xfId="0" applyNumberFormat="1" applyFont="1" applyBorder="1" applyAlignment="1">
      <alignment horizontal="center" vertical="center"/>
    </xf>
    <xf numFmtId="0" fontId="0" fillId="0" borderId="5" xfId="0" applyBorder="1"/>
    <xf numFmtId="0" fontId="0" fillId="0" borderId="4" xfId="0" applyBorder="1"/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20" xfId="0" applyFont="1" applyFill="1" applyBorder="1" applyAlignment="1">
      <alignment horizontal="center" vertical="center" wrapText="1"/>
    </xf>
    <xf numFmtId="0" fontId="2" fillId="9" borderId="2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/>
    </xf>
    <xf numFmtId="0" fontId="1" fillId="0" borderId="0" xfId="0" applyFont="1"/>
    <xf numFmtId="0" fontId="1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pivotButton="1"/>
    <xf numFmtId="11" fontId="2" fillId="0" borderId="0" xfId="0" applyNumberFormat="1" applyFont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18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/>
    </xf>
    <xf numFmtId="0" fontId="2" fillId="7" borderId="19" xfId="0" applyFont="1" applyFill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7" borderId="33" xfId="0" applyFont="1" applyFill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0" fontId="0" fillId="0" borderId="13" xfId="0" applyBorder="1"/>
    <xf numFmtId="2" fontId="2" fillId="2" borderId="11" xfId="0" applyNumberFormat="1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10" xfId="0" applyBorder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751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Relationship Id="rId4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Relationship Id="rId4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5632124352331606"/>
          <c:y val="3.2133110844588135E-2"/>
          <c:w val="0.59587947704383515"/>
          <c:h val="0.83067042116424183"/>
        </c:manualLayout>
      </c:layout>
      <c:scatterChart>
        <c:scatterStyle val="smoothMarker"/>
        <c:varyColors val="0"/>
        <c:ser>
          <c:idx val="5"/>
          <c:order val="0"/>
          <c:tx>
            <c:strRef>
              <c:f>NFMD_compared!$AL$2</c:f>
              <c:strCache>
                <c:ptCount val="1"/>
                <c:pt idx="0">
                  <c:v>Yasuhara (2012) -Pure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NFMD_compared!$A$2:$A$7</c:f>
              <c:numCache>
                <c:formatCode>0.00</c:formatCode>
                <c:ptCount val="6"/>
                <c:pt idx="0">
                  <c:v>4.1140719962599004</c:v>
                </c:pt>
                <c:pt idx="1">
                  <c:v>6.0133239831696992</c:v>
                </c:pt>
                <c:pt idx="2">
                  <c:v>5.6626928471247995</c:v>
                </c:pt>
                <c:pt idx="3">
                  <c:v>7.7080411407199332</c:v>
                </c:pt>
                <c:pt idx="4">
                  <c:v>6.5918653576437336</c:v>
                </c:pt>
                <c:pt idx="5">
                  <c:v>5.0374006545114334</c:v>
                </c:pt>
              </c:numCache>
            </c:numRef>
          </c:xVal>
          <c:yVal>
            <c:numRef>
              <c:f>NFMD_compared!$B$2:$B$7</c:f>
              <c:numCache>
                <c:formatCode>0.00</c:formatCode>
                <c:ptCount val="6"/>
                <c:pt idx="0">
                  <c:v>369.614512471654</c:v>
                </c:pt>
                <c:pt idx="1">
                  <c:v>467.12018140589498</c:v>
                </c:pt>
                <c:pt idx="2">
                  <c:v>752.83446712018099</c:v>
                </c:pt>
                <c:pt idx="3">
                  <c:v>435.37414965986301</c:v>
                </c:pt>
                <c:pt idx="4">
                  <c:v>888.888888888888</c:v>
                </c:pt>
                <c:pt idx="5">
                  <c:v>1623.5827664399001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321-4999-B062-55831FB9C5F4}"/>
            </c:ext>
          </c:extLst>
        </c:ser>
        <c:ser>
          <c:idx val="7"/>
          <c:order val="2"/>
          <c:tx>
            <c:strRef>
              <c:f>NFMD_compared!$AL$13</c:f>
              <c:strCache>
                <c:ptCount val="1"/>
                <c:pt idx="0">
                  <c:v>Hoang (2020) -Pure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olid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5.4793647092902083E-2"/>
                  <c:y val="-8.2612327853317624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1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baseline="0"/>
                      <a:t>Hoang (2020) Pure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199x</a:t>
                    </a:r>
                    <a:r>
                      <a:rPr lang="en-US" baseline="30000"/>
                      <a:t>0.9828</a:t>
                    </a:r>
                    <a:br>
                      <a:rPr lang="en-US" baseline="0"/>
                    </a:br>
                    <a:r>
                      <a:rPr lang="en-US" baseline="0"/>
                      <a:t>R² = 0.7319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NFMD_compared!$A$13:$A$33</c:f>
              <c:numCache>
                <c:formatCode>0.00</c:formatCode>
                <c:ptCount val="21"/>
                <c:pt idx="0">
                  <c:v>1.5336084905660301</c:v>
                </c:pt>
                <c:pt idx="1">
                  <c:v>1.68396226415094</c:v>
                </c:pt>
                <c:pt idx="2">
                  <c:v>2.5860849056603699</c:v>
                </c:pt>
                <c:pt idx="3">
                  <c:v>1.9646226415094299</c:v>
                </c:pt>
                <c:pt idx="4">
                  <c:v>2.1350235849056598</c:v>
                </c:pt>
                <c:pt idx="5">
                  <c:v>2.8266509433962201</c:v>
                </c:pt>
                <c:pt idx="6">
                  <c:v>4.1998820754716997</c:v>
                </c:pt>
                <c:pt idx="7">
                  <c:v>5.5029481132075402</c:v>
                </c:pt>
                <c:pt idx="8">
                  <c:v>5.95400943396226</c:v>
                </c:pt>
                <c:pt idx="9">
                  <c:v>5.3425707547169798</c:v>
                </c:pt>
                <c:pt idx="10">
                  <c:v>7.8685141509434002</c:v>
                </c:pt>
                <c:pt idx="11">
                  <c:v>8.0689858490566007</c:v>
                </c:pt>
                <c:pt idx="12">
                  <c:v>1.84413202933985</c:v>
                </c:pt>
                <c:pt idx="13">
                  <c:v>2.2677261613691901</c:v>
                </c:pt>
                <c:pt idx="14">
                  <c:v>2.31051344743276</c:v>
                </c:pt>
                <c:pt idx="15">
                  <c:v>2.4474327628361801</c:v>
                </c:pt>
                <c:pt idx="16">
                  <c:v>3.1919315403422899</c:v>
                </c:pt>
                <c:pt idx="17">
                  <c:v>3.70110024449877</c:v>
                </c:pt>
                <c:pt idx="18">
                  <c:v>5.1900977995110003</c:v>
                </c:pt>
                <c:pt idx="19">
                  <c:v>6.0501222493887497</c:v>
                </c:pt>
                <c:pt idx="20">
                  <c:v>6.5165036674816603</c:v>
                </c:pt>
              </c:numCache>
            </c:numRef>
          </c:xVal>
          <c:yVal>
            <c:numRef>
              <c:f>NFMD_compared!$B$13:$B$33</c:f>
              <c:numCache>
                <c:formatCode>0.00</c:formatCode>
                <c:ptCount val="21"/>
                <c:pt idx="0">
                  <c:v>417.53653444676399</c:v>
                </c:pt>
                <c:pt idx="1">
                  <c:v>396.659707724425</c:v>
                </c:pt>
                <c:pt idx="2">
                  <c:v>493.21503131524003</c:v>
                </c:pt>
                <c:pt idx="3">
                  <c:v>631.52400835073001</c:v>
                </c:pt>
                <c:pt idx="4">
                  <c:v>474.947807933192</c:v>
                </c:pt>
                <c:pt idx="5">
                  <c:v>701.98329853862197</c:v>
                </c:pt>
                <c:pt idx="6">
                  <c:v>1242.1711899791201</c:v>
                </c:pt>
                <c:pt idx="7">
                  <c:v>1336.1169102296401</c:v>
                </c:pt>
                <c:pt idx="8">
                  <c:v>1456.15866388308</c:v>
                </c:pt>
                <c:pt idx="9">
                  <c:v>1127.3486430062601</c:v>
                </c:pt>
                <c:pt idx="10">
                  <c:v>1513.5699373695099</c:v>
                </c:pt>
                <c:pt idx="11">
                  <c:v>2366.9102296450901</c:v>
                </c:pt>
                <c:pt idx="12">
                  <c:v>170.85436281406999</c:v>
                </c:pt>
                <c:pt idx="13">
                  <c:v>418.09053135678403</c:v>
                </c:pt>
                <c:pt idx="14">
                  <c:v>397.99002984924601</c:v>
                </c:pt>
                <c:pt idx="15">
                  <c:v>381.90962864321602</c:v>
                </c:pt>
                <c:pt idx="16">
                  <c:v>524.62318934673397</c:v>
                </c:pt>
                <c:pt idx="17">
                  <c:v>532.66338994974797</c:v>
                </c:pt>
                <c:pt idx="18">
                  <c:v>693.46740201005002</c:v>
                </c:pt>
                <c:pt idx="19">
                  <c:v>818.09051135678396</c:v>
                </c:pt>
                <c:pt idx="20">
                  <c:v>882.41211618090404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8321-4999-B062-55831FB9C5F4}"/>
            </c:ext>
          </c:extLst>
        </c:ser>
        <c:ser>
          <c:idx val="8"/>
          <c:order val="3"/>
          <c:tx>
            <c:strRef>
              <c:f>NFMD_compared!$AL$34</c:f>
              <c:strCache>
                <c:ptCount val="1"/>
                <c:pt idx="0">
                  <c:v>Martin (2021) -NFMD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>
                    <a:lumMod val="60000"/>
                  </a:schemeClr>
                </a:solidFill>
                <a:prstDash val="solid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7.6958082965066787E-2"/>
                  <c:y val="0.1055045375860084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1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baseline="0"/>
                      <a:t>Martin (2021) NFMD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1.6618x</a:t>
                    </a:r>
                    <a:r>
                      <a:rPr lang="en-US" baseline="30000"/>
                      <a:t>3.1874</a:t>
                    </a:r>
                    <a:br>
                      <a:rPr lang="en-US" baseline="0"/>
                    </a:br>
                    <a:r>
                      <a:rPr lang="en-US" baseline="0"/>
                      <a:t>R² = 0.7012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NFMD_compared!$A$34:$A$39</c:f>
              <c:numCache>
                <c:formatCode>0.00</c:formatCode>
                <c:ptCount val="6"/>
                <c:pt idx="0">
                  <c:v>3</c:v>
                </c:pt>
                <c:pt idx="1">
                  <c:v>4.3</c:v>
                </c:pt>
                <c:pt idx="2">
                  <c:v>6.3</c:v>
                </c:pt>
                <c:pt idx="3">
                  <c:v>4.0999999999999996</c:v>
                </c:pt>
                <c:pt idx="4">
                  <c:v>5.4</c:v>
                </c:pt>
                <c:pt idx="5">
                  <c:v>6.9</c:v>
                </c:pt>
              </c:numCache>
            </c:numRef>
          </c:xVal>
          <c:yVal>
            <c:numRef>
              <c:f>NFMD_compared!$B$34:$B$39</c:f>
              <c:numCache>
                <c:formatCode>0.00</c:formatCode>
                <c:ptCount val="6"/>
                <c:pt idx="0">
                  <c:v>53.594771241830003</c:v>
                </c:pt>
                <c:pt idx="1">
                  <c:v>223.529411764705</c:v>
                </c:pt>
                <c:pt idx="2">
                  <c:v>372.54901960784298</c:v>
                </c:pt>
                <c:pt idx="3">
                  <c:v>100.653594771241</c:v>
                </c:pt>
                <c:pt idx="4">
                  <c:v>662.74509803921501</c:v>
                </c:pt>
                <c:pt idx="5">
                  <c:v>792.15686274509801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8321-4999-B062-55831FB9C5F4}"/>
            </c:ext>
          </c:extLst>
        </c:ser>
        <c:ser>
          <c:idx val="9"/>
          <c:order val="4"/>
          <c:tx>
            <c:strRef>
              <c:f>NFMD_compared!$AL$41</c:f>
              <c:strCache>
                <c:ptCount val="1"/>
                <c:pt idx="0">
                  <c:v>Arab (2021) -NFMD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rgbClr val="5B9BD5"/>
                </a:solidFill>
                <a:prstDash val="solid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olid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6.9361106106689552E-2"/>
                  <c:y val="-9.2896345201505387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1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baseline="0"/>
                      <a:t>Arab (2021) NFMD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140.8x</a:t>
                    </a:r>
                    <a:r>
                      <a:rPr lang="en-US" baseline="30000"/>
                      <a:t>1.5727</a:t>
                    </a:r>
                    <a:br>
                      <a:rPr lang="en-US" baseline="0"/>
                    </a:br>
                    <a:r>
                      <a:rPr lang="en-US" baseline="0"/>
                      <a:t>R² = 0.8426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NFMD_compared!$A$41:$A$83</c:f>
              <c:numCache>
                <c:formatCode>0.00</c:formatCode>
                <c:ptCount val="43"/>
                <c:pt idx="0">
                  <c:v>1.1458733205374201</c:v>
                </c:pt>
                <c:pt idx="1">
                  <c:v>1.0652591170825301</c:v>
                </c:pt>
                <c:pt idx="2">
                  <c:v>1.08829174664107</c:v>
                </c:pt>
                <c:pt idx="3">
                  <c:v>1.20345489443378</c:v>
                </c:pt>
                <c:pt idx="4">
                  <c:v>1.1285988483685201</c:v>
                </c:pt>
                <c:pt idx="5">
                  <c:v>1.19769673704414</c:v>
                </c:pt>
                <c:pt idx="6">
                  <c:v>1.3243761996161201</c:v>
                </c:pt>
                <c:pt idx="7">
                  <c:v>1.2725527831093999</c:v>
                </c:pt>
                <c:pt idx="8">
                  <c:v>2.0671785028790701</c:v>
                </c:pt>
                <c:pt idx="9">
                  <c:v>2.17082533589251</c:v>
                </c:pt>
                <c:pt idx="10">
                  <c:v>2.2341650671785001</c:v>
                </c:pt>
                <c:pt idx="11">
                  <c:v>2.3378119001919302</c:v>
                </c:pt>
                <c:pt idx="12">
                  <c:v>2.4587332053742799</c:v>
                </c:pt>
                <c:pt idx="13">
                  <c:v>2.4414587332053701</c:v>
                </c:pt>
                <c:pt idx="14">
                  <c:v>2.4529750479846402</c:v>
                </c:pt>
                <c:pt idx="15">
                  <c:v>2.4932821497120901</c:v>
                </c:pt>
                <c:pt idx="16">
                  <c:v>3.2706333973128499</c:v>
                </c:pt>
                <c:pt idx="17">
                  <c:v>3.16122840690978</c:v>
                </c:pt>
                <c:pt idx="18">
                  <c:v>3.1036468330134301</c:v>
                </c:pt>
                <c:pt idx="19">
                  <c:v>4.1401151631477902</c:v>
                </c:pt>
                <c:pt idx="20">
                  <c:v>4.1228406909788804</c:v>
                </c:pt>
                <c:pt idx="21">
                  <c:v>4.1285988483685196</c:v>
                </c:pt>
                <c:pt idx="22">
                  <c:v>4.2495201535508604</c:v>
                </c:pt>
                <c:pt idx="23">
                  <c:v>4.2322456813819596</c:v>
                </c:pt>
                <c:pt idx="24">
                  <c:v>4.1631477927063303</c:v>
                </c:pt>
                <c:pt idx="25">
                  <c:v>4.2898272552782997</c:v>
                </c:pt>
                <c:pt idx="26">
                  <c:v>4.3416506717850201</c:v>
                </c:pt>
                <c:pt idx="27">
                  <c:v>4.3416506717850298</c:v>
                </c:pt>
                <c:pt idx="28">
                  <c:v>4.3761996161228396</c:v>
                </c:pt>
                <c:pt idx="29">
                  <c:v>4.4222648752399198</c:v>
                </c:pt>
                <c:pt idx="30">
                  <c:v>4.0652591170825296</c:v>
                </c:pt>
                <c:pt idx="31">
                  <c:v>4.3128598848368496</c:v>
                </c:pt>
                <c:pt idx="32">
                  <c:v>4.3358925143953897</c:v>
                </c:pt>
                <c:pt idx="33">
                  <c:v>4.2207293666026802</c:v>
                </c:pt>
                <c:pt idx="34">
                  <c:v>4.2840690978886702</c:v>
                </c:pt>
                <c:pt idx="35">
                  <c:v>4.5489443378118999</c:v>
                </c:pt>
                <c:pt idx="36">
                  <c:v>5.5911708253358903</c:v>
                </c:pt>
                <c:pt idx="37">
                  <c:v>4.3243761996161201</c:v>
                </c:pt>
                <c:pt idx="38">
                  <c:v>4.3761996161228396</c:v>
                </c:pt>
                <c:pt idx="39">
                  <c:v>4.4798464491362697</c:v>
                </c:pt>
                <c:pt idx="40">
                  <c:v>3.42034548944337</c:v>
                </c:pt>
                <c:pt idx="41">
                  <c:v>3.3224568138195698</c:v>
                </c:pt>
                <c:pt idx="42">
                  <c:v>2.3608445297504699</c:v>
                </c:pt>
              </c:numCache>
            </c:numRef>
          </c:xVal>
          <c:yVal>
            <c:numRef>
              <c:f>NFMD_compared!$B$41:$B$83</c:f>
              <c:numCache>
                <c:formatCode>0.00</c:formatCode>
                <c:ptCount val="43"/>
                <c:pt idx="0">
                  <c:v>116.182572614107</c:v>
                </c:pt>
                <c:pt idx="1">
                  <c:v>188.796680497925</c:v>
                </c:pt>
                <c:pt idx="2">
                  <c:v>210.58091286307101</c:v>
                </c:pt>
                <c:pt idx="3">
                  <c:v>239.62655601659799</c:v>
                </c:pt>
                <c:pt idx="4">
                  <c:v>275.93360995850702</c:v>
                </c:pt>
                <c:pt idx="5">
                  <c:v>268.67219917012397</c:v>
                </c:pt>
                <c:pt idx="6">
                  <c:v>308.60995850622402</c:v>
                </c:pt>
                <c:pt idx="7">
                  <c:v>355.80912863070603</c:v>
                </c:pt>
                <c:pt idx="8">
                  <c:v>279.56431535269701</c:v>
                </c:pt>
                <c:pt idx="9">
                  <c:v>312.24066390041497</c:v>
                </c:pt>
                <c:pt idx="10">
                  <c:v>301.34854771784302</c:v>
                </c:pt>
                <c:pt idx="11">
                  <c:v>315.87136929460502</c:v>
                </c:pt>
                <c:pt idx="12">
                  <c:v>406.639004149377</c:v>
                </c:pt>
                <c:pt idx="13">
                  <c:v>435.68464730290498</c:v>
                </c:pt>
                <c:pt idx="14">
                  <c:v>475.62240663900297</c:v>
                </c:pt>
                <c:pt idx="15">
                  <c:v>501.03734439834</c:v>
                </c:pt>
                <c:pt idx="16">
                  <c:v>504.66804979253197</c:v>
                </c:pt>
                <c:pt idx="17">
                  <c:v>508.29875518672202</c:v>
                </c:pt>
                <c:pt idx="18">
                  <c:v>809.64730290456396</c:v>
                </c:pt>
                <c:pt idx="19">
                  <c:v>1110.9958506224</c:v>
                </c:pt>
                <c:pt idx="20">
                  <c:v>1089.2116182572599</c:v>
                </c:pt>
                <c:pt idx="21">
                  <c:v>1143.6721991701199</c:v>
                </c:pt>
                <c:pt idx="22">
                  <c:v>1274.37759336099</c:v>
                </c:pt>
                <c:pt idx="23">
                  <c:v>1238.07053941908</c:v>
                </c:pt>
                <c:pt idx="24">
                  <c:v>1292.53112033195</c:v>
                </c:pt>
                <c:pt idx="25">
                  <c:v>1405.08298755186</c:v>
                </c:pt>
                <c:pt idx="26">
                  <c:v>1445.0207468879601</c:v>
                </c:pt>
                <c:pt idx="27">
                  <c:v>1543.0497925311199</c:v>
                </c:pt>
                <c:pt idx="28">
                  <c:v>1699.17012448132</c:v>
                </c:pt>
                <c:pt idx="29">
                  <c:v>1742.7385892116099</c:v>
                </c:pt>
                <c:pt idx="30">
                  <c:v>1731.84647302904</c:v>
                </c:pt>
                <c:pt idx="31">
                  <c:v>1931.53526970954</c:v>
                </c:pt>
                <c:pt idx="32">
                  <c:v>2058.6099585062202</c:v>
                </c:pt>
                <c:pt idx="33">
                  <c:v>2058.6099585062202</c:v>
                </c:pt>
                <c:pt idx="34">
                  <c:v>2116.70124481327</c:v>
                </c:pt>
                <c:pt idx="35">
                  <c:v>2610.4771784232298</c:v>
                </c:pt>
                <c:pt idx="36">
                  <c:v>2984.4398340248899</c:v>
                </c:pt>
                <c:pt idx="37">
                  <c:v>1412.3443983402401</c:v>
                </c:pt>
                <c:pt idx="38">
                  <c:v>1593.8796680497901</c:v>
                </c:pt>
                <c:pt idx="39">
                  <c:v>1604.77178423236</c:v>
                </c:pt>
                <c:pt idx="40">
                  <c:v>806.016597510373</c:v>
                </c:pt>
                <c:pt idx="41">
                  <c:v>824.170124481328</c:v>
                </c:pt>
                <c:pt idx="42">
                  <c:v>377.59336099584999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8321-4999-B062-55831FB9C5F4}"/>
            </c:ext>
          </c:extLst>
        </c:ser>
        <c:ser>
          <c:idx val="10"/>
          <c:order val="5"/>
          <c:tx>
            <c:strRef>
              <c:f>NFMD_compared!$AL$84</c:f>
              <c:strCache>
                <c:ptCount val="1"/>
                <c:pt idx="0">
                  <c:v>Khodadadi Tirkolaei (2020) -NFMD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NFMD_compared!$A$84:$A$88</c:f>
              <c:numCache>
                <c:formatCode>0.00</c:formatCode>
                <c:ptCount val="5"/>
                <c:pt idx="0">
                  <c:v>1.5486891385767714</c:v>
                </c:pt>
                <c:pt idx="1">
                  <c:v>1.5805243445692856</c:v>
                </c:pt>
                <c:pt idx="2">
                  <c:v>1.7172284644194715</c:v>
                </c:pt>
                <c:pt idx="3">
                  <c:v>1.7172284644194715</c:v>
                </c:pt>
                <c:pt idx="4">
                  <c:v>1.6591760299625429</c:v>
                </c:pt>
              </c:numCache>
            </c:numRef>
          </c:xVal>
          <c:yVal>
            <c:numRef>
              <c:f>NFMD_compared!$B$84:$B$88</c:f>
              <c:numCache>
                <c:formatCode>0.00</c:formatCode>
                <c:ptCount val="5"/>
                <c:pt idx="0">
                  <c:v>745.88014981273398</c:v>
                </c:pt>
                <c:pt idx="1">
                  <c:v>630.52434456928802</c:v>
                </c:pt>
                <c:pt idx="2">
                  <c:v>996.25468164793995</c:v>
                </c:pt>
                <c:pt idx="3">
                  <c:v>188.76404494381899</c:v>
                </c:pt>
                <c:pt idx="4">
                  <c:v>294.94382022471802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8321-4999-B062-55831FB9C5F4}"/>
            </c:ext>
          </c:extLst>
        </c:ser>
        <c:ser>
          <c:idx val="12"/>
          <c:order val="7"/>
          <c:tx>
            <c:strRef>
              <c:f>NFMD_compared!$AL$96</c:f>
              <c:strCache>
                <c:ptCount val="1"/>
                <c:pt idx="0">
                  <c:v>Almajed (2019) -Pure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NFMD_compared!$A$96:$A$98</c:f>
              <c:numCache>
                <c:formatCode>0.00</c:formatCode>
                <c:ptCount val="3"/>
                <c:pt idx="0">
                  <c:v>1.63</c:v>
                </c:pt>
                <c:pt idx="1">
                  <c:v>0.98</c:v>
                </c:pt>
                <c:pt idx="2">
                  <c:v>0.99</c:v>
                </c:pt>
              </c:numCache>
            </c:numRef>
          </c:xVal>
          <c:yVal>
            <c:numRef>
              <c:f>NFMD_compared!$B$96:$B$98</c:f>
              <c:numCache>
                <c:formatCode>0.00</c:formatCode>
                <c:ptCount val="3"/>
                <c:pt idx="0">
                  <c:v>133</c:v>
                </c:pt>
                <c:pt idx="1">
                  <c:v>158</c:v>
                </c:pt>
                <c:pt idx="2">
                  <c:v>124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8321-4999-B062-55831FB9C5F4}"/>
            </c:ext>
          </c:extLst>
        </c:ser>
        <c:ser>
          <c:idx val="13"/>
          <c:order val="8"/>
          <c:tx>
            <c:strRef>
              <c:f>NFMD_compared!$AL$99</c:f>
              <c:strCache>
                <c:ptCount val="1"/>
                <c:pt idx="0">
                  <c:v>Almajed (2019) -NFMD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olid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0967702052048339"/>
                  <c:y val="-9.229306550457915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1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baseline="0"/>
                      <a:t>Almajed (2019) NFMD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1807.5x</a:t>
                    </a:r>
                    <a:r>
                      <a:rPr lang="en-US" baseline="30000"/>
                      <a:t>0.8503</a:t>
                    </a:r>
                    <a:br>
                      <a:rPr lang="en-US" baseline="0"/>
                    </a:br>
                    <a:r>
                      <a:rPr lang="en-US" baseline="0"/>
                      <a:t>R² = 0.7145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NFMD_compared!$A$99:$A$104</c:f>
              <c:numCache>
                <c:formatCode>0.00</c:formatCode>
                <c:ptCount val="6"/>
                <c:pt idx="0">
                  <c:v>0.82</c:v>
                </c:pt>
                <c:pt idx="1">
                  <c:v>0.79</c:v>
                </c:pt>
                <c:pt idx="2">
                  <c:v>1.17</c:v>
                </c:pt>
                <c:pt idx="3">
                  <c:v>0.56999999999999995</c:v>
                </c:pt>
                <c:pt idx="4">
                  <c:v>0.71</c:v>
                </c:pt>
                <c:pt idx="5">
                  <c:v>0.49</c:v>
                </c:pt>
              </c:numCache>
            </c:numRef>
          </c:xVal>
          <c:yVal>
            <c:numRef>
              <c:f>NFMD_compared!$B$99:$B$104</c:f>
              <c:numCache>
                <c:formatCode>0.00</c:formatCode>
                <c:ptCount val="6"/>
                <c:pt idx="0">
                  <c:v>1817</c:v>
                </c:pt>
                <c:pt idx="1">
                  <c:v>1654</c:v>
                </c:pt>
                <c:pt idx="2">
                  <c:v>1763</c:v>
                </c:pt>
                <c:pt idx="3">
                  <c:v>1000</c:v>
                </c:pt>
                <c:pt idx="4">
                  <c:v>1396</c:v>
                </c:pt>
                <c:pt idx="5">
                  <c:v>941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8321-4999-B062-55831FB9C5F4}"/>
            </c:ext>
          </c:extLst>
        </c:ser>
        <c:ser>
          <c:idx val="14"/>
          <c:order val="9"/>
          <c:tx>
            <c:strRef>
              <c:f>NFMD_compared!$AL$105</c:f>
              <c:strCache>
                <c:ptCount val="1"/>
                <c:pt idx="0">
                  <c:v>Park (2014) -Pure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NFMD_compared!$A$105:$A$108</c:f>
              <c:numCache>
                <c:formatCode>0.00</c:formatCode>
                <c:ptCount val="4"/>
                <c:pt idx="0">
                  <c:v>0</c:v>
                </c:pt>
                <c:pt idx="1">
                  <c:v>2.34</c:v>
                </c:pt>
                <c:pt idx="2">
                  <c:v>6.37</c:v>
                </c:pt>
                <c:pt idx="3">
                  <c:v>6.58</c:v>
                </c:pt>
              </c:numCache>
            </c:numRef>
          </c:xVal>
          <c:yVal>
            <c:numRef>
              <c:f>NFMD_compared!$B$105:$B$108</c:f>
              <c:numCache>
                <c:formatCode>0.00</c:formatCode>
                <c:ptCount val="4"/>
                <c:pt idx="0">
                  <c:v>30</c:v>
                </c:pt>
                <c:pt idx="1">
                  <c:v>90</c:v>
                </c:pt>
                <c:pt idx="2">
                  <c:v>160</c:v>
                </c:pt>
                <c:pt idx="3">
                  <c:v>317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8321-4999-B062-55831FB9C5F4}"/>
            </c:ext>
          </c:extLst>
        </c:ser>
        <c:ser>
          <c:idx val="15"/>
          <c:order val="10"/>
          <c:tx>
            <c:strRef>
              <c:f>NFMD_compared!$AL$109</c:f>
              <c:strCache>
                <c:ptCount val="1"/>
                <c:pt idx="0">
                  <c:v>Putra (2017) -Pure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F0"/>
                </a:solidFill>
                <a:prstDash val="solid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noFill/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6.0658446462698218E-2"/>
                  <c:y val="6.3753550996149239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1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baseline="0"/>
                      <a:t>Putra (2017) Pure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22.689x</a:t>
                    </a:r>
                    <a:r>
                      <a:rPr lang="en-US" baseline="30000"/>
                      <a:t>0.781</a:t>
                    </a:r>
                    <a:br>
                      <a:rPr lang="en-US" baseline="0"/>
                    </a:br>
                    <a:r>
                      <a:rPr lang="en-US" baseline="0"/>
                      <a:t>R² = 0.7372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NFMD_compared!$A$109:$A$114</c:f>
              <c:numCache>
                <c:formatCode>0.00</c:formatCode>
                <c:ptCount val="6"/>
                <c:pt idx="0">
                  <c:v>1.1002570694087399</c:v>
                </c:pt>
                <c:pt idx="1">
                  <c:v>2.1388174807197902</c:v>
                </c:pt>
                <c:pt idx="2">
                  <c:v>3.0848329048843102</c:v>
                </c:pt>
                <c:pt idx="3">
                  <c:v>4.6889460154241602</c:v>
                </c:pt>
                <c:pt idx="4">
                  <c:v>7.3007712082262204</c:v>
                </c:pt>
                <c:pt idx="5">
                  <c:v>9.5732647814909999</c:v>
                </c:pt>
              </c:numCache>
            </c:numRef>
          </c:xVal>
          <c:yVal>
            <c:numRef>
              <c:f>NFMD_compared!$B$109:$B$114</c:f>
              <c:numCache>
                <c:formatCode>0.00</c:formatCode>
                <c:ptCount val="6"/>
                <c:pt idx="0">
                  <c:v>28.972095889031301</c:v>
                </c:pt>
                <c:pt idx="1">
                  <c:v>45.705799019786298</c:v>
                </c:pt>
                <c:pt idx="2">
                  <c:v>68.392294410904597</c:v>
                </c:pt>
                <c:pt idx="3">
                  <c:v>24.723693038891</c:v>
                </c:pt>
                <c:pt idx="4">
                  <c:v>115.263809722554</c:v>
                </c:pt>
                <c:pt idx="5">
                  <c:v>229.14731752710799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8321-4999-B062-55831FB9C5F4}"/>
            </c:ext>
          </c:extLst>
        </c:ser>
        <c:ser>
          <c:idx val="16"/>
          <c:order val="11"/>
          <c:tx>
            <c:strRef>
              <c:f>NFMD_compared!$AL$115</c:f>
              <c:strCache>
                <c:ptCount val="1"/>
                <c:pt idx="0">
                  <c:v>Almajed (2018) -Pure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prstDash val="solid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2.0289808995948184E-2"/>
                  <c:y val="0.24862968435358881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1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baseline="0"/>
                      <a:t>Almajed (2018) Pure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61.138x</a:t>
                    </a:r>
                    <a:r>
                      <a:rPr lang="en-US" baseline="30000"/>
                      <a:t>2.083</a:t>
                    </a:r>
                    <a:br>
                      <a:rPr lang="en-US" baseline="0"/>
                    </a:br>
                    <a:r>
                      <a:rPr lang="en-US" baseline="0"/>
                      <a:t>R² = 0.8451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NFMD_compared!$A$115:$A$118</c:f>
              <c:numCache>
                <c:formatCode>0.00</c:formatCode>
                <c:ptCount val="4"/>
                <c:pt idx="0">
                  <c:v>1.21</c:v>
                </c:pt>
                <c:pt idx="1">
                  <c:v>2.17</c:v>
                </c:pt>
                <c:pt idx="2">
                  <c:v>3.05</c:v>
                </c:pt>
                <c:pt idx="3">
                  <c:v>3.64</c:v>
                </c:pt>
              </c:numCache>
            </c:numRef>
          </c:xVal>
          <c:yVal>
            <c:numRef>
              <c:f>NFMD_compared!$B$115:$B$118</c:f>
              <c:numCache>
                <c:formatCode>0.00</c:formatCode>
                <c:ptCount val="4"/>
                <c:pt idx="0">
                  <c:v>99</c:v>
                </c:pt>
                <c:pt idx="1">
                  <c:v>291</c:v>
                </c:pt>
                <c:pt idx="2">
                  <c:v>430</c:v>
                </c:pt>
                <c:pt idx="3">
                  <c:v>1268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8321-4999-B062-55831FB9C5F4}"/>
            </c:ext>
          </c:extLst>
        </c:ser>
        <c:ser>
          <c:idx val="17"/>
          <c:order val="12"/>
          <c:tx>
            <c:strRef>
              <c:f>NFMD_compared!$AL$119</c:f>
              <c:strCache>
                <c:ptCount val="1"/>
                <c:pt idx="0">
                  <c:v>Hoang (2019) -Pure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rgbClr val="92D050"/>
                </a:solidFill>
                <a:prstDash val="solid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1.4541759837220886E-2"/>
                  <c:y val="7.4863415232240868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1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baseline="0"/>
                      <a:t>Hoang (2019) Pure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368.4x</a:t>
                    </a:r>
                    <a:r>
                      <a:rPr lang="en-US" baseline="30000"/>
                      <a:t>0.3663</a:t>
                    </a:r>
                    <a:br>
                      <a:rPr lang="en-US" baseline="0"/>
                    </a:br>
                    <a:r>
                      <a:rPr lang="en-US" baseline="0"/>
                      <a:t>R² = 0.074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NFMD_compared!$A$119:$A$127</c:f>
              <c:numCache>
                <c:formatCode>0.00</c:formatCode>
                <c:ptCount val="9"/>
                <c:pt idx="0">
                  <c:v>2.23</c:v>
                </c:pt>
                <c:pt idx="1">
                  <c:v>4.0999999999999996</c:v>
                </c:pt>
                <c:pt idx="2">
                  <c:v>5.47</c:v>
                </c:pt>
                <c:pt idx="3">
                  <c:v>5.23</c:v>
                </c:pt>
                <c:pt idx="4">
                  <c:v>11.74</c:v>
                </c:pt>
                <c:pt idx="5">
                  <c:v>12.87</c:v>
                </c:pt>
                <c:pt idx="6">
                  <c:v>7.12</c:v>
                </c:pt>
                <c:pt idx="7">
                  <c:v>12.59</c:v>
                </c:pt>
                <c:pt idx="8">
                  <c:v>13.15</c:v>
                </c:pt>
              </c:numCache>
            </c:numRef>
          </c:xVal>
          <c:yVal>
            <c:numRef>
              <c:f>NFMD_compared!$B$119:$B$127</c:f>
              <c:numCache>
                <c:formatCode>0.00</c:formatCode>
                <c:ptCount val="9"/>
                <c:pt idx="0">
                  <c:v>600</c:v>
                </c:pt>
                <c:pt idx="1">
                  <c:v>394</c:v>
                </c:pt>
                <c:pt idx="2">
                  <c:v>231</c:v>
                </c:pt>
                <c:pt idx="3">
                  <c:v>1340</c:v>
                </c:pt>
                <c:pt idx="4">
                  <c:v>972</c:v>
                </c:pt>
                <c:pt idx="5">
                  <c:v>711</c:v>
                </c:pt>
                <c:pt idx="6">
                  <c:v>1691</c:v>
                </c:pt>
                <c:pt idx="7">
                  <c:v>1118</c:v>
                </c:pt>
                <c:pt idx="8">
                  <c:v>842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8321-4999-B062-55831FB9C5F4}"/>
            </c:ext>
          </c:extLst>
        </c:ser>
        <c:ser>
          <c:idx val="18"/>
          <c:order val="13"/>
          <c:tx>
            <c:strRef>
              <c:f>NFMD_compared!$AL$128</c:f>
              <c:strCache>
                <c:ptCount val="1"/>
                <c:pt idx="0">
                  <c:v>Kavazanjian and Hamdan (2015) -NFMD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NFMD_compared!$A$128:$A$129</c:f>
              <c:numCache>
                <c:formatCode>0.00</c:formatCode>
                <c:ptCount val="2"/>
                <c:pt idx="0">
                  <c:v>2.8</c:v>
                </c:pt>
                <c:pt idx="1">
                  <c:v>4.3</c:v>
                </c:pt>
              </c:numCache>
            </c:numRef>
          </c:xVal>
          <c:yVal>
            <c:numRef>
              <c:f>NFMD_compared!$B$128:$B$129</c:f>
              <c:numCache>
                <c:formatCode>0.00</c:formatCode>
                <c:ptCount val="2"/>
                <c:pt idx="0">
                  <c:v>529</c:v>
                </c:pt>
                <c:pt idx="1">
                  <c:v>391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8321-4999-B062-55831FB9C5F4}"/>
            </c:ext>
          </c:extLst>
        </c:ser>
        <c:ser>
          <c:idx val="19"/>
          <c:order val="14"/>
          <c:tx>
            <c:strRef>
              <c:f>NFMD_compared!$AL$130</c:f>
              <c:strCache>
                <c:ptCount val="1"/>
                <c:pt idx="0">
                  <c:v>Putra (2016) -MgCl2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80000"/>
                  </a:schemeClr>
                </a:solidFill>
                <a:prstDash val="solid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4588548234969956"/>
                  <c:y val="0.21805464637585384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1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baseline="0"/>
                      <a:t>Putra (2016) MgCl2 added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14.049x</a:t>
                    </a:r>
                    <a:r>
                      <a:rPr lang="en-US" baseline="30000"/>
                      <a:t>1.0145</a:t>
                    </a:r>
                    <a:br>
                      <a:rPr lang="en-US" baseline="0"/>
                    </a:br>
                    <a:r>
                      <a:rPr lang="en-US" baseline="0"/>
                      <a:t>R² = 0.9365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NFMD_compared!$A$130:$A$141</c:f>
              <c:numCache>
                <c:formatCode>0.00</c:formatCode>
                <c:ptCount val="12"/>
                <c:pt idx="0">
                  <c:v>1.2050511124473799</c:v>
                </c:pt>
                <c:pt idx="1">
                  <c:v>1.19061936259771</c:v>
                </c:pt>
                <c:pt idx="2">
                  <c:v>2.2297053517738998</c:v>
                </c:pt>
                <c:pt idx="3">
                  <c:v>2.2080577269993902</c:v>
                </c:pt>
                <c:pt idx="4">
                  <c:v>3.1389055923030602</c:v>
                </c:pt>
                <c:pt idx="5">
                  <c:v>3.2760072158749201</c:v>
                </c:pt>
                <c:pt idx="6">
                  <c:v>4.2573662056524304</c:v>
                </c:pt>
                <c:pt idx="7">
                  <c:v>4.2501503307275996</c:v>
                </c:pt>
                <c:pt idx="8">
                  <c:v>5.9386650631388997</c:v>
                </c:pt>
                <c:pt idx="9">
                  <c:v>6.0324714371617496</c:v>
                </c:pt>
                <c:pt idx="10">
                  <c:v>8.6085387853277098</c:v>
                </c:pt>
                <c:pt idx="11">
                  <c:v>8.5147324113048608</c:v>
                </c:pt>
              </c:numCache>
            </c:numRef>
          </c:xVal>
          <c:yVal>
            <c:numRef>
              <c:f>NFMD_compared!$B$130:$B$141</c:f>
              <c:numCache>
                <c:formatCode>0.00</c:formatCode>
                <c:ptCount val="12"/>
                <c:pt idx="0">
                  <c:v>18.416385059523801</c:v>
                </c:pt>
                <c:pt idx="1">
                  <c:v>15.2563151389925</c:v>
                </c:pt>
                <c:pt idx="2">
                  <c:v>33.1465768372056</c:v>
                </c:pt>
                <c:pt idx="3">
                  <c:v>28.881393623758999</c:v>
                </c:pt>
                <c:pt idx="4">
                  <c:v>44.673486762516497</c:v>
                </c:pt>
                <c:pt idx="5">
                  <c:v>49.421764312422503</c:v>
                </c:pt>
                <c:pt idx="6">
                  <c:v>64.798552437267006</c:v>
                </c:pt>
                <c:pt idx="7">
                  <c:v>67.8430686540013</c:v>
                </c:pt>
                <c:pt idx="8">
                  <c:v>76.796949253539296</c:v>
                </c:pt>
                <c:pt idx="9">
                  <c:v>76.796949253539296</c:v>
                </c:pt>
                <c:pt idx="10">
                  <c:v>150.13107289081699</c:v>
                </c:pt>
                <c:pt idx="11">
                  <c:v>109.869555602478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8321-4999-B062-55831FB9C5F4}"/>
            </c:ext>
          </c:extLst>
        </c:ser>
        <c:ser>
          <c:idx val="20"/>
          <c:order val="15"/>
          <c:tx>
            <c:strRef>
              <c:f>NFMD_compared!$AL$142</c:f>
              <c:strCache>
                <c:ptCount val="1"/>
                <c:pt idx="0">
                  <c:v>Lai (2022) -Pure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NFMD_compared!$A$142:$A$143</c:f>
              <c:numCache>
                <c:formatCode>0.00</c:formatCode>
                <c:ptCount val="2"/>
                <c:pt idx="0">
                  <c:v>5.8844765342960201</c:v>
                </c:pt>
                <c:pt idx="1">
                  <c:v>6.2599277978339298</c:v>
                </c:pt>
              </c:numCache>
            </c:numRef>
          </c:xVal>
          <c:yVal>
            <c:numRef>
              <c:f>NFMD_compared!$B$142:$B$143</c:f>
              <c:numCache>
                <c:formatCode>0.00</c:formatCode>
                <c:ptCount val="2"/>
                <c:pt idx="0">
                  <c:v>376.68161434977497</c:v>
                </c:pt>
                <c:pt idx="1">
                  <c:v>566.81614349775703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8321-4999-B062-55831FB9C5F4}"/>
            </c:ext>
          </c:extLst>
        </c:ser>
        <c:ser>
          <c:idx val="21"/>
          <c:order val="16"/>
          <c:tx>
            <c:strRef>
              <c:f>NFMD_compared!$AL$144</c:f>
              <c:strCache>
                <c:ptCount val="1"/>
                <c:pt idx="0">
                  <c:v>Lai (2022) -pH Controlled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ash"/>
            <c:size val="8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trendline>
            <c:spPr>
              <a:ln w="19050" cap="rnd">
                <a:noFill/>
                <a:prstDash val="solid"/>
              </a:ln>
              <a:effectLst/>
            </c:spPr>
            <c:trendlineType val="power"/>
            <c:dispRSqr val="0"/>
            <c:dispEq val="0"/>
          </c:trendline>
          <c:xVal>
            <c:numRef>
              <c:f>NFMD_compared!$A$144:$A$155</c:f>
              <c:numCache>
                <c:formatCode>0.00</c:formatCode>
                <c:ptCount val="12"/>
                <c:pt idx="0">
                  <c:v>6.4187725631768897</c:v>
                </c:pt>
                <c:pt idx="1">
                  <c:v>6.4115523465703896</c:v>
                </c:pt>
                <c:pt idx="2">
                  <c:v>6.3249097472924101</c:v>
                </c:pt>
                <c:pt idx="3">
                  <c:v>6.5703971119133504</c:v>
                </c:pt>
                <c:pt idx="4">
                  <c:v>6.5559566787003503</c:v>
                </c:pt>
                <c:pt idx="5">
                  <c:v>6.7292418772563103</c:v>
                </c:pt>
                <c:pt idx="6">
                  <c:v>6.5631768953068503</c:v>
                </c:pt>
                <c:pt idx="7">
                  <c:v>6.3682310469313999</c:v>
                </c:pt>
                <c:pt idx="8">
                  <c:v>6.4476534296028802</c:v>
                </c:pt>
                <c:pt idx="9">
                  <c:v>6.1010830324909699</c:v>
                </c:pt>
                <c:pt idx="10">
                  <c:v>5.8122743682310398</c:v>
                </c:pt>
                <c:pt idx="11">
                  <c:v>5.7039711191335698</c:v>
                </c:pt>
              </c:numCache>
            </c:numRef>
          </c:xVal>
          <c:yVal>
            <c:numRef>
              <c:f>NFMD_compared!$B$144:$B$155</c:f>
              <c:numCache>
                <c:formatCode>0.00</c:formatCode>
                <c:ptCount val="12"/>
                <c:pt idx="0">
                  <c:v>1327.3542600896801</c:v>
                </c:pt>
                <c:pt idx="1">
                  <c:v>1736.3228699551501</c:v>
                </c:pt>
                <c:pt idx="2">
                  <c:v>1890.58295964125</c:v>
                </c:pt>
                <c:pt idx="3">
                  <c:v>1782.9596412556</c:v>
                </c:pt>
                <c:pt idx="4">
                  <c:v>1897.75784753363</c:v>
                </c:pt>
                <c:pt idx="5">
                  <c:v>2324.66367713004</c:v>
                </c:pt>
                <c:pt idx="6">
                  <c:v>2396.41255605381</c:v>
                </c:pt>
                <c:pt idx="7">
                  <c:v>2278.0269058295899</c:v>
                </c:pt>
                <c:pt idx="8">
                  <c:v>1919.28251121076</c:v>
                </c:pt>
                <c:pt idx="9">
                  <c:v>2471.74887892376</c:v>
                </c:pt>
                <c:pt idx="10">
                  <c:v>1922.86995515695</c:v>
                </c:pt>
                <c:pt idx="11">
                  <c:v>1729.1479820627701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8321-4999-B062-55831FB9C5F4}"/>
            </c:ext>
          </c:extLst>
        </c:ser>
        <c:ser>
          <c:idx val="22"/>
          <c:order val="17"/>
          <c:tx>
            <c:strRef>
              <c:f>NFMD_compared!$AL$156</c:f>
              <c:strCache>
                <c:ptCount val="1"/>
                <c:pt idx="0">
                  <c:v>Chen (2025) -pH controlled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rgbClr val="7030A0"/>
                </a:solidFill>
                <a:prstDash val="solid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23787634721972"/>
                  <c:y val="-4.5929680405151253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1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baseline="0"/>
                      <a:t>Chen (2025) pH controlled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61.745x</a:t>
                    </a:r>
                    <a:r>
                      <a:rPr lang="en-US" baseline="30000"/>
                      <a:t>1.2911</a:t>
                    </a:r>
                    <a:br>
                      <a:rPr lang="en-US" baseline="0"/>
                    </a:br>
                    <a:r>
                      <a:rPr lang="en-US" baseline="0"/>
                      <a:t>R² = 0.6633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NFMD_compared!$A$156:$A$191</c:f>
              <c:numCache>
                <c:formatCode>0.00</c:formatCode>
                <c:ptCount val="36"/>
                <c:pt idx="0">
                  <c:v>7.9970414201183404</c:v>
                </c:pt>
                <c:pt idx="1">
                  <c:v>8.12130177514792</c:v>
                </c:pt>
                <c:pt idx="2">
                  <c:v>8.2633136094674509</c:v>
                </c:pt>
                <c:pt idx="3">
                  <c:v>8.2810650887573907</c:v>
                </c:pt>
                <c:pt idx="4">
                  <c:v>8.3165680473372703</c:v>
                </c:pt>
                <c:pt idx="5">
                  <c:v>8.4142011834319508</c:v>
                </c:pt>
                <c:pt idx="6">
                  <c:v>7.1715976331360896</c:v>
                </c:pt>
                <c:pt idx="7">
                  <c:v>7.7573964497041397</c:v>
                </c:pt>
                <c:pt idx="8">
                  <c:v>7.6863905325443698</c:v>
                </c:pt>
                <c:pt idx="9">
                  <c:v>7.3224852071005904</c:v>
                </c:pt>
                <c:pt idx="10">
                  <c:v>7.5266272189348999</c:v>
                </c:pt>
                <c:pt idx="11">
                  <c:v>7.3224852071005904</c:v>
                </c:pt>
                <c:pt idx="12">
                  <c:v>6.2218934911242503</c:v>
                </c:pt>
                <c:pt idx="13">
                  <c:v>6.5414201183431899</c:v>
                </c:pt>
                <c:pt idx="14">
                  <c:v>6.6923076923076898</c:v>
                </c:pt>
                <c:pt idx="15">
                  <c:v>8.2810650887573907</c:v>
                </c:pt>
                <c:pt idx="16">
                  <c:v>8.1923076923076898</c:v>
                </c:pt>
                <c:pt idx="17">
                  <c:v>8.2810650887573907</c:v>
                </c:pt>
                <c:pt idx="18">
                  <c:v>8.6538461538461497</c:v>
                </c:pt>
                <c:pt idx="19">
                  <c:v>8.6893491124260294</c:v>
                </c:pt>
                <c:pt idx="20">
                  <c:v>7.72189349112426</c:v>
                </c:pt>
                <c:pt idx="21">
                  <c:v>3.02694610778443</c:v>
                </c:pt>
                <c:pt idx="22">
                  <c:v>2.7664670658682602</c:v>
                </c:pt>
                <c:pt idx="23">
                  <c:v>2.9730538922155598</c:v>
                </c:pt>
                <c:pt idx="24">
                  <c:v>5.3532934131736498</c:v>
                </c:pt>
                <c:pt idx="25">
                  <c:v>5.3712574850299397</c:v>
                </c:pt>
                <c:pt idx="26">
                  <c:v>5.9461077844311303</c:v>
                </c:pt>
                <c:pt idx="27">
                  <c:v>8.5778443113772394</c:v>
                </c:pt>
                <c:pt idx="28">
                  <c:v>8.8832335329341294</c:v>
                </c:pt>
                <c:pt idx="29">
                  <c:v>8.7485029940119698</c:v>
                </c:pt>
                <c:pt idx="30">
                  <c:v>10.3922155688622</c:v>
                </c:pt>
                <c:pt idx="31">
                  <c:v>10.949101796407099</c:v>
                </c:pt>
                <c:pt idx="32">
                  <c:v>11.182634730538901</c:v>
                </c:pt>
                <c:pt idx="33">
                  <c:v>6.4792899408283997</c:v>
                </c:pt>
                <c:pt idx="34">
                  <c:v>6.7721893491124199</c:v>
                </c:pt>
                <c:pt idx="35">
                  <c:v>6.5502958579881598</c:v>
                </c:pt>
              </c:numCache>
            </c:numRef>
          </c:xVal>
          <c:yVal>
            <c:numRef>
              <c:f>NFMD_compared!$B$156:$B$191</c:f>
              <c:numCache>
                <c:formatCode>0.00</c:formatCode>
                <c:ptCount val="36"/>
                <c:pt idx="0">
                  <c:v>673.25367647058795</c:v>
                </c:pt>
                <c:pt idx="1">
                  <c:v>565.25735294117601</c:v>
                </c:pt>
                <c:pt idx="2">
                  <c:v>728.400735294117</c:v>
                </c:pt>
                <c:pt idx="3">
                  <c:v>755.97426470588198</c:v>
                </c:pt>
                <c:pt idx="4">
                  <c:v>797.33455882352905</c:v>
                </c:pt>
                <c:pt idx="5">
                  <c:v>836.39705882352905</c:v>
                </c:pt>
                <c:pt idx="6">
                  <c:v>767.463235294117</c:v>
                </c:pt>
                <c:pt idx="7">
                  <c:v>815.71691176470495</c:v>
                </c:pt>
                <c:pt idx="8">
                  <c:v>1123.6213235294099</c:v>
                </c:pt>
                <c:pt idx="9">
                  <c:v>1029.4117647058799</c:v>
                </c:pt>
                <c:pt idx="10">
                  <c:v>988.05147058823502</c:v>
                </c:pt>
                <c:pt idx="11">
                  <c:v>905.33088235294099</c:v>
                </c:pt>
                <c:pt idx="12">
                  <c:v>778.95220588235202</c:v>
                </c:pt>
                <c:pt idx="13">
                  <c:v>588.23529411764696</c:v>
                </c:pt>
                <c:pt idx="14">
                  <c:v>551.47058823529301</c:v>
                </c:pt>
                <c:pt idx="15">
                  <c:v>567.55514705882297</c:v>
                </c:pt>
                <c:pt idx="16">
                  <c:v>762.86764705882297</c:v>
                </c:pt>
                <c:pt idx="17">
                  <c:v>806.525735294117</c:v>
                </c:pt>
                <c:pt idx="18">
                  <c:v>1107.5367647058799</c:v>
                </c:pt>
                <c:pt idx="19">
                  <c:v>926.01102941176396</c:v>
                </c:pt>
                <c:pt idx="20">
                  <c:v>971.96691176470495</c:v>
                </c:pt>
                <c:pt idx="21">
                  <c:v>393.02325581395303</c:v>
                </c:pt>
                <c:pt idx="22">
                  <c:v>269.767441860465</c:v>
                </c:pt>
                <c:pt idx="23">
                  <c:v>213.95348837209301</c:v>
                </c:pt>
                <c:pt idx="24">
                  <c:v>604.65116279069798</c:v>
                </c:pt>
                <c:pt idx="25">
                  <c:v>497.67441860465101</c:v>
                </c:pt>
                <c:pt idx="26">
                  <c:v>590.69767441860404</c:v>
                </c:pt>
                <c:pt idx="27">
                  <c:v>925.58139534883696</c:v>
                </c:pt>
                <c:pt idx="28">
                  <c:v>1220.93023255813</c:v>
                </c:pt>
                <c:pt idx="29">
                  <c:v>1253.48837209302</c:v>
                </c:pt>
                <c:pt idx="30">
                  <c:v>2320.9302325581398</c:v>
                </c:pt>
                <c:pt idx="31">
                  <c:v>2127.9069767441802</c:v>
                </c:pt>
                <c:pt idx="32">
                  <c:v>2006.9767441860399</c:v>
                </c:pt>
                <c:pt idx="33">
                  <c:v>790.44117647058704</c:v>
                </c:pt>
                <c:pt idx="34">
                  <c:v>631.89338235294099</c:v>
                </c:pt>
                <c:pt idx="35">
                  <c:v>546.87499999999898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8321-4999-B062-55831FB9C5F4}"/>
            </c:ext>
          </c:extLst>
        </c:ser>
        <c:ser>
          <c:idx val="23"/>
          <c:order val="18"/>
          <c:tx>
            <c:strRef>
              <c:f>NFMD_compared!$AL$192</c:f>
              <c:strCache>
                <c:ptCount val="1"/>
                <c:pt idx="0">
                  <c:v>Jiang (2025) -Pure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80000"/>
                  </a:schemeClr>
                </a:solidFill>
                <a:prstDash val="solid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1.3011466601668062E-2"/>
                  <c:y val="-3.5763804465059446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1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baseline="0"/>
                      <a:t>Jiang (2025) Pure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193.14x</a:t>
                    </a:r>
                    <a:r>
                      <a:rPr lang="en-US" baseline="30000"/>
                      <a:t>1.2681</a:t>
                    </a:r>
                    <a:br>
                      <a:rPr lang="en-US" baseline="0"/>
                    </a:br>
                    <a:r>
                      <a:rPr lang="en-US" baseline="0"/>
                      <a:t>R² = 0.6323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NFMD_compared!$A$192:$A$206</c:f>
              <c:numCache>
                <c:formatCode>0.00</c:formatCode>
                <c:ptCount val="15"/>
                <c:pt idx="0">
                  <c:v>7.48</c:v>
                </c:pt>
                <c:pt idx="1">
                  <c:v>9.8699999999999992</c:v>
                </c:pt>
                <c:pt idx="2">
                  <c:v>12.06</c:v>
                </c:pt>
                <c:pt idx="3">
                  <c:v>7.57</c:v>
                </c:pt>
                <c:pt idx="4">
                  <c:v>9.94</c:v>
                </c:pt>
                <c:pt idx="5">
                  <c:v>11.59</c:v>
                </c:pt>
                <c:pt idx="6">
                  <c:v>7.53</c:v>
                </c:pt>
                <c:pt idx="7">
                  <c:v>9.83</c:v>
                </c:pt>
                <c:pt idx="8">
                  <c:v>11.07</c:v>
                </c:pt>
                <c:pt idx="9">
                  <c:v>7.56</c:v>
                </c:pt>
                <c:pt idx="10">
                  <c:v>9.83</c:v>
                </c:pt>
                <c:pt idx="11">
                  <c:v>11.03</c:v>
                </c:pt>
                <c:pt idx="12">
                  <c:v>7.57</c:v>
                </c:pt>
                <c:pt idx="13">
                  <c:v>10.050000000000001</c:v>
                </c:pt>
                <c:pt idx="14">
                  <c:v>11.06</c:v>
                </c:pt>
              </c:numCache>
            </c:numRef>
          </c:xVal>
          <c:yVal>
            <c:numRef>
              <c:f>NFMD_compared!$B$192:$B$206</c:f>
              <c:numCache>
                <c:formatCode>0.00</c:formatCode>
                <c:ptCount val="15"/>
                <c:pt idx="0">
                  <c:v>1930</c:v>
                </c:pt>
                <c:pt idx="1">
                  <c:v>2390</c:v>
                </c:pt>
                <c:pt idx="2">
                  <c:v>4130</c:v>
                </c:pt>
                <c:pt idx="3">
                  <c:v>2040</c:v>
                </c:pt>
                <c:pt idx="4">
                  <c:v>3020</c:v>
                </c:pt>
                <c:pt idx="5">
                  <c:v>4180</c:v>
                </c:pt>
                <c:pt idx="6">
                  <c:v>2790</c:v>
                </c:pt>
                <c:pt idx="7">
                  <c:v>4080</c:v>
                </c:pt>
                <c:pt idx="8">
                  <c:v>4240</c:v>
                </c:pt>
                <c:pt idx="9">
                  <c:v>2940</c:v>
                </c:pt>
                <c:pt idx="10">
                  <c:v>4160</c:v>
                </c:pt>
                <c:pt idx="11">
                  <c:v>4370</c:v>
                </c:pt>
                <c:pt idx="12">
                  <c:v>3060</c:v>
                </c:pt>
                <c:pt idx="13">
                  <c:v>4180</c:v>
                </c:pt>
                <c:pt idx="14">
                  <c:v>4440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B-8321-4999-B062-55831FB9C5F4}"/>
            </c:ext>
          </c:extLst>
        </c:ser>
        <c:ser>
          <c:idx val="24"/>
          <c:order val="19"/>
          <c:tx>
            <c:strRef>
              <c:f>NFMD_compared!$AL$207</c:f>
              <c:strCache>
                <c:ptCount val="1"/>
                <c:pt idx="0">
                  <c:v>Liu (2024) -Pure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F0"/>
                </a:solidFill>
                <a:prstDash val="solid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4.7355369273322664E-2"/>
                  <c:y val="-3.1632076275501193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1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baseline="0"/>
                      <a:t>Liu (2024) Pure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276.91x</a:t>
                    </a:r>
                    <a:r>
                      <a:rPr lang="en-US" baseline="30000"/>
                      <a:t>1.6156</a:t>
                    </a:r>
                    <a:br>
                      <a:rPr lang="en-US" baseline="0"/>
                    </a:br>
                    <a:r>
                      <a:rPr lang="en-US" baseline="0"/>
                      <a:t>R² = 0.9521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NFMD_compared!$A$207:$A$212</c:f>
              <c:numCache>
                <c:formatCode>0.00</c:formatCode>
                <c:ptCount val="6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</c:numCache>
            </c:numRef>
          </c:xVal>
          <c:yVal>
            <c:numRef>
              <c:f>NFMD_compared!$B$207:$B$212</c:f>
              <c:numCache>
                <c:formatCode>0.00</c:formatCode>
                <c:ptCount val="6"/>
                <c:pt idx="0">
                  <c:v>77.2</c:v>
                </c:pt>
                <c:pt idx="1">
                  <c:v>380.2</c:v>
                </c:pt>
                <c:pt idx="2">
                  <c:v>561.1</c:v>
                </c:pt>
                <c:pt idx="3">
                  <c:v>699.2</c:v>
                </c:pt>
                <c:pt idx="4">
                  <c:v>1071.7</c:v>
                </c:pt>
                <c:pt idx="5">
                  <c:v>1823.7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C-8321-4999-B062-55831FB9C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5526816"/>
        <c:axId val="1475529216"/>
        <c:extLst>
          <c:ext xmlns:c15="http://schemas.microsoft.com/office/drawing/2012/chart" uri="{02D57815-91ED-43cb-92C2-25804820EDAC}">
            <c15:filteredScatterSeries>
              <c15:ser>
                <c:idx val="6"/>
                <c:order val="1"/>
                <c:tx>
                  <c:strRef>
                    <c:extLst>
                      <c:ext uri="{02D57815-91ED-43cb-92C2-25804820EDAC}">
                        <c15:formulaRef>
                          <c15:sqref>NFMD_compared!$AL$8</c15:sqref>
                        </c15:formulaRef>
                      </c:ext>
                    </c:extLst>
                    <c:strCache>
                      <c:ptCount val="1"/>
                      <c:pt idx="0">
                        <c:v>Beser (2018) -Pure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NFMD_compared!$A$8:$A$12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>
                        <c:v>7.8082191780821901</c:v>
                      </c:pt>
                      <c:pt idx="1">
                        <c:v>11.0326659641728</c:v>
                      </c:pt>
                      <c:pt idx="2">
                        <c:v>13.6880927291886</c:v>
                      </c:pt>
                      <c:pt idx="3">
                        <c:v>10.686373467916299</c:v>
                      </c:pt>
                      <c:pt idx="4">
                        <c:v>11.370232747305501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NFMD_compared!$B$8:$B$12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>
                        <c:v>10545.4545454545</c:v>
                      </c:pt>
                      <c:pt idx="1">
                        <c:v>10969.696969696899</c:v>
                      </c:pt>
                      <c:pt idx="2">
                        <c:v>10545.4545454545</c:v>
                      </c:pt>
                      <c:pt idx="3">
                        <c:v>8392.2822053603504</c:v>
                      </c:pt>
                      <c:pt idx="4">
                        <c:v>7798.8218173226096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A-8321-4999-B062-55831FB9C5F4}"/>
                  </c:ext>
                </c:extLst>
              </c15:ser>
            </c15:filteredScatterSeries>
            <c15:filteredScatterSeries>
              <c15:ser>
                <c:idx val="11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NFMD_compared!$AL$92</c15:sqref>
                        </c15:formulaRef>
                      </c:ext>
                    </c:extLst>
                    <c:strCache>
                      <c:ptCount val="1"/>
                      <c:pt idx="0">
                        <c:v>Pasillas (2018) -Pure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NFMD_compared!$A$92:$A$95</c15:sqref>
                        </c15:formulaRef>
                      </c:ext>
                    </c:extLst>
                    <c:numCache>
                      <c:formatCode>0.00</c:formatCode>
                      <c:ptCount val="4"/>
                      <c:pt idx="0">
                        <c:v>0.7</c:v>
                      </c:pt>
                      <c:pt idx="1">
                        <c:v>0.7</c:v>
                      </c:pt>
                      <c:pt idx="2">
                        <c:v>1.4</c:v>
                      </c:pt>
                      <c:pt idx="3">
                        <c:v>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NFMD_compared!$B$92:$B$95</c15:sqref>
                        </c15:formulaRef>
                      </c:ext>
                    </c:extLst>
                    <c:numCache>
                      <c:formatCode>0.00</c:formatCode>
                      <c:ptCount val="4"/>
                      <c:pt idx="0">
                        <c:v>902</c:v>
                      </c:pt>
                      <c:pt idx="1">
                        <c:v>627</c:v>
                      </c:pt>
                      <c:pt idx="2">
                        <c:v>221</c:v>
                      </c:pt>
                      <c:pt idx="3">
                        <c:v>386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8321-4999-B062-55831FB9C5F4}"/>
                  </c:ext>
                </c:extLst>
              </c15:ser>
            </c15:filteredScatterSeries>
          </c:ext>
        </c:extLst>
      </c:scatterChart>
      <c:valAx>
        <c:axId val="1475526816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Carbonate Content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cross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75529216"/>
        <c:crosses val="autoZero"/>
        <c:crossBetween val="midCat"/>
      </c:valAx>
      <c:valAx>
        <c:axId val="147552921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Unconfined Copressive Strength (kPa)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cross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75526816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6293295605882372"/>
          <c:y val="2.8484933302888121E-2"/>
          <c:w val="0.23706704394117625"/>
          <c:h val="0.907021568859711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5632124352331606"/>
          <c:y val="3.2133110844588135E-2"/>
          <c:w val="0.59587947704383515"/>
          <c:h val="0.83067042116424183"/>
        </c:manualLayout>
      </c:layout>
      <c:scatterChart>
        <c:scatterStyle val="smoothMarker"/>
        <c:varyColors val="0"/>
        <c:ser>
          <c:idx val="5"/>
          <c:order val="0"/>
          <c:tx>
            <c:strRef>
              <c:f>NFMD_compared!$AL$2</c:f>
              <c:strCache>
                <c:ptCount val="1"/>
                <c:pt idx="0">
                  <c:v>Yasuhara (2012) -Pure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NFMD_compared!$A$2:$A$7</c:f>
              <c:numCache>
                <c:formatCode>0.00</c:formatCode>
                <c:ptCount val="6"/>
                <c:pt idx="0">
                  <c:v>4.1140719962599004</c:v>
                </c:pt>
                <c:pt idx="1">
                  <c:v>6.0133239831696992</c:v>
                </c:pt>
                <c:pt idx="2">
                  <c:v>5.6626928471247995</c:v>
                </c:pt>
                <c:pt idx="3">
                  <c:v>7.7080411407199332</c:v>
                </c:pt>
                <c:pt idx="4">
                  <c:v>6.5918653576437336</c:v>
                </c:pt>
                <c:pt idx="5">
                  <c:v>5.0374006545114334</c:v>
                </c:pt>
              </c:numCache>
            </c:numRef>
          </c:xVal>
          <c:yVal>
            <c:numRef>
              <c:f>NFMD_compared!$B$2:$B$7</c:f>
              <c:numCache>
                <c:formatCode>0.00</c:formatCode>
                <c:ptCount val="6"/>
                <c:pt idx="0">
                  <c:v>369.614512471654</c:v>
                </c:pt>
                <c:pt idx="1">
                  <c:v>467.12018140589498</c:v>
                </c:pt>
                <c:pt idx="2">
                  <c:v>752.83446712018099</c:v>
                </c:pt>
                <c:pt idx="3">
                  <c:v>435.37414965986301</c:v>
                </c:pt>
                <c:pt idx="4">
                  <c:v>888.888888888888</c:v>
                </c:pt>
                <c:pt idx="5">
                  <c:v>1623.5827664399001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579-42FE-9484-634EEA1CFEF5}"/>
            </c:ext>
          </c:extLst>
        </c:ser>
        <c:ser>
          <c:idx val="7"/>
          <c:order val="2"/>
          <c:tx>
            <c:strRef>
              <c:f>NFMD_compared!$AL$13</c:f>
              <c:strCache>
                <c:ptCount val="1"/>
                <c:pt idx="0">
                  <c:v>Hoang (2020) -Pure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olid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5.4793647092902083E-2"/>
                  <c:y val="-8.2612327853317624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1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baseline="0"/>
                      <a:t>Hoang (2020 Pure)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199x</a:t>
                    </a:r>
                    <a:r>
                      <a:rPr lang="en-US" baseline="30000"/>
                      <a:t>0.9828</a:t>
                    </a:r>
                    <a:br>
                      <a:rPr lang="en-US" baseline="0"/>
                    </a:br>
                    <a:r>
                      <a:rPr lang="en-US" baseline="0"/>
                      <a:t>R² = 0.7319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NFMD_compared!$A$13:$A$33</c:f>
              <c:numCache>
                <c:formatCode>0.00</c:formatCode>
                <c:ptCount val="21"/>
                <c:pt idx="0">
                  <c:v>1.5336084905660301</c:v>
                </c:pt>
                <c:pt idx="1">
                  <c:v>1.68396226415094</c:v>
                </c:pt>
                <c:pt idx="2">
                  <c:v>2.5860849056603699</c:v>
                </c:pt>
                <c:pt idx="3">
                  <c:v>1.9646226415094299</c:v>
                </c:pt>
                <c:pt idx="4">
                  <c:v>2.1350235849056598</c:v>
                </c:pt>
                <c:pt idx="5">
                  <c:v>2.8266509433962201</c:v>
                </c:pt>
                <c:pt idx="6">
                  <c:v>4.1998820754716997</c:v>
                </c:pt>
                <c:pt idx="7">
                  <c:v>5.5029481132075402</c:v>
                </c:pt>
                <c:pt idx="8">
                  <c:v>5.95400943396226</c:v>
                </c:pt>
                <c:pt idx="9">
                  <c:v>5.3425707547169798</c:v>
                </c:pt>
                <c:pt idx="10">
                  <c:v>7.8685141509434002</c:v>
                </c:pt>
                <c:pt idx="11">
                  <c:v>8.0689858490566007</c:v>
                </c:pt>
                <c:pt idx="12">
                  <c:v>1.84413202933985</c:v>
                </c:pt>
                <c:pt idx="13">
                  <c:v>2.2677261613691901</c:v>
                </c:pt>
                <c:pt idx="14">
                  <c:v>2.31051344743276</c:v>
                </c:pt>
                <c:pt idx="15">
                  <c:v>2.4474327628361801</c:v>
                </c:pt>
                <c:pt idx="16">
                  <c:v>3.1919315403422899</c:v>
                </c:pt>
                <c:pt idx="17">
                  <c:v>3.70110024449877</c:v>
                </c:pt>
                <c:pt idx="18">
                  <c:v>5.1900977995110003</c:v>
                </c:pt>
                <c:pt idx="19">
                  <c:v>6.0501222493887497</c:v>
                </c:pt>
                <c:pt idx="20">
                  <c:v>6.5165036674816603</c:v>
                </c:pt>
              </c:numCache>
            </c:numRef>
          </c:xVal>
          <c:yVal>
            <c:numRef>
              <c:f>NFMD_compared!$B$13:$B$33</c:f>
              <c:numCache>
                <c:formatCode>0.00</c:formatCode>
                <c:ptCount val="21"/>
                <c:pt idx="0">
                  <c:v>417.53653444676399</c:v>
                </c:pt>
                <c:pt idx="1">
                  <c:v>396.659707724425</c:v>
                </c:pt>
                <c:pt idx="2">
                  <c:v>493.21503131524003</c:v>
                </c:pt>
                <c:pt idx="3">
                  <c:v>631.52400835073001</c:v>
                </c:pt>
                <c:pt idx="4">
                  <c:v>474.947807933192</c:v>
                </c:pt>
                <c:pt idx="5">
                  <c:v>701.98329853862197</c:v>
                </c:pt>
                <c:pt idx="6">
                  <c:v>1242.1711899791201</c:v>
                </c:pt>
                <c:pt idx="7">
                  <c:v>1336.1169102296401</c:v>
                </c:pt>
                <c:pt idx="8">
                  <c:v>1456.15866388308</c:v>
                </c:pt>
                <c:pt idx="9">
                  <c:v>1127.3486430062601</c:v>
                </c:pt>
                <c:pt idx="10">
                  <c:v>1513.5699373695099</c:v>
                </c:pt>
                <c:pt idx="11">
                  <c:v>2366.9102296450901</c:v>
                </c:pt>
                <c:pt idx="12">
                  <c:v>170.85436281406999</c:v>
                </c:pt>
                <c:pt idx="13">
                  <c:v>418.09053135678403</c:v>
                </c:pt>
                <c:pt idx="14">
                  <c:v>397.99002984924601</c:v>
                </c:pt>
                <c:pt idx="15">
                  <c:v>381.90962864321602</c:v>
                </c:pt>
                <c:pt idx="16">
                  <c:v>524.62318934673397</c:v>
                </c:pt>
                <c:pt idx="17">
                  <c:v>532.66338994974797</c:v>
                </c:pt>
                <c:pt idx="18">
                  <c:v>693.46740201005002</c:v>
                </c:pt>
                <c:pt idx="19">
                  <c:v>818.09051135678396</c:v>
                </c:pt>
                <c:pt idx="20">
                  <c:v>882.41211618090404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579-42FE-9484-634EEA1CFEF5}"/>
            </c:ext>
          </c:extLst>
        </c:ser>
        <c:ser>
          <c:idx val="8"/>
          <c:order val="3"/>
          <c:tx>
            <c:strRef>
              <c:f>NFMD_compared!$AL$34</c:f>
              <c:strCache>
                <c:ptCount val="1"/>
                <c:pt idx="0">
                  <c:v>Martin (2021) -NFMD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>
                    <a:lumMod val="60000"/>
                  </a:schemeClr>
                </a:solidFill>
                <a:prstDash val="solid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7.6958082965066787E-2"/>
                  <c:y val="0.1055045375860084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1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baseline="0"/>
                      <a:t>Martin (2021) NFMD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1.6618x</a:t>
                    </a:r>
                    <a:r>
                      <a:rPr lang="en-US" baseline="30000"/>
                      <a:t>3.1874</a:t>
                    </a:r>
                    <a:br>
                      <a:rPr lang="en-US" baseline="0"/>
                    </a:br>
                    <a:r>
                      <a:rPr lang="en-US" baseline="0"/>
                      <a:t>R² = 0.7012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NFMD_compared!$A$34:$A$39</c:f>
              <c:numCache>
                <c:formatCode>0.00</c:formatCode>
                <c:ptCount val="6"/>
                <c:pt idx="0">
                  <c:v>3</c:v>
                </c:pt>
                <c:pt idx="1">
                  <c:v>4.3</c:v>
                </c:pt>
                <c:pt idx="2">
                  <c:v>6.3</c:v>
                </c:pt>
                <c:pt idx="3">
                  <c:v>4.0999999999999996</c:v>
                </c:pt>
                <c:pt idx="4">
                  <c:v>5.4</c:v>
                </c:pt>
                <c:pt idx="5">
                  <c:v>6.9</c:v>
                </c:pt>
              </c:numCache>
            </c:numRef>
          </c:xVal>
          <c:yVal>
            <c:numRef>
              <c:f>NFMD_compared!$B$34:$B$39</c:f>
              <c:numCache>
                <c:formatCode>0.00</c:formatCode>
                <c:ptCount val="6"/>
                <c:pt idx="0">
                  <c:v>53.594771241830003</c:v>
                </c:pt>
                <c:pt idx="1">
                  <c:v>223.529411764705</c:v>
                </c:pt>
                <c:pt idx="2">
                  <c:v>372.54901960784298</c:v>
                </c:pt>
                <c:pt idx="3">
                  <c:v>100.653594771241</c:v>
                </c:pt>
                <c:pt idx="4">
                  <c:v>662.74509803921501</c:v>
                </c:pt>
                <c:pt idx="5">
                  <c:v>792.15686274509801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579-42FE-9484-634EEA1CFEF5}"/>
            </c:ext>
          </c:extLst>
        </c:ser>
        <c:ser>
          <c:idx val="9"/>
          <c:order val="4"/>
          <c:tx>
            <c:strRef>
              <c:f>NFMD_compared!$AL$41</c:f>
              <c:strCache>
                <c:ptCount val="1"/>
                <c:pt idx="0">
                  <c:v>Arab (2021) -NFMD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rgbClr val="5B9BD5"/>
                </a:solidFill>
                <a:prstDash val="solid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olid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6.9361106106689552E-2"/>
                  <c:y val="-9.2896345201505387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1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baseline="0"/>
                      <a:t>Arab (2021) NFMD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140.8x</a:t>
                    </a:r>
                    <a:r>
                      <a:rPr lang="en-US" baseline="30000"/>
                      <a:t>1.5727</a:t>
                    </a:r>
                    <a:br>
                      <a:rPr lang="en-US" baseline="0"/>
                    </a:br>
                    <a:r>
                      <a:rPr lang="en-US" baseline="0"/>
                      <a:t>R² = 0.8426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NFMD_compared!$A$41:$A$83</c:f>
              <c:numCache>
                <c:formatCode>0.00</c:formatCode>
                <c:ptCount val="43"/>
                <c:pt idx="0">
                  <c:v>1.1458733205374201</c:v>
                </c:pt>
                <c:pt idx="1">
                  <c:v>1.0652591170825301</c:v>
                </c:pt>
                <c:pt idx="2">
                  <c:v>1.08829174664107</c:v>
                </c:pt>
                <c:pt idx="3">
                  <c:v>1.20345489443378</c:v>
                </c:pt>
                <c:pt idx="4">
                  <c:v>1.1285988483685201</c:v>
                </c:pt>
                <c:pt idx="5">
                  <c:v>1.19769673704414</c:v>
                </c:pt>
                <c:pt idx="6">
                  <c:v>1.3243761996161201</c:v>
                </c:pt>
                <c:pt idx="7">
                  <c:v>1.2725527831093999</c:v>
                </c:pt>
                <c:pt idx="8">
                  <c:v>2.0671785028790701</c:v>
                </c:pt>
                <c:pt idx="9">
                  <c:v>2.17082533589251</c:v>
                </c:pt>
                <c:pt idx="10">
                  <c:v>2.2341650671785001</c:v>
                </c:pt>
                <c:pt idx="11">
                  <c:v>2.3378119001919302</c:v>
                </c:pt>
                <c:pt idx="12">
                  <c:v>2.4587332053742799</c:v>
                </c:pt>
                <c:pt idx="13">
                  <c:v>2.4414587332053701</c:v>
                </c:pt>
                <c:pt idx="14">
                  <c:v>2.4529750479846402</c:v>
                </c:pt>
                <c:pt idx="15">
                  <c:v>2.4932821497120901</c:v>
                </c:pt>
                <c:pt idx="16">
                  <c:v>3.2706333973128499</c:v>
                </c:pt>
                <c:pt idx="17">
                  <c:v>3.16122840690978</c:v>
                </c:pt>
                <c:pt idx="18">
                  <c:v>3.1036468330134301</c:v>
                </c:pt>
                <c:pt idx="19">
                  <c:v>4.1401151631477902</c:v>
                </c:pt>
                <c:pt idx="20">
                  <c:v>4.1228406909788804</c:v>
                </c:pt>
                <c:pt idx="21">
                  <c:v>4.1285988483685196</c:v>
                </c:pt>
                <c:pt idx="22">
                  <c:v>4.2495201535508604</c:v>
                </c:pt>
                <c:pt idx="23">
                  <c:v>4.2322456813819596</c:v>
                </c:pt>
                <c:pt idx="24">
                  <c:v>4.1631477927063303</c:v>
                </c:pt>
                <c:pt idx="25">
                  <c:v>4.2898272552782997</c:v>
                </c:pt>
                <c:pt idx="26">
                  <c:v>4.3416506717850201</c:v>
                </c:pt>
                <c:pt idx="27">
                  <c:v>4.3416506717850298</c:v>
                </c:pt>
                <c:pt idx="28">
                  <c:v>4.3761996161228396</c:v>
                </c:pt>
                <c:pt idx="29">
                  <c:v>4.4222648752399198</c:v>
                </c:pt>
                <c:pt idx="30">
                  <c:v>4.0652591170825296</c:v>
                </c:pt>
                <c:pt idx="31">
                  <c:v>4.3128598848368496</c:v>
                </c:pt>
                <c:pt idx="32">
                  <c:v>4.3358925143953897</c:v>
                </c:pt>
                <c:pt idx="33">
                  <c:v>4.2207293666026802</c:v>
                </c:pt>
                <c:pt idx="34">
                  <c:v>4.2840690978886702</c:v>
                </c:pt>
                <c:pt idx="35">
                  <c:v>4.5489443378118999</c:v>
                </c:pt>
                <c:pt idx="36">
                  <c:v>5.5911708253358903</c:v>
                </c:pt>
                <c:pt idx="37">
                  <c:v>4.3243761996161201</c:v>
                </c:pt>
                <c:pt idx="38">
                  <c:v>4.3761996161228396</c:v>
                </c:pt>
                <c:pt idx="39">
                  <c:v>4.4798464491362697</c:v>
                </c:pt>
                <c:pt idx="40">
                  <c:v>3.42034548944337</c:v>
                </c:pt>
                <c:pt idx="41">
                  <c:v>3.3224568138195698</c:v>
                </c:pt>
                <c:pt idx="42">
                  <c:v>2.3608445297504699</c:v>
                </c:pt>
              </c:numCache>
            </c:numRef>
          </c:xVal>
          <c:yVal>
            <c:numRef>
              <c:f>NFMD_compared!$B$41:$B$83</c:f>
              <c:numCache>
                <c:formatCode>0.00</c:formatCode>
                <c:ptCount val="43"/>
                <c:pt idx="0">
                  <c:v>116.182572614107</c:v>
                </c:pt>
                <c:pt idx="1">
                  <c:v>188.796680497925</c:v>
                </c:pt>
                <c:pt idx="2">
                  <c:v>210.58091286307101</c:v>
                </c:pt>
                <c:pt idx="3">
                  <c:v>239.62655601659799</c:v>
                </c:pt>
                <c:pt idx="4">
                  <c:v>275.93360995850702</c:v>
                </c:pt>
                <c:pt idx="5">
                  <c:v>268.67219917012397</c:v>
                </c:pt>
                <c:pt idx="6">
                  <c:v>308.60995850622402</c:v>
                </c:pt>
                <c:pt idx="7">
                  <c:v>355.80912863070603</c:v>
                </c:pt>
                <c:pt idx="8">
                  <c:v>279.56431535269701</c:v>
                </c:pt>
                <c:pt idx="9">
                  <c:v>312.24066390041497</c:v>
                </c:pt>
                <c:pt idx="10">
                  <c:v>301.34854771784302</c:v>
                </c:pt>
                <c:pt idx="11">
                  <c:v>315.87136929460502</c:v>
                </c:pt>
                <c:pt idx="12">
                  <c:v>406.639004149377</c:v>
                </c:pt>
                <c:pt idx="13">
                  <c:v>435.68464730290498</c:v>
                </c:pt>
                <c:pt idx="14">
                  <c:v>475.62240663900297</c:v>
                </c:pt>
                <c:pt idx="15">
                  <c:v>501.03734439834</c:v>
                </c:pt>
                <c:pt idx="16">
                  <c:v>504.66804979253197</c:v>
                </c:pt>
                <c:pt idx="17">
                  <c:v>508.29875518672202</c:v>
                </c:pt>
                <c:pt idx="18">
                  <c:v>809.64730290456396</c:v>
                </c:pt>
                <c:pt idx="19">
                  <c:v>1110.9958506224</c:v>
                </c:pt>
                <c:pt idx="20">
                  <c:v>1089.2116182572599</c:v>
                </c:pt>
                <c:pt idx="21">
                  <c:v>1143.6721991701199</c:v>
                </c:pt>
                <c:pt idx="22">
                  <c:v>1274.37759336099</c:v>
                </c:pt>
                <c:pt idx="23">
                  <c:v>1238.07053941908</c:v>
                </c:pt>
                <c:pt idx="24">
                  <c:v>1292.53112033195</c:v>
                </c:pt>
                <c:pt idx="25">
                  <c:v>1405.08298755186</c:v>
                </c:pt>
                <c:pt idx="26">
                  <c:v>1445.0207468879601</c:v>
                </c:pt>
                <c:pt idx="27">
                  <c:v>1543.0497925311199</c:v>
                </c:pt>
                <c:pt idx="28">
                  <c:v>1699.17012448132</c:v>
                </c:pt>
                <c:pt idx="29">
                  <c:v>1742.7385892116099</c:v>
                </c:pt>
                <c:pt idx="30">
                  <c:v>1731.84647302904</c:v>
                </c:pt>
                <c:pt idx="31">
                  <c:v>1931.53526970954</c:v>
                </c:pt>
                <c:pt idx="32">
                  <c:v>2058.6099585062202</c:v>
                </c:pt>
                <c:pt idx="33">
                  <c:v>2058.6099585062202</c:v>
                </c:pt>
                <c:pt idx="34">
                  <c:v>2116.70124481327</c:v>
                </c:pt>
                <c:pt idx="35">
                  <c:v>2610.4771784232298</c:v>
                </c:pt>
                <c:pt idx="36">
                  <c:v>2984.4398340248899</c:v>
                </c:pt>
                <c:pt idx="37">
                  <c:v>1412.3443983402401</c:v>
                </c:pt>
                <c:pt idx="38">
                  <c:v>1593.8796680497901</c:v>
                </c:pt>
                <c:pt idx="39">
                  <c:v>1604.77178423236</c:v>
                </c:pt>
                <c:pt idx="40">
                  <c:v>806.016597510373</c:v>
                </c:pt>
                <c:pt idx="41">
                  <c:v>824.170124481328</c:v>
                </c:pt>
                <c:pt idx="42">
                  <c:v>377.59336099584999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579-42FE-9484-634EEA1CFEF5}"/>
            </c:ext>
          </c:extLst>
        </c:ser>
        <c:ser>
          <c:idx val="10"/>
          <c:order val="5"/>
          <c:tx>
            <c:strRef>
              <c:f>NFMD_compared!$AL$84</c:f>
              <c:strCache>
                <c:ptCount val="1"/>
                <c:pt idx="0">
                  <c:v>Khodadadi Tirkolaei (2020) -NFMD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NFMD_compared!$A$84:$A$88</c:f>
              <c:numCache>
                <c:formatCode>0.00</c:formatCode>
                <c:ptCount val="5"/>
                <c:pt idx="0">
                  <c:v>1.5486891385767714</c:v>
                </c:pt>
                <c:pt idx="1">
                  <c:v>1.5805243445692856</c:v>
                </c:pt>
                <c:pt idx="2">
                  <c:v>1.7172284644194715</c:v>
                </c:pt>
                <c:pt idx="3">
                  <c:v>1.7172284644194715</c:v>
                </c:pt>
                <c:pt idx="4">
                  <c:v>1.6591760299625429</c:v>
                </c:pt>
              </c:numCache>
            </c:numRef>
          </c:xVal>
          <c:yVal>
            <c:numRef>
              <c:f>NFMD_compared!$B$84:$B$88</c:f>
              <c:numCache>
                <c:formatCode>0.00</c:formatCode>
                <c:ptCount val="5"/>
                <c:pt idx="0">
                  <c:v>745.88014981273398</c:v>
                </c:pt>
                <c:pt idx="1">
                  <c:v>630.52434456928802</c:v>
                </c:pt>
                <c:pt idx="2">
                  <c:v>996.25468164793995</c:v>
                </c:pt>
                <c:pt idx="3">
                  <c:v>188.76404494381899</c:v>
                </c:pt>
                <c:pt idx="4">
                  <c:v>294.94382022471802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579-42FE-9484-634EEA1CFEF5}"/>
            </c:ext>
          </c:extLst>
        </c:ser>
        <c:ser>
          <c:idx val="12"/>
          <c:order val="7"/>
          <c:tx>
            <c:strRef>
              <c:f>NFMD_compared!$AL$96</c:f>
              <c:strCache>
                <c:ptCount val="1"/>
                <c:pt idx="0">
                  <c:v>Almajed (2019) -Pure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NFMD_compared!$A$96:$A$98</c:f>
              <c:numCache>
                <c:formatCode>0.00</c:formatCode>
                <c:ptCount val="3"/>
                <c:pt idx="0">
                  <c:v>1.63</c:v>
                </c:pt>
                <c:pt idx="1">
                  <c:v>0.98</c:v>
                </c:pt>
                <c:pt idx="2">
                  <c:v>0.99</c:v>
                </c:pt>
              </c:numCache>
            </c:numRef>
          </c:xVal>
          <c:yVal>
            <c:numRef>
              <c:f>NFMD_compared!$B$96:$B$98</c:f>
              <c:numCache>
                <c:formatCode>0.00</c:formatCode>
                <c:ptCount val="3"/>
                <c:pt idx="0">
                  <c:v>133</c:v>
                </c:pt>
                <c:pt idx="1">
                  <c:v>158</c:v>
                </c:pt>
                <c:pt idx="2">
                  <c:v>124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579-42FE-9484-634EEA1CFEF5}"/>
            </c:ext>
          </c:extLst>
        </c:ser>
        <c:ser>
          <c:idx val="13"/>
          <c:order val="8"/>
          <c:tx>
            <c:strRef>
              <c:f>NFMD_compared!$AL$99</c:f>
              <c:strCache>
                <c:ptCount val="1"/>
                <c:pt idx="0">
                  <c:v>Almajed (2019) -NFMD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olid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0967702052048339"/>
                  <c:y val="-9.229306550457915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1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baseline="0"/>
                      <a:t>Almajed (2019) NFMD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1807.5x</a:t>
                    </a:r>
                    <a:r>
                      <a:rPr lang="en-US" baseline="30000"/>
                      <a:t>0.8503</a:t>
                    </a:r>
                    <a:br>
                      <a:rPr lang="en-US" baseline="0"/>
                    </a:br>
                    <a:r>
                      <a:rPr lang="en-US" baseline="0"/>
                      <a:t>R² = 0.7145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NFMD_compared!$A$99:$A$104</c:f>
              <c:numCache>
                <c:formatCode>0.00</c:formatCode>
                <c:ptCount val="6"/>
                <c:pt idx="0">
                  <c:v>0.82</c:v>
                </c:pt>
                <c:pt idx="1">
                  <c:v>0.79</c:v>
                </c:pt>
                <c:pt idx="2">
                  <c:v>1.17</c:v>
                </c:pt>
                <c:pt idx="3">
                  <c:v>0.56999999999999995</c:v>
                </c:pt>
                <c:pt idx="4">
                  <c:v>0.71</c:v>
                </c:pt>
                <c:pt idx="5">
                  <c:v>0.49</c:v>
                </c:pt>
              </c:numCache>
            </c:numRef>
          </c:xVal>
          <c:yVal>
            <c:numRef>
              <c:f>NFMD_compared!$B$99:$B$104</c:f>
              <c:numCache>
                <c:formatCode>0.00</c:formatCode>
                <c:ptCount val="6"/>
                <c:pt idx="0">
                  <c:v>1817</c:v>
                </c:pt>
                <c:pt idx="1">
                  <c:v>1654</c:v>
                </c:pt>
                <c:pt idx="2">
                  <c:v>1763</c:v>
                </c:pt>
                <c:pt idx="3">
                  <c:v>1000</c:v>
                </c:pt>
                <c:pt idx="4">
                  <c:v>1396</c:v>
                </c:pt>
                <c:pt idx="5">
                  <c:v>941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E579-42FE-9484-634EEA1CFEF5}"/>
            </c:ext>
          </c:extLst>
        </c:ser>
        <c:ser>
          <c:idx val="14"/>
          <c:order val="9"/>
          <c:tx>
            <c:strRef>
              <c:f>NFMD_compared!$AL$105</c:f>
              <c:strCache>
                <c:ptCount val="1"/>
                <c:pt idx="0">
                  <c:v>Park (2014) -Pure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NFMD_compared!$A$105:$A$108</c:f>
              <c:numCache>
                <c:formatCode>0.00</c:formatCode>
                <c:ptCount val="4"/>
                <c:pt idx="0">
                  <c:v>0</c:v>
                </c:pt>
                <c:pt idx="1">
                  <c:v>2.34</c:v>
                </c:pt>
                <c:pt idx="2">
                  <c:v>6.37</c:v>
                </c:pt>
                <c:pt idx="3">
                  <c:v>6.58</c:v>
                </c:pt>
              </c:numCache>
            </c:numRef>
          </c:xVal>
          <c:yVal>
            <c:numRef>
              <c:f>NFMD_compared!$B$105:$B$108</c:f>
              <c:numCache>
                <c:formatCode>0.00</c:formatCode>
                <c:ptCount val="4"/>
                <c:pt idx="0">
                  <c:v>30</c:v>
                </c:pt>
                <c:pt idx="1">
                  <c:v>90</c:v>
                </c:pt>
                <c:pt idx="2">
                  <c:v>160</c:v>
                </c:pt>
                <c:pt idx="3">
                  <c:v>317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E579-42FE-9484-634EEA1CFEF5}"/>
            </c:ext>
          </c:extLst>
        </c:ser>
        <c:ser>
          <c:idx val="15"/>
          <c:order val="10"/>
          <c:tx>
            <c:strRef>
              <c:f>NFMD_compared!$AL$109</c:f>
              <c:strCache>
                <c:ptCount val="1"/>
                <c:pt idx="0">
                  <c:v>Putra (2017) -Pure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F0"/>
                </a:solidFill>
                <a:prstDash val="solid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noFill/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6.0658446462698218E-2"/>
                  <c:y val="6.3753550996149239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1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baseline="0"/>
                      <a:t>Putra (2017) Pure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22.689x</a:t>
                    </a:r>
                    <a:r>
                      <a:rPr lang="en-US" baseline="30000"/>
                      <a:t>0.781</a:t>
                    </a:r>
                    <a:br>
                      <a:rPr lang="en-US" baseline="0"/>
                    </a:br>
                    <a:r>
                      <a:rPr lang="en-US" baseline="0"/>
                      <a:t>R² = 0.7372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NFMD_compared!$A$109:$A$114</c:f>
              <c:numCache>
                <c:formatCode>0.00</c:formatCode>
                <c:ptCount val="6"/>
                <c:pt idx="0">
                  <c:v>1.1002570694087399</c:v>
                </c:pt>
                <c:pt idx="1">
                  <c:v>2.1388174807197902</c:v>
                </c:pt>
                <c:pt idx="2">
                  <c:v>3.0848329048843102</c:v>
                </c:pt>
                <c:pt idx="3">
                  <c:v>4.6889460154241602</c:v>
                </c:pt>
                <c:pt idx="4">
                  <c:v>7.3007712082262204</c:v>
                </c:pt>
                <c:pt idx="5">
                  <c:v>9.5732647814909999</c:v>
                </c:pt>
              </c:numCache>
            </c:numRef>
          </c:xVal>
          <c:yVal>
            <c:numRef>
              <c:f>NFMD_compared!$B$109:$B$114</c:f>
              <c:numCache>
                <c:formatCode>0.00</c:formatCode>
                <c:ptCount val="6"/>
                <c:pt idx="0">
                  <c:v>28.972095889031301</c:v>
                </c:pt>
                <c:pt idx="1">
                  <c:v>45.705799019786298</c:v>
                </c:pt>
                <c:pt idx="2">
                  <c:v>68.392294410904597</c:v>
                </c:pt>
                <c:pt idx="3">
                  <c:v>24.723693038891</c:v>
                </c:pt>
                <c:pt idx="4">
                  <c:v>115.263809722554</c:v>
                </c:pt>
                <c:pt idx="5">
                  <c:v>229.14731752710799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E579-42FE-9484-634EEA1CFEF5}"/>
            </c:ext>
          </c:extLst>
        </c:ser>
        <c:ser>
          <c:idx val="16"/>
          <c:order val="11"/>
          <c:tx>
            <c:strRef>
              <c:f>NFMD_compared!$AL$115</c:f>
              <c:strCache>
                <c:ptCount val="1"/>
                <c:pt idx="0">
                  <c:v>Almajed (2018) -Pure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prstDash val="solid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2.0289808995948184E-2"/>
                  <c:y val="0.24862968435358881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1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baseline="0"/>
                      <a:t>Almajed (2018) Pure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61.138x</a:t>
                    </a:r>
                    <a:r>
                      <a:rPr lang="en-US" baseline="30000"/>
                      <a:t>2.083</a:t>
                    </a:r>
                    <a:br>
                      <a:rPr lang="en-US" baseline="0"/>
                    </a:br>
                    <a:r>
                      <a:rPr lang="en-US" baseline="0"/>
                      <a:t>R² = 0.8451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NFMD_compared!$A$115:$A$118</c:f>
              <c:numCache>
                <c:formatCode>0.00</c:formatCode>
                <c:ptCount val="4"/>
                <c:pt idx="0">
                  <c:v>1.21</c:v>
                </c:pt>
                <c:pt idx="1">
                  <c:v>2.17</c:v>
                </c:pt>
                <c:pt idx="2">
                  <c:v>3.05</c:v>
                </c:pt>
                <c:pt idx="3">
                  <c:v>3.64</c:v>
                </c:pt>
              </c:numCache>
            </c:numRef>
          </c:xVal>
          <c:yVal>
            <c:numRef>
              <c:f>NFMD_compared!$B$115:$B$118</c:f>
              <c:numCache>
                <c:formatCode>0.00</c:formatCode>
                <c:ptCount val="4"/>
                <c:pt idx="0">
                  <c:v>99</c:v>
                </c:pt>
                <c:pt idx="1">
                  <c:v>291</c:v>
                </c:pt>
                <c:pt idx="2">
                  <c:v>430</c:v>
                </c:pt>
                <c:pt idx="3">
                  <c:v>1268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E579-42FE-9484-634EEA1CFEF5}"/>
            </c:ext>
          </c:extLst>
        </c:ser>
        <c:ser>
          <c:idx val="17"/>
          <c:order val="12"/>
          <c:tx>
            <c:strRef>
              <c:f>NFMD_compared!$AL$119</c:f>
              <c:strCache>
                <c:ptCount val="1"/>
                <c:pt idx="0">
                  <c:v>Hoang (2019) -Pure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rgbClr val="92D050"/>
                </a:solidFill>
                <a:prstDash val="solid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1.4541759837220886E-2"/>
                  <c:y val="7.4863415232240868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1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baseline="0"/>
                      <a:t>Hoang (2019) Pure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368.4x</a:t>
                    </a:r>
                    <a:r>
                      <a:rPr lang="en-US" baseline="30000"/>
                      <a:t>0.3663</a:t>
                    </a:r>
                    <a:br>
                      <a:rPr lang="en-US" baseline="0"/>
                    </a:br>
                    <a:r>
                      <a:rPr lang="en-US" baseline="0"/>
                      <a:t>R² = 0.074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NFMD_compared!$A$119:$A$127</c:f>
              <c:numCache>
                <c:formatCode>0.00</c:formatCode>
                <c:ptCount val="9"/>
                <c:pt idx="0">
                  <c:v>2.23</c:v>
                </c:pt>
                <c:pt idx="1">
                  <c:v>4.0999999999999996</c:v>
                </c:pt>
                <c:pt idx="2">
                  <c:v>5.47</c:v>
                </c:pt>
                <c:pt idx="3">
                  <c:v>5.23</c:v>
                </c:pt>
                <c:pt idx="4">
                  <c:v>11.74</c:v>
                </c:pt>
                <c:pt idx="5">
                  <c:v>12.87</c:v>
                </c:pt>
                <c:pt idx="6">
                  <c:v>7.12</c:v>
                </c:pt>
                <c:pt idx="7">
                  <c:v>12.59</c:v>
                </c:pt>
                <c:pt idx="8">
                  <c:v>13.15</c:v>
                </c:pt>
              </c:numCache>
            </c:numRef>
          </c:xVal>
          <c:yVal>
            <c:numRef>
              <c:f>NFMD_compared!$B$119:$B$127</c:f>
              <c:numCache>
                <c:formatCode>0.00</c:formatCode>
                <c:ptCount val="9"/>
                <c:pt idx="0">
                  <c:v>600</c:v>
                </c:pt>
                <c:pt idx="1">
                  <c:v>394</c:v>
                </c:pt>
                <c:pt idx="2">
                  <c:v>231</c:v>
                </c:pt>
                <c:pt idx="3">
                  <c:v>1340</c:v>
                </c:pt>
                <c:pt idx="4">
                  <c:v>972</c:v>
                </c:pt>
                <c:pt idx="5">
                  <c:v>711</c:v>
                </c:pt>
                <c:pt idx="6">
                  <c:v>1691</c:v>
                </c:pt>
                <c:pt idx="7">
                  <c:v>1118</c:v>
                </c:pt>
                <c:pt idx="8">
                  <c:v>842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E579-42FE-9484-634EEA1CFEF5}"/>
            </c:ext>
          </c:extLst>
        </c:ser>
        <c:ser>
          <c:idx val="18"/>
          <c:order val="13"/>
          <c:tx>
            <c:strRef>
              <c:f>NFMD_compared!$AL$128</c:f>
              <c:strCache>
                <c:ptCount val="1"/>
                <c:pt idx="0">
                  <c:v>Kavazanjian and Hamdan (2015) -NFMD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NFMD_compared!$A$128:$A$129</c:f>
              <c:numCache>
                <c:formatCode>0.00</c:formatCode>
                <c:ptCount val="2"/>
                <c:pt idx="0">
                  <c:v>2.8</c:v>
                </c:pt>
                <c:pt idx="1">
                  <c:v>4.3</c:v>
                </c:pt>
              </c:numCache>
            </c:numRef>
          </c:xVal>
          <c:yVal>
            <c:numRef>
              <c:f>NFMD_compared!$B$128:$B$129</c:f>
              <c:numCache>
                <c:formatCode>0.00</c:formatCode>
                <c:ptCount val="2"/>
                <c:pt idx="0">
                  <c:v>529</c:v>
                </c:pt>
                <c:pt idx="1">
                  <c:v>391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E579-42FE-9484-634EEA1CFEF5}"/>
            </c:ext>
          </c:extLst>
        </c:ser>
        <c:ser>
          <c:idx val="19"/>
          <c:order val="14"/>
          <c:tx>
            <c:strRef>
              <c:f>NFMD_compared!$AL$130</c:f>
              <c:strCache>
                <c:ptCount val="1"/>
                <c:pt idx="0">
                  <c:v>Putra (2016) -MgCl2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80000"/>
                  </a:schemeClr>
                </a:solidFill>
                <a:prstDash val="solid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4588548234969956"/>
                  <c:y val="0.21805464637585384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1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baseline="0"/>
                      <a:t>Putra (2016) MgCl2 added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14.049x</a:t>
                    </a:r>
                    <a:r>
                      <a:rPr lang="en-US" baseline="30000"/>
                      <a:t>1.0145</a:t>
                    </a:r>
                    <a:br>
                      <a:rPr lang="en-US" baseline="0"/>
                    </a:br>
                    <a:r>
                      <a:rPr lang="en-US" baseline="0"/>
                      <a:t>R² = 0.9365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NFMD_compared!$A$130:$A$141</c:f>
              <c:numCache>
                <c:formatCode>0.00</c:formatCode>
                <c:ptCount val="12"/>
                <c:pt idx="0">
                  <c:v>1.2050511124473799</c:v>
                </c:pt>
                <c:pt idx="1">
                  <c:v>1.19061936259771</c:v>
                </c:pt>
                <c:pt idx="2">
                  <c:v>2.2297053517738998</c:v>
                </c:pt>
                <c:pt idx="3">
                  <c:v>2.2080577269993902</c:v>
                </c:pt>
                <c:pt idx="4">
                  <c:v>3.1389055923030602</c:v>
                </c:pt>
                <c:pt idx="5">
                  <c:v>3.2760072158749201</c:v>
                </c:pt>
                <c:pt idx="6">
                  <c:v>4.2573662056524304</c:v>
                </c:pt>
                <c:pt idx="7">
                  <c:v>4.2501503307275996</c:v>
                </c:pt>
                <c:pt idx="8">
                  <c:v>5.9386650631388997</c:v>
                </c:pt>
                <c:pt idx="9">
                  <c:v>6.0324714371617496</c:v>
                </c:pt>
                <c:pt idx="10">
                  <c:v>8.6085387853277098</c:v>
                </c:pt>
                <c:pt idx="11">
                  <c:v>8.5147324113048608</c:v>
                </c:pt>
              </c:numCache>
            </c:numRef>
          </c:xVal>
          <c:yVal>
            <c:numRef>
              <c:f>NFMD_compared!$B$130:$B$141</c:f>
              <c:numCache>
                <c:formatCode>0.00</c:formatCode>
                <c:ptCount val="12"/>
                <c:pt idx="0">
                  <c:v>18.416385059523801</c:v>
                </c:pt>
                <c:pt idx="1">
                  <c:v>15.2563151389925</c:v>
                </c:pt>
                <c:pt idx="2">
                  <c:v>33.1465768372056</c:v>
                </c:pt>
                <c:pt idx="3">
                  <c:v>28.881393623758999</c:v>
                </c:pt>
                <c:pt idx="4">
                  <c:v>44.673486762516497</c:v>
                </c:pt>
                <c:pt idx="5">
                  <c:v>49.421764312422503</c:v>
                </c:pt>
                <c:pt idx="6">
                  <c:v>64.798552437267006</c:v>
                </c:pt>
                <c:pt idx="7">
                  <c:v>67.8430686540013</c:v>
                </c:pt>
                <c:pt idx="8">
                  <c:v>76.796949253539296</c:v>
                </c:pt>
                <c:pt idx="9">
                  <c:v>76.796949253539296</c:v>
                </c:pt>
                <c:pt idx="10">
                  <c:v>150.13107289081699</c:v>
                </c:pt>
                <c:pt idx="11">
                  <c:v>109.869555602478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E579-42FE-9484-634EEA1CFEF5}"/>
            </c:ext>
          </c:extLst>
        </c:ser>
        <c:ser>
          <c:idx val="20"/>
          <c:order val="15"/>
          <c:tx>
            <c:strRef>
              <c:f>NFMD_compared!$AL$142</c:f>
              <c:strCache>
                <c:ptCount val="1"/>
                <c:pt idx="0">
                  <c:v>Lai (2022) -Pure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NFMD_compared!$A$142:$A$143</c:f>
              <c:numCache>
                <c:formatCode>0.00</c:formatCode>
                <c:ptCount val="2"/>
                <c:pt idx="0">
                  <c:v>5.8844765342960201</c:v>
                </c:pt>
                <c:pt idx="1">
                  <c:v>6.2599277978339298</c:v>
                </c:pt>
              </c:numCache>
            </c:numRef>
          </c:xVal>
          <c:yVal>
            <c:numRef>
              <c:f>NFMD_compared!$B$142:$B$143</c:f>
              <c:numCache>
                <c:formatCode>0.00</c:formatCode>
                <c:ptCount val="2"/>
                <c:pt idx="0">
                  <c:v>376.68161434977497</c:v>
                </c:pt>
                <c:pt idx="1">
                  <c:v>566.81614349775703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E579-42FE-9484-634EEA1CFEF5}"/>
            </c:ext>
          </c:extLst>
        </c:ser>
        <c:ser>
          <c:idx val="21"/>
          <c:order val="16"/>
          <c:tx>
            <c:strRef>
              <c:f>NFMD_compared!$AL$144</c:f>
              <c:strCache>
                <c:ptCount val="1"/>
                <c:pt idx="0">
                  <c:v>Lai (2022) -pH Controlled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ash"/>
            <c:size val="8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trendline>
            <c:spPr>
              <a:ln w="19050" cap="rnd">
                <a:noFill/>
                <a:prstDash val="solid"/>
              </a:ln>
              <a:effectLst/>
            </c:spPr>
            <c:trendlineType val="power"/>
            <c:dispRSqr val="0"/>
            <c:dispEq val="0"/>
          </c:trendline>
          <c:xVal>
            <c:numRef>
              <c:f>NFMD_compared!$A$144:$A$155</c:f>
              <c:numCache>
                <c:formatCode>0.00</c:formatCode>
                <c:ptCount val="12"/>
                <c:pt idx="0">
                  <c:v>6.4187725631768897</c:v>
                </c:pt>
                <c:pt idx="1">
                  <c:v>6.4115523465703896</c:v>
                </c:pt>
                <c:pt idx="2">
                  <c:v>6.3249097472924101</c:v>
                </c:pt>
                <c:pt idx="3">
                  <c:v>6.5703971119133504</c:v>
                </c:pt>
                <c:pt idx="4">
                  <c:v>6.5559566787003503</c:v>
                </c:pt>
                <c:pt idx="5">
                  <c:v>6.7292418772563103</c:v>
                </c:pt>
                <c:pt idx="6">
                  <c:v>6.5631768953068503</c:v>
                </c:pt>
                <c:pt idx="7">
                  <c:v>6.3682310469313999</c:v>
                </c:pt>
                <c:pt idx="8">
                  <c:v>6.4476534296028802</c:v>
                </c:pt>
                <c:pt idx="9">
                  <c:v>6.1010830324909699</c:v>
                </c:pt>
                <c:pt idx="10">
                  <c:v>5.8122743682310398</c:v>
                </c:pt>
                <c:pt idx="11">
                  <c:v>5.7039711191335698</c:v>
                </c:pt>
              </c:numCache>
            </c:numRef>
          </c:xVal>
          <c:yVal>
            <c:numRef>
              <c:f>NFMD_compared!$B$144:$B$155</c:f>
              <c:numCache>
                <c:formatCode>0.00</c:formatCode>
                <c:ptCount val="12"/>
                <c:pt idx="0">
                  <c:v>1327.3542600896801</c:v>
                </c:pt>
                <c:pt idx="1">
                  <c:v>1736.3228699551501</c:v>
                </c:pt>
                <c:pt idx="2">
                  <c:v>1890.58295964125</c:v>
                </c:pt>
                <c:pt idx="3">
                  <c:v>1782.9596412556</c:v>
                </c:pt>
                <c:pt idx="4">
                  <c:v>1897.75784753363</c:v>
                </c:pt>
                <c:pt idx="5">
                  <c:v>2324.66367713004</c:v>
                </c:pt>
                <c:pt idx="6">
                  <c:v>2396.41255605381</c:v>
                </c:pt>
                <c:pt idx="7">
                  <c:v>2278.0269058295899</c:v>
                </c:pt>
                <c:pt idx="8">
                  <c:v>1919.28251121076</c:v>
                </c:pt>
                <c:pt idx="9">
                  <c:v>2471.74887892376</c:v>
                </c:pt>
                <c:pt idx="10">
                  <c:v>1922.86995515695</c:v>
                </c:pt>
                <c:pt idx="11">
                  <c:v>1729.1479820627701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B-E579-42FE-9484-634EEA1CFEF5}"/>
            </c:ext>
          </c:extLst>
        </c:ser>
        <c:ser>
          <c:idx val="22"/>
          <c:order val="17"/>
          <c:tx>
            <c:strRef>
              <c:f>NFMD_compared!$AL$156</c:f>
              <c:strCache>
                <c:ptCount val="1"/>
                <c:pt idx="0">
                  <c:v>Chen (2025) -pH controlled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rgbClr val="7030A0"/>
                </a:solidFill>
                <a:prstDash val="solid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23787634721972"/>
                  <c:y val="-4.5929680405151253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1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baseline="0"/>
                      <a:t>Chen (2025) pH controlled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61.745x</a:t>
                    </a:r>
                    <a:r>
                      <a:rPr lang="en-US" baseline="30000"/>
                      <a:t>1.2911</a:t>
                    </a:r>
                    <a:br>
                      <a:rPr lang="en-US" baseline="0"/>
                    </a:br>
                    <a:r>
                      <a:rPr lang="en-US" baseline="0"/>
                      <a:t>R² = 0.6633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NFMD_compared!$A$156:$A$191</c:f>
              <c:numCache>
                <c:formatCode>0.00</c:formatCode>
                <c:ptCount val="36"/>
                <c:pt idx="0">
                  <c:v>7.9970414201183404</c:v>
                </c:pt>
                <c:pt idx="1">
                  <c:v>8.12130177514792</c:v>
                </c:pt>
                <c:pt idx="2">
                  <c:v>8.2633136094674509</c:v>
                </c:pt>
                <c:pt idx="3">
                  <c:v>8.2810650887573907</c:v>
                </c:pt>
                <c:pt idx="4">
                  <c:v>8.3165680473372703</c:v>
                </c:pt>
                <c:pt idx="5">
                  <c:v>8.4142011834319508</c:v>
                </c:pt>
                <c:pt idx="6">
                  <c:v>7.1715976331360896</c:v>
                </c:pt>
                <c:pt idx="7">
                  <c:v>7.7573964497041397</c:v>
                </c:pt>
                <c:pt idx="8">
                  <c:v>7.6863905325443698</c:v>
                </c:pt>
                <c:pt idx="9">
                  <c:v>7.3224852071005904</c:v>
                </c:pt>
                <c:pt idx="10">
                  <c:v>7.5266272189348999</c:v>
                </c:pt>
                <c:pt idx="11">
                  <c:v>7.3224852071005904</c:v>
                </c:pt>
                <c:pt idx="12">
                  <c:v>6.2218934911242503</c:v>
                </c:pt>
                <c:pt idx="13">
                  <c:v>6.5414201183431899</c:v>
                </c:pt>
                <c:pt idx="14">
                  <c:v>6.6923076923076898</c:v>
                </c:pt>
                <c:pt idx="15">
                  <c:v>8.2810650887573907</c:v>
                </c:pt>
                <c:pt idx="16">
                  <c:v>8.1923076923076898</c:v>
                </c:pt>
                <c:pt idx="17">
                  <c:v>8.2810650887573907</c:v>
                </c:pt>
                <c:pt idx="18">
                  <c:v>8.6538461538461497</c:v>
                </c:pt>
                <c:pt idx="19">
                  <c:v>8.6893491124260294</c:v>
                </c:pt>
                <c:pt idx="20">
                  <c:v>7.72189349112426</c:v>
                </c:pt>
                <c:pt idx="21">
                  <c:v>3.02694610778443</c:v>
                </c:pt>
                <c:pt idx="22">
                  <c:v>2.7664670658682602</c:v>
                </c:pt>
                <c:pt idx="23">
                  <c:v>2.9730538922155598</c:v>
                </c:pt>
                <c:pt idx="24">
                  <c:v>5.3532934131736498</c:v>
                </c:pt>
                <c:pt idx="25">
                  <c:v>5.3712574850299397</c:v>
                </c:pt>
                <c:pt idx="26">
                  <c:v>5.9461077844311303</c:v>
                </c:pt>
                <c:pt idx="27">
                  <c:v>8.5778443113772394</c:v>
                </c:pt>
                <c:pt idx="28">
                  <c:v>8.8832335329341294</c:v>
                </c:pt>
                <c:pt idx="29">
                  <c:v>8.7485029940119698</c:v>
                </c:pt>
                <c:pt idx="30">
                  <c:v>10.3922155688622</c:v>
                </c:pt>
                <c:pt idx="31">
                  <c:v>10.949101796407099</c:v>
                </c:pt>
                <c:pt idx="32">
                  <c:v>11.182634730538901</c:v>
                </c:pt>
                <c:pt idx="33">
                  <c:v>6.4792899408283997</c:v>
                </c:pt>
                <c:pt idx="34">
                  <c:v>6.7721893491124199</c:v>
                </c:pt>
                <c:pt idx="35">
                  <c:v>6.5502958579881598</c:v>
                </c:pt>
              </c:numCache>
            </c:numRef>
          </c:xVal>
          <c:yVal>
            <c:numRef>
              <c:f>NFMD_compared!$B$156:$B$191</c:f>
              <c:numCache>
                <c:formatCode>0.00</c:formatCode>
                <c:ptCount val="36"/>
                <c:pt idx="0">
                  <c:v>673.25367647058795</c:v>
                </c:pt>
                <c:pt idx="1">
                  <c:v>565.25735294117601</c:v>
                </c:pt>
                <c:pt idx="2">
                  <c:v>728.400735294117</c:v>
                </c:pt>
                <c:pt idx="3">
                  <c:v>755.97426470588198</c:v>
                </c:pt>
                <c:pt idx="4">
                  <c:v>797.33455882352905</c:v>
                </c:pt>
                <c:pt idx="5">
                  <c:v>836.39705882352905</c:v>
                </c:pt>
                <c:pt idx="6">
                  <c:v>767.463235294117</c:v>
                </c:pt>
                <c:pt idx="7">
                  <c:v>815.71691176470495</c:v>
                </c:pt>
                <c:pt idx="8">
                  <c:v>1123.6213235294099</c:v>
                </c:pt>
                <c:pt idx="9">
                  <c:v>1029.4117647058799</c:v>
                </c:pt>
                <c:pt idx="10">
                  <c:v>988.05147058823502</c:v>
                </c:pt>
                <c:pt idx="11">
                  <c:v>905.33088235294099</c:v>
                </c:pt>
                <c:pt idx="12">
                  <c:v>778.95220588235202</c:v>
                </c:pt>
                <c:pt idx="13">
                  <c:v>588.23529411764696</c:v>
                </c:pt>
                <c:pt idx="14">
                  <c:v>551.47058823529301</c:v>
                </c:pt>
                <c:pt idx="15">
                  <c:v>567.55514705882297</c:v>
                </c:pt>
                <c:pt idx="16">
                  <c:v>762.86764705882297</c:v>
                </c:pt>
                <c:pt idx="17">
                  <c:v>806.525735294117</c:v>
                </c:pt>
                <c:pt idx="18">
                  <c:v>1107.5367647058799</c:v>
                </c:pt>
                <c:pt idx="19">
                  <c:v>926.01102941176396</c:v>
                </c:pt>
                <c:pt idx="20">
                  <c:v>971.96691176470495</c:v>
                </c:pt>
                <c:pt idx="21">
                  <c:v>393.02325581395303</c:v>
                </c:pt>
                <c:pt idx="22">
                  <c:v>269.767441860465</c:v>
                </c:pt>
                <c:pt idx="23">
                  <c:v>213.95348837209301</c:v>
                </c:pt>
                <c:pt idx="24">
                  <c:v>604.65116279069798</c:v>
                </c:pt>
                <c:pt idx="25">
                  <c:v>497.67441860465101</c:v>
                </c:pt>
                <c:pt idx="26">
                  <c:v>590.69767441860404</c:v>
                </c:pt>
                <c:pt idx="27">
                  <c:v>925.58139534883696</c:v>
                </c:pt>
                <c:pt idx="28">
                  <c:v>1220.93023255813</c:v>
                </c:pt>
                <c:pt idx="29">
                  <c:v>1253.48837209302</c:v>
                </c:pt>
                <c:pt idx="30">
                  <c:v>2320.9302325581398</c:v>
                </c:pt>
                <c:pt idx="31">
                  <c:v>2127.9069767441802</c:v>
                </c:pt>
                <c:pt idx="32">
                  <c:v>2006.9767441860399</c:v>
                </c:pt>
                <c:pt idx="33">
                  <c:v>790.44117647058704</c:v>
                </c:pt>
                <c:pt idx="34">
                  <c:v>631.89338235294099</c:v>
                </c:pt>
                <c:pt idx="35">
                  <c:v>546.87499999999898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D-E579-42FE-9484-634EEA1CFEF5}"/>
            </c:ext>
          </c:extLst>
        </c:ser>
        <c:ser>
          <c:idx val="23"/>
          <c:order val="18"/>
          <c:tx>
            <c:strRef>
              <c:f>NFMD_compared!$AL$192</c:f>
              <c:strCache>
                <c:ptCount val="1"/>
                <c:pt idx="0">
                  <c:v>Jiang (2025) -Pure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80000"/>
                  </a:schemeClr>
                </a:solidFill>
                <a:prstDash val="solid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1.3011466601668062E-2"/>
                  <c:y val="-3.5763804465059446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1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baseline="0"/>
                      <a:t>Jiang (2025) Pure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193.14x</a:t>
                    </a:r>
                    <a:r>
                      <a:rPr lang="en-US" baseline="30000"/>
                      <a:t>1.2681</a:t>
                    </a:r>
                    <a:br>
                      <a:rPr lang="en-US" baseline="0"/>
                    </a:br>
                    <a:r>
                      <a:rPr lang="en-US" baseline="0"/>
                      <a:t>R² = 0.6323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NFMD_compared!$A$192:$A$206</c:f>
              <c:numCache>
                <c:formatCode>0.00</c:formatCode>
                <c:ptCount val="15"/>
                <c:pt idx="0">
                  <c:v>7.48</c:v>
                </c:pt>
                <c:pt idx="1">
                  <c:v>9.8699999999999992</c:v>
                </c:pt>
                <c:pt idx="2">
                  <c:v>12.06</c:v>
                </c:pt>
                <c:pt idx="3">
                  <c:v>7.57</c:v>
                </c:pt>
                <c:pt idx="4">
                  <c:v>9.94</c:v>
                </c:pt>
                <c:pt idx="5">
                  <c:v>11.59</c:v>
                </c:pt>
                <c:pt idx="6">
                  <c:v>7.53</c:v>
                </c:pt>
                <c:pt idx="7">
                  <c:v>9.83</c:v>
                </c:pt>
                <c:pt idx="8">
                  <c:v>11.07</c:v>
                </c:pt>
                <c:pt idx="9">
                  <c:v>7.56</c:v>
                </c:pt>
                <c:pt idx="10">
                  <c:v>9.83</c:v>
                </c:pt>
                <c:pt idx="11">
                  <c:v>11.03</c:v>
                </c:pt>
                <c:pt idx="12">
                  <c:v>7.57</c:v>
                </c:pt>
                <c:pt idx="13">
                  <c:v>10.050000000000001</c:v>
                </c:pt>
                <c:pt idx="14">
                  <c:v>11.06</c:v>
                </c:pt>
              </c:numCache>
            </c:numRef>
          </c:xVal>
          <c:yVal>
            <c:numRef>
              <c:f>NFMD_compared!$B$192:$B$206</c:f>
              <c:numCache>
                <c:formatCode>0.00</c:formatCode>
                <c:ptCount val="15"/>
                <c:pt idx="0">
                  <c:v>1930</c:v>
                </c:pt>
                <c:pt idx="1">
                  <c:v>2390</c:v>
                </c:pt>
                <c:pt idx="2">
                  <c:v>4130</c:v>
                </c:pt>
                <c:pt idx="3">
                  <c:v>2040</c:v>
                </c:pt>
                <c:pt idx="4">
                  <c:v>3020</c:v>
                </c:pt>
                <c:pt idx="5">
                  <c:v>4180</c:v>
                </c:pt>
                <c:pt idx="6">
                  <c:v>2790</c:v>
                </c:pt>
                <c:pt idx="7">
                  <c:v>4080</c:v>
                </c:pt>
                <c:pt idx="8">
                  <c:v>4240</c:v>
                </c:pt>
                <c:pt idx="9">
                  <c:v>2940</c:v>
                </c:pt>
                <c:pt idx="10">
                  <c:v>4160</c:v>
                </c:pt>
                <c:pt idx="11">
                  <c:v>4370</c:v>
                </c:pt>
                <c:pt idx="12">
                  <c:v>3060</c:v>
                </c:pt>
                <c:pt idx="13">
                  <c:v>4180</c:v>
                </c:pt>
                <c:pt idx="14">
                  <c:v>4440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F-E579-42FE-9484-634EEA1CFEF5}"/>
            </c:ext>
          </c:extLst>
        </c:ser>
        <c:ser>
          <c:idx val="24"/>
          <c:order val="19"/>
          <c:tx>
            <c:strRef>
              <c:f>NFMD_compared!$AL$207</c:f>
              <c:strCache>
                <c:ptCount val="1"/>
                <c:pt idx="0">
                  <c:v>Liu (2024) -Pure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F0"/>
                </a:solidFill>
                <a:prstDash val="solid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4.7355369273322664E-2"/>
                  <c:y val="-3.1632076275501193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1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baseline="0"/>
                      <a:t>Liu (2024) Pure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276.91x</a:t>
                    </a:r>
                    <a:r>
                      <a:rPr lang="en-US" baseline="30000"/>
                      <a:t>1.6156</a:t>
                    </a:r>
                    <a:br>
                      <a:rPr lang="en-US" baseline="0"/>
                    </a:br>
                    <a:r>
                      <a:rPr lang="en-US" baseline="0"/>
                      <a:t>R² = 0.9521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NFMD_compared!$A$207:$A$212</c:f>
              <c:numCache>
                <c:formatCode>0.00</c:formatCode>
                <c:ptCount val="6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</c:numCache>
            </c:numRef>
          </c:xVal>
          <c:yVal>
            <c:numRef>
              <c:f>NFMD_compared!$B$207:$B$212</c:f>
              <c:numCache>
                <c:formatCode>0.00</c:formatCode>
                <c:ptCount val="6"/>
                <c:pt idx="0">
                  <c:v>77.2</c:v>
                </c:pt>
                <c:pt idx="1">
                  <c:v>380.2</c:v>
                </c:pt>
                <c:pt idx="2">
                  <c:v>561.1</c:v>
                </c:pt>
                <c:pt idx="3">
                  <c:v>699.2</c:v>
                </c:pt>
                <c:pt idx="4">
                  <c:v>1071.7</c:v>
                </c:pt>
                <c:pt idx="5">
                  <c:v>1823.7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1-E579-42FE-9484-634EEA1CF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5526816"/>
        <c:axId val="1475529216"/>
        <c:extLst>
          <c:ext xmlns:c15="http://schemas.microsoft.com/office/drawing/2012/chart" uri="{02D57815-91ED-43cb-92C2-25804820EDAC}">
            <c15:filteredScatterSeries>
              <c15:ser>
                <c:idx val="6"/>
                <c:order val="1"/>
                <c:tx>
                  <c:strRef>
                    <c:extLst>
                      <c:ext uri="{02D57815-91ED-43cb-92C2-25804820EDAC}">
                        <c15:formulaRef>
                          <c15:sqref>NFMD_compared!$AL$8</c15:sqref>
                        </c15:formulaRef>
                      </c:ext>
                    </c:extLst>
                    <c:strCache>
                      <c:ptCount val="1"/>
                      <c:pt idx="0">
                        <c:v>Beser (2018) -Pure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NFMD_compared!$A$8:$A$12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>
                        <c:v>7.8082191780821901</c:v>
                      </c:pt>
                      <c:pt idx="1">
                        <c:v>11.0326659641728</c:v>
                      </c:pt>
                      <c:pt idx="2">
                        <c:v>13.6880927291886</c:v>
                      </c:pt>
                      <c:pt idx="3">
                        <c:v>10.686373467916299</c:v>
                      </c:pt>
                      <c:pt idx="4">
                        <c:v>11.370232747305501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NFMD_compared!$B$8:$B$12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>
                        <c:v>10545.4545454545</c:v>
                      </c:pt>
                      <c:pt idx="1">
                        <c:v>10969.696969696899</c:v>
                      </c:pt>
                      <c:pt idx="2">
                        <c:v>10545.4545454545</c:v>
                      </c:pt>
                      <c:pt idx="3">
                        <c:v>8392.2822053603504</c:v>
                      </c:pt>
                      <c:pt idx="4">
                        <c:v>7798.8218173226096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22-E579-42FE-9484-634EEA1CFEF5}"/>
                  </c:ext>
                </c:extLst>
              </c15:ser>
            </c15:filteredScatterSeries>
            <c15:filteredScatterSeries>
              <c15:ser>
                <c:idx val="11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NFMD_compared!$AL$92</c15:sqref>
                        </c15:formulaRef>
                      </c:ext>
                    </c:extLst>
                    <c:strCache>
                      <c:ptCount val="1"/>
                      <c:pt idx="0">
                        <c:v>Pasillas (2018) -Pure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NFMD_compared!$A$92:$A$95</c15:sqref>
                        </c15:formulaRef>
                      </c:ext>
                    </c:extLst>
                    <c:numCache>
                      <c:formatCode>0.00</c:formatCode>
                      <c:ptCount val="4"/>
                      <c:pt idx="0">
                        <c:v>0.7</c:v>
                      </c:pt>
                      <c:pt idx="1">
                        <c:v>0.7</c:v>
                      </c:pt>
                      <c:pt idx="2">
                        <c:v>1.4</c:v>
                      </c:pt>
                      <c:pt idx="3">
                        <c:v>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NFMD_compared!$B$92:$B$95</c15:sqref>
                        </c15:formulaRef>
                      </c:ext>
                    </c:extLst>
                    <c:numCache>
                      <c:formatCode>0.00</c:formatCode>
                      <c:ptCount val="4"/>
                      <c:pt idx="0">
                        <c:v>902</c:v>
                      </c:pt>
                      <c:pt idx="1">
                        <c:v>627</c:v>
                      </c:pt>
                      <c:pt idx="2">
                        <c:v>221</c:v>
                      </c:pt>
                      <c:pt idx="3">
                        <c:v>386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3-E579-42FE-9484-634EEA1CFEF5}"/>
                  </c:ext>
                </c:extLst>
              </c15:ser>
            </c15:filteredScatterSeries>
          </c:ext>
        </c:extLst>
      </c:scatterChart>
      <c:valAx>
        <c:axId val="1475526816"/>
        <c:scaling>
          <c:orientation val="minMax"/>
          <c:min val="1.0000000000000002E-2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Carbonate Content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cross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75529216"/>
        <c:crosses val="autoZero"/>
        <c:crossBetween val="midCat"/>
      </c:valAx>
      <c:valAx>
        <c:axId val="147552921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Unconfined Copressive Strength (kPa)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cross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75526816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6293295605882372"/>
          <c:y val="2.8484933302888121E-2"/>
          <c:w val="0.23706704394117625"/>
          <c:h val="0.907021568859711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6590106007067137"/>
          <c:y val="3.2729171922649632E-2"/>
          <c:w val="0.79581861012956423"/>
          <c:h val="0.82752940030894118"/>
        </c:manualLayout>
      </c:layout>
      <c:scatterChart>
        <c:scatterStyle val="smoothMarker"/>
        <c:varyColors val="0"/>
        <c:ser>
          <c:idx val="1"/>
          <c:order val="0"/>
          <c:spPr>
            <a:ln w="1905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Almajed_vs_Cui!$A$2:$A$10</c:f>
              <c:numCache>
                <c:formatCode>0.00</c:formatCode>
                <c:ptCount val="9"/>
                <c:pt idx="0">
                  <c:v>1.63</c:v>
                </c:pt>
                <c:pt idx="1">
                  <c:v>0.98</c:v>
                </c:pt>
                <c:pt idx="2">
                  <c:v>0.99</c:v>
                </c:pt>
                <c:pt idx="3">
                  <c:v>0.82</c:v>
                </c:pt>
                <c:pt idx="4">
                  <c:v>0.79</c:v>
                </c:pt>
                <c:pt idx="5">
                  <c:v>1.17</c:v>
                </c:pt>
                <c:pt idx="6">
                  <c:v>0.56999999999999995</c:v>
                </c:pt>
                <c:pt idx="7">
                  <c:v>0.71</c:v>
                </c:pt>
                <c:pt idx="8">
                  <c:v>0.49</c:v>
                </c:pt>
              </c:numCache>
            </c:numRef>
          </c:xVal>
          <c:yVal>
            <c:numRef>
              <c:f>Almajed_vs_Cui!$B$2:$B$10</c:f>
              <c:numCache>
                <c:formatCode>0.00</c:formatCode>
                <c:ptCount val="9"/>
                <c:pt idx="0">
                  <c:v>133</c:v>
                </c:pt>
                <c:pt idx="1">
                  <c:v>158</c:v>
                </c:pt>
                <c:pt idx="2">
                  <c:v>124</c:v>
                </c:pt>
                <c:pt idx="3">
                  <c:v>1817</c:v>
                </c:pt>
                <c:pt idx="4">
                  <c:v>1654</c:v>
                </c:pt>
                <c:pt idx="5">
                  <c:v>1763</c:v>
                </c:pt>
                <c:pt idx="6">
                  <c:v>1000</c:v>
                </c:pt>
                <c:pt idx="7">
                  <c:v>1396</c:v>
                </c:pt>
                <c:pt idx="8">
                  <c:v>941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v>Almajed (2019)</c:v>
                </c15:tx>
              </c15:filteredSeriesTitle>
            </c:ext>
            <c:ext xmlns:c16="http://schemas.microsoft.com/office/drawing/2014/chart" uri="{C3380CC4-5D6E-409C-BE32-E72D297353CC}">
              <c16:uniqueId val="{00000001-A550-468D-AFBC-F4F89A79CED5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Almajed_vs_Cui!$A$11:$A$53</c:f>
              <c:numCache>
                <c:formatCode>0.00</c:formatCode>
                <c:ptCount val="43"/>
                <c:pt idx="0">
                  <c:v>1.0201691607026599</c:v>
                </c:pt>
                <c:pt idx="1">
                  <c:v>1.5510735198438499</c:v>
                </c:pt>
                <c:pt idx="2">
                  <c:v>2.6441119063109899</c:v>
                </c:pt>
                <c:pt idx="3">
                  <c:v>3.38321405335068</c:v>
                </c:pt>
                <c:pt idx="4">
                  <c:v>4.5178919973975296</c:v>
                </c:pt>
                <c:pt idx="5">
                  <c:v>5.17371502927781</c:v>
                </c:pt>
                <c:pt idx="6">
                  <c:v>5.8295380611581002</c:v>
                </c:pt>
                <c:pt idx="7">
                  <c:v>6.91216655823031</c:v>
                </c:pt>
                <c:pt idx="8">
                  <c:v>6.6206896551724101</c:v>
                </c:pt>
                <c:pt idx="9">
                  <c:v>6.5270006506180804</c:v>
                </c:pt>
                <c:pt idx="10">
                  <c:v>6.46454131424853</c:v>
                </c:pt>
                <c:pt idx="11">
                  <c:v>7.2036434612882196</c:v>
                </c:pt>
                <c:pt idx="12">
                  <c:v>3.82042940793754</c:v>
                </c:pt>
                <c:pt idx="13">
                  <c:v>4.1431359791802196</c:v>
                </c:pt>
                <c:pt idx="14">
                  <c:v>4.90305790500976</c:v>
                </c:pt>
                <c:pt idx="15">
                  <c:v>7.5679895901106002</c:v>
                </c:pt>
                <c:pt idx="16">
                  <c:v>7.5783994795055296</c:v>
                </c:pt>
                <c:pt idx="17">
                  <c:v>9.8789850357839892</c:v>
                </c:pt>
                <c:pt idx="18">
                  <c:v>10.1808718282368</c:v>
                </c:pt>
                <c:pt idx="19">
                  <c:v>9.9726740403383207</c:v>
                </c:pt>
                <c:pt idx="20">
                  <c:v>11.9713728041639</c:v>
                </c:pt>
                <c:pt idx="21">
                  <c:v>11.638256343526299</c:v>
                </c:pt>
                <c:pt idx="22">
                  <c:v>13.220559531554899</c:v>
                </c:pt>
                <c:pt idx="23">
                  <c:v>12.6271958360442</c:v>
                </c:pt>
                <c:pt idx="24">
                  <c:v>12.9394925178919</c:v>
                </c:pt>
                <c:pt idx="25">
                  <c:v>13.459986987638199</c:v>
                </c:pt>
                <c:pt idx="26">
                  <c:v>8.0676642810670103</c:v>
                </c:pt>
                <c:pt idx="27">
                  <c:v>7.78659726740403</c:v>
                </c:pt>
                <c:pt idx="28">
                  <c:v>7.8074170461938799</c:v>
                </c:pt>
                <c:pt idx="29">
                  <c:v>10.1912817176317</c:v>
                </c:pt>
                <c:pt idx="30">
                  <c:v>9.9518542615484709</c:v>
                </c:pt>
                <c:pt idx="31">
                  <c:v>9.9934938191281706</c:v>
                </c:pt>
                <c:pt idx="32">
                  <c:v>12.2524398178269</c:v>
                </c:pt>
                <c:pt idx="33">
                  <c:v>12.0130123617436</c:v>
                </c:pt>
                <c:pt idx="34">
                  <c:v>12.2940793754066</c:v>
                </c:pt>
                <c:pt idx="35">
                  <c:v>7.8698763825634304</c:v>
                </c:pt>
                <c:pt idx="36">
                  <c:v>7.7033181522446297</c:v>
                </c:pt>
                <c:pt idx="37">
                  <c:v>8.16135328562134</c:v>
                </c:pt>
                <c:pt idx="38">
                  <c:v>9.7124268054651903</c:v>
                </c:pt>
                <c:pt idx="39">
                  <c:v>10.1080026024723</c:v>
                </c:pt>
                <c:pt idx="40">
                  <c:v>11.929733246584201</c:v>
                </c:pt>
                <c:pt idx="41">
                  <c:v>12.2836694860117</c:v>
                </c:pt>
                <c:pt idx="42">
                  <c:v>11.81522446324</c:v>
                </c:pt>
              </c:numCache>
            </c:numRef>
          </c:xVal>
          <c:yVal>
            <c:numRef>
              <c:f>Almajed_vs_Cui!$B$11:$B$53</c:f>
              <c:numCache>
                <c:formatCode>0.00</c:formatCode>
                <c:ptCount val="43"/>
                <c:pt idx="0">
                  <c:v>4.8426150121067604</c:v>
                </c:pt>
                <c:pt idx="1">
                  <c:v>5.6497175141243998</c:v>
                </c:pt>
                <c:pt idx="2">
                  <c:v>16.9491525423729</c:v>
                </c:pt>
                <c:pt idx="3">
                  <c:v>21.791767554479499</c:v>
                </c:pt>
                <c:pt idx="4">
                  <c:v>27.4414850686039</c:v>
                </c:pt>
                <c:pt idx="5">
                  <c:v>38.7409200968522</c:v>
                </c:pt>
                <c:pt idx="6">
                  <c:v>58.111380145278503</c:v>
                </c:pt>
                <c:pt idx="7">
                  <c:v>30.669895076674901</c:v>
                </c:pt>
                <c:pt idx="8">
                  <c:v>45.197740112994502</c:v>
                </c:pt>
                <c:pt idx="9">
                  <c:v>58.111380145278503</c:v>
                </c:pt>
                <c:pt idx="10">
                  <c:v>92.009685230024104</c:v>
                </c:pt>
                <c:pt idx="11">
                  <c:v>77.481840193704599</c:v>
                </c:pt>
                <c:pt idx="12">
                  <c:v>118.64406779661</c:v>
                </c:pt>
                <c:pt idx="13">
                  <c:v>127.522195318805</c:v>
                </c:pt>
                <c:pt idx="14">
                  <c:v>121.872477804681</c:v>
                </c:pt>
                <c:pt idx="15">
                  <c:v>238.902340597256</c:v>
                </c:pt>
                <c:pt idx="16">
                  <c:v>207.42534301856301</c:v>
                </c:pt>
                <c:pt idx="17">
                  <c:v>305.08474576271101</c:v>
                </c:pt>
                <c:pt idx="18">
                  <c:v>322.84100080710198</c:v>
                </c:pt>
                <c:pt idx="19">
                  <c:v>393.05891848264702</c:v>
                </c:pt>
                <c:pt idx="20">
                  <c:v>516.54560129136405</c:v>
                </c:pt>
                <c:pt idx="21">
                  <c:v>480.22598870056498</c:v>
                </c:pt>
                <c:pt idx="22">
                  <c:v>519.77401129943496</c:v>
                </c:pt>
                <c:pt idx="23">
                  <c:v>429.37853107344603</c:v>
                </c:pt>
                <c:pt idx="24">
                  <c:v>727.19935431799797</c:v>
                </c:pt>
                <c:pt idx="25">
                  <c:v>870.05649717514098</c:v>
                </c:pt>
                <c:pt idx="26">
                  <c:v>154.963680387409</c:v>
                </c:pt>
                <c:pt idx="27">
                  <c:v>191.28329297820801</c:v>
                </c:pt>
                <c:pt idx="28">
                  <c:v>247.780468119451</c:v>
                </c:pt>
                <c:pt idx="29">
                  <c:v>333.33333333333297</c:v>
                </c:pt>
                <c:pt idx="30">
                  <c:v>364.81033091202499</c:v>
                </c:pt>
                <c:pt idx="31">
                  <c:v>478.61178369652902</c:v>
                </c:pt>
                <c:pt idx="32">
                  <c:v>660.20984665052401</c:v>
                </c:pt>
                <c:pt idx="33">
                  <c:v>721.54963680387402</c:v>
                </c:pt>
                <c:pt idx="34">
                  <c:v>854.72154963680396</c:v>
                </c:pt>
                <c:pt idx="35">
                  <c:v>129.13640032284101</c:v>
                </c:pt>
                <c:pt idx="36">
                  <c:v>150.92816787731999</c:v>
                </c:pt>
                <c:pt idx="37">
                  <c:v>213.882163034705</c:v>
                </c:pt>
                <c:pt idx="38">
                  <c:v>309.927360774818</c:v>
                </c:pt>
                <c:pt idx="39">
                  <c:v>318.80548829701303</c:v>
                </c:pt>
                <c:pt idx="40">
                  <c:v>482.64729620661802</c:v>
                </c:pt>
                <c:pt idx="41">
                  <c:v>728.00645682001596</c:v>
                </c:pt>
                <c:pt idx="42">
                  <c:v>900.72639225181604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v>Cui (2024)</c:v>
                </c15:tx>
              </c15:filteredSeriesTitle>
            </c:ext>
            <c:ext xmlns:c16="http://schemas.microsoft.com/office/drawing/2014/chart" uri="{C3380CC4-5D6E-409C-BE32-E72D297353CC}">
              <c16:uniqueId val="{00000003-A550-468D-AFBC-F4F89A79CE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5526816"/>
        <c:axId val="1475529216"/>
      </c:scatterChart>
      <c:valAx>
        <c:axId val="1475526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Carboante Content</a:t>
                </a:r>
                <a:r>
                  <a:rPr lang="en-US" baseline="0"/>
                  <a:t>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75529216"/>
        <c:crosses val="autoZero"/>
        <c:crossBetween val="midCat"/>
      </c:valAx>
      <c:valAx>
        <c:axId val="147552921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Unconfined Compressive</a:t>
                </a:r>
                <a:r>
                  <a:rPr lang="en-US" baseline="0"/>
                  <a:t> Strength (kPa)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75526816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5624183221867136"/>
          <c:y val="0.73950671826533043"/>
          <c:w val="0.16900512305208712"/>
          <c:h val="9.0705902529229304E-2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6590106007067137"/>
          <c:y val="3.2729171922649632E-2"/>
          <c:w val="0.79581861012956423"/>
          <c:h val="0.82752940030894118"/>
        </c:manualLayout>
      </c:layout>
      <c:scatterChart>
        <c:scatterStyle val="smoothMarker"/>
        <c:varyColors val="0"/>
        <c:ser>
          <c:idx val="1"/>
          <c:order val="0"/>
          <c:tx>
            <c:v>Almajed (2019)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Almajed_vs_Cui!$A$2:$A$10</c:f>
              <c:numCache>
                <c:formatCode>0.00</c:formatCode>
                <c:ptCount val="9"/>
                <c:pt idx="0">
                  <c:v>1.63</c:v>
                </c:pt>
                <c:pt idx="1">
                  <c:v>0.98</c:v>
                </c:pt>
                <c:pt idx="2">
                  <c:v>0.99</c:v>
                </c:pt>
                <c:pt idx="3">
                  <c:v>0.82</c:v>
                </c:pt>
                <c:pt idx="4">
                  <c:v>0.79</c:v>
                </c:pt>
                <c:pt idx="5">
                  <c:v>1.17</c:v>
                </c:pt>
                <c:pt idx="6">
                  <c:v>0.56999999999999995</c:v>
                </c:pt>
                <c:pt idx="7">
                  <c:v>0.71</c:v>
                </c:pt>
                <c:pt idx="8">
                  <c:v>0.49</c:v>
                </c:pt>
              </c:numCache>
            </c:numRef>
          </c:xVal>
          <c:yVal>
            <c:numRef>
              <c:f>Almajed_vs_Cui!$B$2:$B$10</c:f>
              <c:numCache>
                <c:formatCode>0.00</c:formatCode>
                <c:ptCount val="9"/>
                <c:pt idx="0">
                  <c:v>133</c:v>
                </c:pt>
                <c:pt idx="1">
                  <c:v>158</c:v>
                </c:pt>
                <c:pt idx="2">
                  <c:v>124</c:v>
                </c:pt>
                <c:pt idx="3">
                  <c:v>1817</c:v>
                </c:pt>
                <c:pt idx="4">
                  <c:v>1654</c:v>
                </c:pt>
                <c:pt idx="5">
                  <c:v>1763</c:v>
                </c:pt>
                <c:pt idx="6">
                  <c:v>1000</c:v>
                </c:pt>
                <c:pt idx="7">
                  <c:v>1396</c:v>
                </c:pt>
                <c:pt idx="8">
                  <c:v>941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E8-4D55-81B4-E8EA75B1052B}"/>
            </c:ext>
          </c:extLst>
        </c:ser>
        <c:ser>
          <c:idx val="0"/>
          <c:order val="1"/>
          <c:tx>
            <c:v>Cui (2024)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Almajed_vs_Cui!$A$11:$A$53</c:f>
              <c:numCache>
                <c:formatCode>0.00</c:formatCode>
                <c:ptCount val="43"/>
                <c:pt idx="0">
                  <c:v>1.0201691607026599</c:v>
                </c:pt>
                <c:pt idx="1">
                  <c:v>1.5510735198438499</c:v>
                </c:pt>
                <c:pt idx="2">
                  <c:v>2.6441119063109899</c:v>
                </c:pt>
                <c:pt idx="3">
                  <c:v>3.38321405335068</c:v>
                </c:pt>
                <c:pt idx="4">
                  <c:v>4.5178919973975296</c:v>
                </c:pt>
                <c:pt idx="5">
                  <c:v>5.17371502927781</c:v>
                </c:pt>
                <c:pt idx="6">
                  <c:v>5.8295380611581002</c:v>
                </c:pt>
                <c:pt idx="7">
                  <c:v>6.91216655823031</c:v>
                </c:pt>
                <c:pt idx="8">
                  <c:v>6.6206896551724101</c:v>
                </c:pt>
                <c:pt idx="9">
                  <c:v>6.5270006506180804</c:v>
                </c:pt>
                <c:pt idx="10">
                  <c:v>6.46454131424853</c:v>
                </c:pt>
                <c:pt idx="11">
                  <c:v>7.2036434612882196</c:v>
                </c:pt>
                <c:pt idx="12">
                  <c:v>3.82042940793754</c:v>
                </c:pt>
                <c:pt idx="13">
                  <c:v>4.1431359791802196</c:v>
                </c:pt>
                <c:pt idx="14">
                  <c:v>4.90305790500976</c:v>
                </c:pt>
                <c:pt idx="15">
                  <c:v>7.5679895901106002</c:v>
                </c:pt>
                <c:pt idx="16">
                  <c:v>7.5783994795055296</c:v>
                </c:pt>
                <c:pt idx="17">
                  <c:v>9.8789850357839892</c:v>
                </c:pt>
                <c:pt idx="18">
                  <c:v>10.1808718282368</c:v>
                </c:pt>
                <c:pt idx="19">
                  <c:v>9.9726740403383207</c:v>
                </c:pt>
                <c:pt idx="20">
                  <c:v>11.9713728041639</c:v>
                </c:pt>
                <c:pt idx="21">
                  <c:v>11.638256343526299</c:v>
                </c:pt>
                <c:pt idx="22">
                  <c:v>13.220559531554899</c:v>
                </c:pt>
                <c:pt idx="23">
                  <c:v>12.6271958360442</c:v>
                </c:pt>
                <c:pt idx="24">
                  <c:v>12.9394925178919</c:v>
                </c:pt>
                <c:pt idx="25">
                  <c:v>13.459986987638199</c:v>
                </c:pt>
                <c:pt idx="26">
                  <c:v>8.0676642810670103</c:v>
                </c:pt>
                <c:pt idx="27">
                  <c:v>7.78659726740403</c:v>
                </c:pt>
                <c:pt idx="28">
                  <c:v>7.8074170461938799</c:v>
                </c:pt>
                <c:pt idx="29">
                  <c:v>10.1912817176317</c:v>
                </c:pt>
                <c:pt idx="30">
                  <c:v>9.9518542615484709</c:v>
                </c:pt>
                <c:pt idx="31">
                  <c:v>9.9934938191281706</c:v>
                </c:pt>
                <c:pt idx="32">
                  <c:v>12.2524398178269</c:v>
                </c:pt>
                <c:pt idx="33">
                  <c:v>12.0130123617436</c:v>
                </c:pt>
                <c:pt idx="34">
                  <c:v>12.2940793754066</c:v>
                </c:pt>
                <c:pt idx="35">
                  <c:v>7.8698763825634304</c:v>
                </c:pt>
                <c:pt idx="36">
                  <c:v>7.7033181522446297</c:v>
                </c:pt>
                <c:pt idx="37">
                  <c:v>8.16135328562134</c:v>
                </c:pt>
                <c:pt idx="38">
                  <c:v>9.7124268054651903</c:v>
                </c:pt>
                <c:pt idx="39">
                  <c:v>10.1080026024723</c:v>
                </c:pt>
                <c:pt idx="40">
                  <c:v>11.929733246584201</c:v>
                </c:pt>
                <c:pt idx="41">
                  <c:v>12.2836694860117</c:v>
                </c:pt>
                <c:pt idx="42">
                  <c:v>11.81522446324</c:v>
                </c:pt>
              </c:numCache>
            </c:numRef>
          </c:xVal>
          <c:yVal>
            <c:numRef>
              <c:f>Almajed_vs_Cui!$B$11:$B$53</c:f>
              <c:numCache>
                <c:formatCode>0.00</c:formatCode>
                <c:ptCount val="43"/>
                <c:pt idx="0">
                  <c:v>4.8426150121067604</c:v>
                </c:pt>
                <c:pt idx="1">
                  <c:v>5.6497175141243998</c:v>
                </c:pt>
                <c:pt idx="2">
                  <c:v>16.9491525423729</c:v>
                </c:pt>
                <c:pt idx="3">
                  <c:v>21.791767554479499</c:v>
                </c:pt>
                <c:pt idx="4">
                  <c:v>27.4414850686039</c:v>
                </c:pt>
                <c:pt idx="5">
                  <c:v>38.7409200968522</c:v>
                </c:pt>
                <c:pt idx="6">
                  <c:v>58.111380145278503</c:v>
                </c:pt>
                <c:pt idx="7">
                  <c:v>30.669895076674901</c:v>
                </c:pt>
                <c:pt idx="8">
                  <c:v>45.197740112994502</c:v>
                </c:pt>
                <c:pt idx="9">
                  <c:v>58.111380145278503</c:v>
                </c:pt>
                <c:pt idx="10">
                  <c:v>92.009685230024104</c:v>
                </c:pt>
                <c:pt idx="11">
                  <c:v>77.481840193704599</c:v>
                </c:pt>
                <c:pt idx="12">
                  <c:v>118.64406779661</c:v>
                </c:pt>
                <c:pt idx="13">
                  <c:v>127.522195318805</c:v>
                </c:pt>
                <c:pt idx="14">
                  <c:v>121.872477804681</c:v>
                </c:pt>
                <c:pt idx="15">
                  <c:v>238.902340597256</c:v>
                </c:pt>
                <c:pt idx="16">
                  <c:v>207.42534301856301</c:v>
                </c:pt>
                <c:pt idx="17">
                  <c:v>305.08474576271101</c:v>
                </c:pt>
                <c:pt idx="18">
                  <c:v>322.84100080710198</c:v>
                </c:pt>
                <c:pt idx="19">
                  <c:v>393.05891848264702</c:v>
                </c:pt>
                <c:pt idx="20">
                  <c:v>516.54560129136405</c:v>
                </c:pt>
                <c:pt idx="21">
                  <c:v>480.22598870056498</c:v>
                </c:pt>
                <c:pt idx="22">
                  <c:v>519.77401129943496</c:v>
                </c:pt>
                <c:pt idx="23">
                  <c:v>429.37853107344603</c:v>
                </c:pt>
                <c:pt idx="24">
                  <c:v>727.19935431799797</c:v>
                </c:pt>
                <c:pt idx="25">
                  <c:v>870.05649717514098</c:v>
                </c:pt>
                <c:pt idx="26">
                  <c:v>154.963680387409</c:v>
                </c:pt>
                <c:pt idx="27">
                  <c:v>191.28329297820801</c:v>
                </c:pt>
                <c:pt idx="28">
                  <c:v>247.780468119451</c:v>
                </c:pt>
                <c:pt idx="29">
                  <c:v>333.33333333333297</c:v>
                </c:pt>
                <c:pt idx="30">
                  <c:v>364.81033091202499</c:v>
                </c:pt>
                <c:pt idx="31">
                  <c:v>478.61178369652902</c:v>
                </c:pt>
                <c:pt idx="32">
                  <c:v>660.20984665052401</c:v>
                </c:pt>
                <c:pt idx="33">
                  <c:v>721.54963680387402</c:v>
                </c:pt>
                <c:pt idx="34">
                  <c:v>854.72154963680396</c:v>
                </c:pt>
                <c:pt idx="35">
                  <c:v>129.13640032284101</c:v>
                </c:pt>
                <c:pt idx="36">
                  <c:v>150.92816787731999</c:v>
                </c:pt>
                <c:pt idx="37">
                  <c:v>213.882163034705</c:v>
                </c:pt>
                <c:pt idx="38">
                  <c:v>309.927360774818</c:v>
                </c:pt>
                <c:pt idx="39">
                  <c:v>318.80548829701303</c:v>
                </c:pt>
                <c:pt idx="40">
                  <c:v>482.64729620661802</c:v>
                </c:pt>
                <c:pt idx="41">
                  <c:v>728.00645682001596</c:v>
                </c:pt>
                <c:pt idx="42">
                  <c:v>900.72639225181604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7E8-4D55-81B4-E8EA75B105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5526816"/>
        <c:axId val="1475529216"/>
      </c:scatterChart>
      <c:valAx>
        <c:axId val="1475526816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Carboante Content</a:t>
                </a:r>
                <a:r>
                  <a:rPr lang="en-US" baseline="0"/>
                  <a:t>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cross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75529216"/>
        <c:crosses val="autoZero"/>
        <c:crossBetween val="midCat"/>
      </c:valAx>
      <c:valAx>
        <c:axId val="147552921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Unconfined Compressive</a:t>
                </a:r>
                <a:r>
                  <a:rPr lang="en-US" baseline="0"/>
                  <a:t> Strength (kPa)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cross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75526816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5624183221867136"/>
          <c:y val="0.73950671826533043"/>
          <c:w val="0.16900512305208712"/>
          <c:h val="9.0705902529229304E-2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5632124352331606"/>
          <c:y val="3.2133110844588135E-2"/>
          <c:w val="0.81"/>
          <c:h val="0.83067042116424183"/>
        </c:manualLayout>
      </c:layout>
      <c:scatterChart>
        <c:scatterStyle val="smoothMarker"/>
        <c:varyColors val="0"/>
        <c:ser>
          <c:idx val="0"/>
          <c:order val="2"/>
          <c:tx>
            <c:v>Van Paassen (2010)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chemeClr val="accent1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6.1901323215427087E-2"/>
                  <c:y val="-0.10696711338235039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1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baseline="0"/>
                      <a:t>Van Paassen (2010)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1.3562x</a:t>
                    </a:r>
                    <a:r>
                      <a:rPr lang="en-US" baseline="30000"/>
                      <a:t>2.5877</a:t>
                    </a:r>
                    <a:br>
                      <a:rPr lang="en-US" baseline="0"/>
                    </a:br>
                    <a:r>
                      <a:rPr lang="en-US" baseline="0"/>
                      <a:t>R² = 0.5776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'van Passen vs Cui'!$A$2:$A$40</c:f>
              <c:numCache>
                <c:formatCode>0.00</c:formatCode>
                <c:ptCount val="39"/>
                <c:pt idx="0">
                  <c:v>12.6</c:v>
                </c:pt>
                <c:pt idx="1">
                  <c:v>13.2</c:v>
                </c:pt>
                <c:pt idx="2">
                  <c:v>13.8</c:v>
                </c:pt>
                <c:pt idx="3">
                  <c:v>14</c:v>
                </c:pt>
                <c:pt idx="4">
                  <c:v>14.6</c:v>
                </c:pt>
                <c:pt idx="5">
                  <c:v>14</c:v>
                </c:pt>
                <c:pt idx="6">
                  <c:v>14.5</c:v>
                </c:pt>
                <c:pt idx="7">
                  <c:v>14.5</c:v>
                </c:pt>
                <c:pt idx="8">
                  <c:v>14.5</c:v>
                </c:pt>
                <c:pt idx="9">
                  <c:v>14.8</c:v>
                </c:pt>
                <c:pt idx="10">
                  <c:v>15.5</c:v>
                </c:pt>
                <c:pt idx="11">
                  <c:v>15.8</c:v>
                </c:pt>
                <c:pt idx="12">
                  <c:v>16.3</c:v>
                </c:pt>
                <c:pt idx="13">
                  <c:v>16.8</c:v>
                </c:pt>
                <c:pt idx="14">
                  <c:v>16.8</c:v>
                </c:pt>
                <c:pt idx="15">
                  <c:v>17.5</c:v>
                </c:pt>
                <c:pt idx="16">
                  <c:v>17.5</c:v>
                </c:pt>
                <c:pt idx="17">
                  <c:v>18.600000000000001</c:v>
                </c:pt>
                <c:pt idx="18">
                  <c:v>19.100000000000001</c:v>
                </c:pt>
                <c:pt idx="19">
                  <c:v>20.3</c:v>
                </c:pt>
                <c:pt idx="20">
                  <c:v>20.3</c:v>
                </c:pt>
                <c:pt idx="21">
                  <c:v>20</c:v>
                </c:pt>
                <c:pt idx="22">
                  <c:v>20.3</c:v>
                </c:pt>
                <c:pt idx="23">
                  <c:v>20.5</c:v>
                </c:pt>
                <c:pt idx="24">
                  <c:v>21.4</c:v>
                </c:pt>
                <c:pt idx="25">
                  <c:v>22.5</c:v>
                </c:pt>
                <c:pt idx="26">
                  <c:v>23.4</c:v>
                </c:pt>
                <c:pt idx="27">
                  <c:v>22.6</c:v>
                </c:pt>
                <c:pt idx="28">
                  <c:v>23.2</c:v>
                </c:pt>
                <c:pt idx="29">
                  <c:v>23.1</c:v>
                </c:pt>
                <c:pt idx="30">
                  <c:v>23.2</c:v>
                </c:pt>
                <c:pt idx="31">
                  <c:v>23.8</c:v>
                </c:pt>
                <c:pt idx="32">
                  <c:v>24.7</c:v>
                </c:pt>
                <c:pt idx="33">
                  <c:v>24.8</c:v>
                </c:pt>
                <c:pt idx="34">
                  <c:v>26.2</c:v>
                </c:pt>
                <c:pt idx="35">
                  <c:v>25.6</c:v>
                </c:pt>
                <c:pt idx="36">
                  <c:v>25.2</c:v>
                </c:pt>
                <c:pt idx="37">
                  <c:v>24.8</c:v>
                </c:pt>
                <c:pt idx="38">
                  <c:v>27.3</c:v>
                </c:pt>
              </c:numCache>
              <c:extLst xmlns:c15="http://schemas.microsoft.com/office/drawing/2012/chart"/>
            </c:numRef>
          </c:xVal>
          <c:yVal>
            <c:numRef>
              <c:f>'van Passen vs Cui'!$B$2:$B$40</c:f>
              <c:numCache>
                <c:formatCode>0.00</c:formatCode>
                <c:ptCount val="39"/>
                <c:pt idx="0">
                  <c:v>700</c:v>
                </c:pt>
                <c:pt idx="1">
                  <c:v>900</c:v>
                </c:pt>
                <c:pt idx="2">
                  <c:v>2100</c:v>
                </c:pt>
                <c:pt idx="3">
                  <c:v>1200</c:v>
                </c:pt>
                <c:pt idx="4">
                  <c:v>1500</c:v>
                </c:pt>
                <c:pt idx="5">
                  <c:v>1700</c:v>
                </c:pt>
                <c:pt idx="6">
                  <c:v>1000</c:v>
                </c:pt>
                <c:pt idx="7">
                  <c:v>1300</c:v>
                </c:pt>
                <c:pt idx="8">
                  <c:v>2200</c:v>
                </c:pt>
                <c:pt idx="9">
                  <c:v>2300</c:v>
                </c:pt>
                <c:pt idx="10">
                  <c:v>900</c:v>
                </c:pt>
                <c:pt idx="11">
                  <c:v>1300</c:v>
                </c:pt>
                <c:pt idx="12">
                  <c:v>2300</c:v>
                </c:pt>
                <c:pt idx="13">
                  <c:v>1600</c:v>
                </c:pt>
                <c:pt idx="14">
                  <c:v>1900</c:v>
                </c:pt>
                <c:pt idx="15">
                  <c:v>1700</c:v>
                </c:pt>
                <c:pt idx="16">
                  <c:v>4200</c:v>
                </c:pt>
                <c:pt idx="17">
                  <c:v>1700</c:v>
                </c:pt>
                <c:pt idx="18">
                  <c:v>2300</c:v>
                </c:pt>
                <c:pt idx="19">
                  <c:v>2000</c:v>
                </c:pt>
                <c:pt idx="20">
                  <c:v>2700</c:v>
                </c:pt>
                <c:pt idx="21">
                  <c:v>3800</c:v>
                </c:pt>
                <c:pt idx="22">
                  <c:v>4000</c:v>
                </c:pt>
                <c:pt idx="23">
                  <c:v>2900</c:v>
                </c:pt>
                <c:pt idx="24">
                  <c:v>3800</c:v>
                </c:pt>
                <c:pt idx="25">
                  <c:v>4200</c:v>
                </c:pt>
                <c:pt idx="26">
                  <c:v>2500</c:v>
                </c:pt>
                <c:pt idx="27">
                  <c:v>7600</c:v>
                </c:pt>
                <c:pt idx="28">
                  <c:v>6000</c:v>
                </c:pt>
                <c:pt idx="29">
                  <c:v>4000</c:v>
                </c:pt>
                <c:pt idx="30">
                  <c:v>6200</c:v>
                </c:pt>
                <c:pt idx="31">
                  <c:v>8000</c:v>
                </c:pt>
                <c:pt idx="32">
                  <c:v>2700</c:v>
                </c:pt>
                <c:pt idx="33">
                  <c:v>4700</c:v>
                </c:pt>
                <c:pt idx="34">
                  <c:v>4900</c:v>
                </c:pt>
                <c:pt idx="35">
                  <c:v>8600</c:v>
                </c:pt>
                <c:pt idx="36">
                  <c:v>5900</c:v>
                </c:pt>
                <c:pt idx="37">
                  <c:v>12400</c:v>
                </c:pt>
                <c:pt idx="38">
                  <c:v>5800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B-10F0-409F-974A-AC4D48FC02AB}"/>
            </c:ext>
          </c:extLst>
        </c:ser>
        <c:ser>
          <c:idx val="1"/>
          <c:order val="3"/>
          <c:tx>
            <c:v>Cui (2024)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70AD47">
                  <a:lumMod val="75000"/>
                </a:srgbClr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1545183795030803"/>
                  <c:y val="0.33180415775842587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1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baseline="0"/>
                      <a:t>Cui (2024)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2.1918x</a:t>
                    </a:r>
                    <a:r>
                      <a:rPr lang="en-US" baseline="30000"/>
                      <a:t>2.1656</a:t>
                    </a:r>
                    <a:br>
                      <a:rPr lang="en-US" baseline="0"/>
                    </a:br>
                    <a:r>
                      <a:rPr lang="en-US" baseline="0"/>
                      <a:t>R² = 0.8464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'van Passen vs Cui'!$A$41:$A$83</c:f>
              <c:numCache>
                <c:formatCode>0.00</c:formatCode>
                <c:ptCount val="43"/>
                <c:pt idx="0">
                  <c:v>1.0201691607026599</c:v>
                </c:pt>
                <c:pt idx="1">
                  <c:v>1.5510735198438499</c:v>
                </c:pt>
                <c:pt idx="2">
                  <c:v>2.6441119063109899</c:v>
                </c:pt>
                <c:pt idx="3">
                  <c:v>3.38321405335068</c:v>
                </c:pt>
                <c:pt idx="4">
                  <c:v>4.5178919973975296</c:v>
                </c:pt>
                <c:pt idx="5">
                  <c:v>5.17371502927781</c:v>
                </c:pt>
                <c:pt idx="6">
                  <c:v>5.8295380611581002</c:v>
                </c:pt>
                <c:pt idx="7">
                  <c:v>6.91216655823031</c:v>
                </c:pt>
                <c:pt idx="8">
                  <c:v>6.6206896551724101</c:v>
                </c:pt>
                <c:pt idx="9">
                  <c:v>6.5270006506180804</c:v>
                </c:pt>
                <c:pt idx="10">
                  <c:v>6.46454131424853</c:v>
                </c:pt>
                <c:pt idx="11">
                  <c:v>7.2036434612882196</c:v>
                </c:pt>
                <c:pt idx="12">
                  <c:v>3.82042940793754</c:v>
                </c:pt>
                <c:pt idx="13">
                  <c:v>4.1431359791802196</c:v>
                </c:pt>
                <c:pt idx="14">
                  <c:v>4.90305790500976</c:v>
                </c:pt>
                <c:pt idx="15">
                  <c:v>7.5679895901106002</c:v>
                </c:pt>
                <c:pt idx="16">
                  <c:v>7.5783994795055296</c:v>
                </c:pt>
                <c:pt idx="17">
                  <c:v>9.8789850357839892</c:v>
                </c:pt>
                <c:pt idx="18">
                  <c:v>10.1808718282368</c:v>
                </c:pt>
                <c:pt idx="19">
                  <c:v>9.9726740403383207</c:v>
                </c:pt>
                <c:pt idx="20">
                  <c:v>11.9713728041639</c:v>
                </c:pt>
                <c:pt idx="21">
                  <c:v>11.638256343526299</c:v>
                </c:pt>
                <c:pt idx="22">
                  <c:v>13.220559531554899</c:v>
                </c:pt>
                <c:pt idx="23">
                  <c:v>12.6271958360442</c:v>
                </c:pt>
                <c:pt idx="24">
                  <c:v>12.9394925178919</c:v>
                </c:pt>
                <c:pt idx="25">
                  <c:v>13.459986987638199</c:v>
                </c:pt>
                <c:pt idx="26">
                  <c:v>8.0676642810670103</c:v>
                </c:pt>
                <c:pt idx="27">
                  <c:v>7.78659726740403</c:v>
                </c:pt>
                <c:pt idx="28">
                  <c:v>7.8074170461938799</c:v>
                </c:pt>
                <c:pt idx="29">
                  <c:v>10.1912817176317</c:v>
                </c:pt>
                <c:pt idx="30">
                  <c:v>9.9518542615484709</c:v>
                </c:pt>
                <c:pt idx="31">
                  <c:v>9.9934938191281706</c:v>
                </c:pt>
                <c:pt idx="32">
                  <c:v>12.2524398178269</c:v>
                </c:pt>
                <c:pt idx="33">
                  <c:v>12.0130123617436</c:v>
                </c:pt>
                <c:pt idx="34">
                  <c:v>12.2940793754066</c:v>
                </c:pt>
                <c:pt idx="35">
                  <c:v>7.8698763825634304</c:v>
                </c:pt>
                <c:pt idx="36">
                  <c:v>7.7033181522446297</c:v>
                </c:pt>
                <c:pt idx="37">
                  <c:v>8.16135328562134</c:v>
                </c:pt>
                <c:pt idx="38">
                  <c:v>9.7124268054651903</c:v>
                </c:pt>
                <c:pt idx="39">
                  <c:v>10.1080026024723</c:v>
                </c:pt>
                <c:pt idx="40">
                  <c:v>11.929733246584201</c:v>
                </c:pt>
                <c:pt idx="41">
                  <c:v>12.2836694860117</c:v>
                </c:pt>
                <c:pt idx="42">
                  <c:v>11.81522446324</c:v>
                </c:pt>
              </c:numCache>
              <c:extLst xmlns:c15="http://schemas.microsoft.com/office/drawing/2012/chart"/>
            </c:numRef>
          </c:xVal>
          <c:yVal>
            <c:numRef>
              <c:f>'van Passen vs Cui'!$B$41:$B$83</c:f>
              <c:numCache>
                <c:formatCode>0.00</c:formatCode>
                <c:ptCount val="43"/>
                <c:pt idx="0">
                  <c:v>4.8426150121067604</c:v>
                </c:pt>
                <c:pt idx="1">
                  <c:v>5.6497175141243998</c:v>
                </c:pt>
                <c:pt idx="2">
                  <c:v>16.9491525423729</c:v>
                </c:pt>
                <c:pt idx="3">
                  <c:v>21.791767554479499</c:v>
                </c:pt>
                <c:pt idx="4">
                  <c:v>27.4414850686039</c:v>
                </c:pt>
                <c:pt idx="5">
                  <c:v>38.7409200968522</c:v>
                </c:pt>
                <c:pt idx="6">
                  <c:v>58.111380145278503</c:v>
                </c:pt>
                <c:pt idx="7">
                  <c:v>30.669895076674901</c:v>
                </c:pt>
                <c:pt idx="8">
                  <c:v>45.197740112994502</c:v>
                </c:pt>
                <c:pt idx="9">
                  <c:v>58.111380145278503</c:v>
                </c:pt>
                <c:pt idx="10">
                  <c:v>92.009685230024104</c:v>
                </c:pt>
                <c:pt idx="11">
                  <c:v>77.481840193704599</c:v>
                </c:pt>
                <c:pt idx="12">
                  <c:v>118.64406779661</c:v>
                </c:pt>
                <c:pt idx="13">
                  <c:v>127.522195318805</c:v>
                </c:pt>
                <c:pt idx="14">
                  <c:v>121.872477804681</c:v>
                </c:pt>
                <c:pt idx="15">
                  <c:v>238.902340597256</c:v>
                </c:pt>
                <c:pt idx="16">
                  <c:v>207.42534301856301</c:v>
                </c:pt>
                <c:pt idx="17">
                  <c:v>305.08474576271101</c:v>
                </c:pt>
                <c:pt idx="18">
                  <c:v>322.84100080710198</c:v>
                </c:pt>
                <c:pt idx="19">
                  <c:v>393.05891848264702</c:v>
                </c:pt>
                <c:pt idx="20">
                  <c:v>516.54560129136405</c:v>
                </c:pt>
                <c:pt idx="21">
                  <c:v>480.22598870056498</c:v>
                </c:pt>
                <c:pt idx="22">
                  <c:v>519.77401129943496</c:v>
                </c:pt>
                <c:pt idx="23">
                  <c:v>429.37853107344603</c:v>
                </c:pt>
                <c:pt idx="24">
                  <c:v>727.19935431799797</c:v>
                </c:pt>
                <c:pt idx="25">
                  <c:v>870.05649717514098</c:v>
                </c:pt>
                <c:pt idx="26">
                  <c:v>154.963680387409</c:v>
                </c:pt>
                <c:pt idx="27">
                  <c:v>191.28329297820801</c:v>
                </c:pt>
                <c:pt idx="28">
                  <c:v>247.780468119451</c:v>
                </c:pt>
                <c:pt idx="29">
                  <c:v>333.33333333333297</c:v>
                </c:pt>
                <c:pt idx="30">
                  <c:v>364.81033091202499</c:v>
                </c:pt>
                <c:pt idx="31">
                  <c:v>478.61178369652902</c:v>
                </c:pt>
                <c:pt idx="32">
                  <c:v>660.20984665052401</c:v>
                </c:pt>
                <c:pt idx="33">
                  <c:v>721.54963680387402</c:v>
                </c:pt>
                <c:pt idx="34">
                  <c:v>854.72154963680396</c:v>
                </c:pt>
                <c:pt idx="35">
                  <c:v>129.13640032284101</c:v>
                </c:pt>
                <c:pt idx="36">
                  <c:v>150.92816787731999</c:v>
                </c:pt>
                <c:pt idx="37">
                  <c:v>213.882163034705</c:v>
                </c:pt>
                <c:pt idx="38">
                  <c:v>309.927360774818</c:v>
                </c:pt>
                <c:pt idx="39">
                  <c:v>318.80548829701303</c:v>
                </c:pt>
                <c:pt idx="40">
                  <c:v>482.64729620661802</c:v>
                </c:pt>
                <c:pt idx="41">
                  <c:v>728.00645682001596</c:v>
                </c:pt>
                <c:pt idx="42">
                  <c:v>900.72639225181604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E-10F0-409F-974A-AC4D48FC02AB}"/>
            </c:ext>
          </c:extLst>
        </c:ser>
        <c:ser>
          <c:idx val="2"/>
          <c:order val="4"/>
          <c:tx>
            <c:v>Combined (Van Paassen  (2010) and Cui (2024)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olid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4680633185100567"/>
                  <c:y val="0.262403095722306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1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baseline="0"/>
                      <a:t>Combined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1.01x</a:t>
                    </a:r>
                    <a:r>
                      <a:rPr lang="en-US" baseline="30000"/>
                      <a:t>2.6289</a:t>
                    </a:r>
                    <a:br>
                      <a:rPr lang="en-US" baseline="0"/>
                    </a:br>
                    <a:r>
                      <a:rPr lang="en-US" baseline="0"/>
                      <a:t>R² = 0.7678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'van Passen vs Cui'!$A$2:$A$83</c:f>
              <c:numCache>
                <c:formatCode>0.00</c:formatCode>
                <c:ptCount val="82"/>
                <c:pt idx="0">
                  <c:v>12.6</c:v>
                </c:pt>
                <c:pt idx="1">
                  <c:v>13.2</c:v>
                </c:pt>
                <c:pt idx="2">
                  <c:v>13.8</c:v>
                </c:pt>
                <c:pt idx="3">
                  <c:v>14</c:v>
                </c:pt>
                <c:pt idx="4">
                  <c:v>14.6</c:v>
                </c:pt>
                <c:pt idx="5">
                  <c:v>14</c:v>
                </c:pt>
                <c:pt idx="6">
                  <c:v>14.5</c:v>
                </c:pt>
                <c:pt idx="7">
                  <c:v>14.5</c:v>
                </c:pt>
                <c:pt idx="8">
                  <c:v>14.5</c:v>
                </c:pt>
                <c:pt idx="9">
                  <c:v>14.8</c:v>
                </c:pt>
                <c:pt idx="10">
                  <c:v>15.5</c:v>
                </c:pt>
                <c:pt idx="11">
                  <c:v>15.8</c:v>
                </c:pt>
                <c:pt idx="12">
                  <c:v>16.3</c:v>
                </c:pt>
                <c:pt idx="13">
                  <c:v>16.8</c:v>
                </c:pt>
                <c:pt idx="14">
                  <c:v>16.8</c:v>
                </c:pt>
                <c:pt idx="15">
                  <c:v>17.5</c:v>
                </c:pt>
                <c:pt idx="16">
                  <c:v>17.5</c:v>
                </c:pt>
                <c:pt idx="17">
                  <c:v>18.600000000000001</c:v>
                </c:pt>
                <c:pt idx="18">
                  <c:v>19.100000000000001</c:v>
                </c:pt>
                <c:pt idx="19">
                  <c:v>20.3</c:v>
                </c:pt>
                <c:pt idx="20">
                  <c:v>20.3</c:v>
                </c:pt>
                <c:pt idx="21">
                  <c:v>20</c:v>
                </c:pt>
                <c:pt idx="22">
                  <c:v>20.3</c:v>
                </c:pt>
                <c:pt idx="23">
                  <c:v>20.5</c:v>
                </c:pt>
                <c:pt idx="24">
                  <c:v>21.4</c:v>
                </c:pt>
                <c:pt idx="25">
                  <c:v>22.5</c:v>
                </c:pt>
                <c:pt idx="26">
                  <c:v>23.4</c:v>
                </c:pt>
                <c:pt idx="27">
                  <c:v>22.6</c:v>
                </c:pt>
                <c:pt idx="28">
                  <c:v>23.2</c:v>
                </c:pt>
                <c:pt idx="29">
                  <c:v>23.1</c:v>
                </c:pt>
                <c:pt idx="30">
                  <c:v>23.2</c:v>
                </c:pt>
                <c:pt idx="31">
                  <c:v>23.8</c:v>
                </c:pt>
                <c:pt idx="32">
                  <c:v>24.7</c:v>
                </c:pt>
                <c:pt idx="33">
                  <c:v>24.8</c:v>
                </c:pt>
                <c:pt idx="34">
                  <c:v>26.2</c:v>
                </c:pt>
                <c:pt idx="35">
                  <c:v>25.6</c:v>
                </c:pt>
                <c:pt idx="36">
                  <c:v>25.2</c:v>
                </c:pt>
                <c:pt idx="37">
                  <c:v>24.8</c:v>
                </c:pt>
                <c:pt idx="38">
                  <c:v>27.3</c:v>
                </c:pt>
                <c:pt idx="39">
                  <c:v>1.0201691607026599</c:v>
                </c:pt>
                <c:pt idx="40">
                  <c:v>1.5510735198438499</c:v>
                </c:pt>
                <c:pt idx="41">
                  <c:v>2.6441119063109899</c:v>
                </c:pt>
                <c:pt idx="42">
                  <c:v>3.38321405335068</c:v>
                </c:pt>
                <c:pt idx="43">
                  <c:v>4.5178919973975296</c:v>
                </c:pt>
                <c:pt idx="44">
                  <c:v>5.17371502927781</c:v>
                </c:pt>
                <c:pt idx="45">
                  <c:v>5.8295380611581002</c:v>
                </c:pt>
                <c:pt idx="46">
                  <c:v>6.91216655823031</c:v>
                </c:pt>
                <c:pt idx="47">
                  <c:v>6.6206896551724101</c:v>
                </c:pt>
                <c:pt idx="48">
                  <c:v>6.5270006506180804</c:v>
                </c:pt>
                <c:pt idx="49">
                  <c:v>6.46454131424853</c:v>
                </c:pt>
                <c:pt idx="50">
                  <c:v>7.2036434612882196</c:v>
                </c:pt>
                <c:pt idx="51">
                  <c:v>3.82042940793754</c:v>
                </c:pt>
                <c:pt idx="52">
                  <c:v>4.1431359791802196</c:v>
                </c:pt>
                <c:pt idx="53">
                  <c:v>4.90305790500976</c:v>
                </c:pt>
                <c:pt idx="54">
                  <c:v>7.5679895901106002</c:v>
                </c:pt>
                <c:pt idx="55">
                  <c:v>7.5783994795055296</c:v>
                </c:pt>
                <c:pt idx="56">
                  <c:v>9.8789850357839892</c:v>
                </c:pt>
                <c:pt idx="57">
                  <c:v>10.1808718282368</c:v>
                </c:pt>
                <c:pt idx="58">
                  <c:v>9.9726740403383207</c:v>
                </c:pt>
                <c:pt idx="59">
                  <c:v>11.9713728041639</c:v>
                </c:pt>
                <c:pt idx="60">
                  <c:v>11.638256343526299</c:v>
                </c:pt>
                <c:pt idx="61">
                  <c:v>13.220559531554899</c:v>
                </c:pt>
                <c:pt idx="62">
                  <c:v>12.6271958360442</c:v>
                </c:pt>
                <c:pt idx="63">
                  <c:v>12.9394925178919</c:v>
                </c:pt>
                <c:pt idx="64">
                  <c:v>13.459986987638199</c:v>
                </c:pt>
                <c:pt idx="65">
                  <c:v>8.0676642810670103</c:v>
                </c:pt>
                <c:pt idx="66">
                  <c:v>7.78659726740403</c:v>
                </c:pt>
                <c:pt idx="67">
                  <c:v>7.8074170461938799</c:v>
                </c:pt>
                <c:pt idx="68">
                  <c:v>10.1912817176317</c:v>
                </c:pt>
                <c:pt idx="69">
                  <c:v>9.9518542615484709</c:v>
                </c:pt>
                <c:pt idx="70">
                  <c:v>9.9934938191281706</c:v>
                </c:pt>
                <c:pt idx="71">
                  <c:v>12.2524398178269</c:v>
                </c:pt>
                <c:pt idx="72">
                  <c:v>12.0130123617436</c:v>
                </c:pt>
                <c:pt idx="73">
                  <c:v>12.2940793754066</c:v>
                </c:pt>
                <c:pt idx="74">
                  <c:v>7.8698763825634304</c:v>
                </c:pt>
                <c:pt idx="75">
                  <c:v>7.7033181522446297</c:v>
                </c:pt>
                <c:pt idx="76">
                  <c:v>8.16135328562134</c:v>
                </c:pt>
                <c:pt idx="77">
                  <c:v>9.7124268054651903</c:v>
                </c:pt>
                <c:pt idx="78">
                  <c:v>10.1080026024723</c:v>
                </c:pt>
                <c:pt idx="79">
                  <c:v>11.929733246584201</c:v>
                </c:pt>
                <c:pt idx="80">
                  <c:v>12.2836694860117</c:v>
                </c:pt>
                <c:pt idx="81">
                  <c:v>11.81522446324</c:v>
                </c:pt>
              </c:numCache>
            </c:numRef>
          </c:xVal>
          <c:yVal>
            <c:numRef>
              <c:f>'van Passen vs Cui'!$B$2:$B$83</c:f>
              <c:numCache>
                <c:formatCode>0.00</c:formatCode>
                <c:ptCount val="82"/>
                <c:pt idx="0">
                  <c:v>700</c:v>
                </c:pt>
                <c:pt idx="1">
                  <c:v>900</c:v>
                </c:pt>
                <c:pt idx="2">
                  <c:v>2100</c:v>
                </c:pt>
                <c:pt idx="3">
                  <c:v>1200</c:v>
                </c:pt>
                <c:pt idx="4">
                  <c:v>1500</c:v>
                </c:pt>
                <c:pt idx="5">
                  <c:v>1700</c:v>
                </c:pt>
                <c:pt idx="6">
                  <c:v>1000</c:v>
                </c:pt>
                <c:pt idx="7">
                  <c:v>1300</c:v>
                </c:pt>
                <c:pt idx="8">
                  <c:v>2200</c:v>
                </c:pt>
                <c:pt idx="9">
                  <c:v>2300</c:v>
                </c:pt>
                <c:pt idx="10">
                  <c:v>900</c:v>
                </c:pt>
                <c:pt idx="11">
                  <c:v>1300</c:v>
                </c:pt>
                <c:pt idx="12">
                  <c:v>2300</c:v>
                </c:pt>
                <c:pt idx="13">
                  <c:v>1600</c:v>
                </c:pt>
                <c:pt idx="14">
                  <c:v>1900</c:v>
                </c:pt>
                <c:pt idx="15">
                  <c:v>1700</c:v>
                </c:pt>
                <c:pt idx="16">
                  <c:v>4200</c:v>
                </c:pt>
                <c:pt idx="17">
                  <c:v>1700</c:v>
                </c:pt>
                <c:pt idx="18">
                  <c:v>2300</c:v>
                </c:pt>
                <c:pt idx="19">
                  <c:v>2000</c:v>
                </c:pt>
                <c:pt idx="20">
                  <c:v>2700</c:v>
                </c:pt>
                <c:pt idx="21">
                  <c:v>3800</c:v>
                </c:pt>
                <c:pt idx="22">
                  <c:v>4000</c:v>
                </c:pt>
                <c:pt idx="23">
                  <c:v>2900</c:v>
                </c:pt>
                <c:pt idx="24">
                  <c:v>3800</c:v>
                </c:pt>
                <c:pt idx="25">
                  <c:v>4200</c:v>
                </c:pt>
                <c:pt idx="26">
                  <c:v>2500</c:v>
                </c:pt>
                <c:pt idx="27">
                  <c:v>7600</c:v>
                </c:pt>
                <c:pt idx="28">
                  <c:v>6000</c:v>
                </c:pt>
                <c:pt idx="29">
                  <c:v>4000</c:v>
                </c:pt>
                <c:pt idx="30">
                  <c:v>6200</c:v>
                </c:pt>
                <c:pt idx="31">
                  <c:v>8000</c:v>
                </c:pt>
                <c:pt idx="32">
                  <c:v>2700</c:v>
                </c:pt>
                <c:pt idx="33">
                  <c:v>4700</c:v>
                </c:pt>
                <c:pt idx="34">
                  <c:v>4900</c:v>
                </c:pt>
                <c:pt idx="35">
                  <c:v>8600</c:v>
                </c:pt>
                <c:pt idx="36">
                  <c:v>5900</c:v>
                </c:pt>
                <c:pt idx="37">
                  <c:v>12400</c:v>
                </c:pt>
                <c:pt idx="38">
                  <c:v>5800</c:v>
                </c:pt>
                <c:pt idx="39">
                  <c:v>4.8426150121067604</c:v>
                </c:pt>
                <c:pt idx="40">
                  <c:v>5.6497175141243998</c:v>
                </c:pt>
                <c:pt idx="41">
                  <c:v>16.9491525423729</c:v>
                </c:pt>
                <c:pt idx="42">
                  <c:v>21.791767554479499</c:v>
                </c:pt>
                <c:pt idx="43">
                  <c:v>27.4414850686039</c:v>
                </c:pt>
                <c:pt idx="44">
                  <c:v>38.7409200968522</c:v>
                </c:pt>
                <c:pt idx="45">
                  <c:v>58.111380145278503</c:v>
                </c:pt>
                <c:pt idx="46">
                  <c:v>30.669895076674901</c:v>
                </c:pt>
                <c:pt idx="47">
                  <c:v>45.197740112994502</c:v>
                </c:pt>
                <c:pt idx="48">
                  <c:v>58.111380145278503</c:v>
                </c:pt>
                <c:pt idx="49">
                  <c:v>92.009685230024104</c:v>
                </c:pt>
                <c:pt idx="50">
                  <c:v>77.481840193704599</c:v>
                </c:pt>
                <c:pt idx="51">
                  <c:v>118.64406779661</c:v>
                </c:pt>
                <c:pt idx="52">
                  <c:v>127.522195318805</c:v>
                </c:pt>
                <c:pt idx="53">
                  <c:v>121.872477804681</c:v>
                </c:pt>
                <c:pt idx="54">
                  <c:v>238.902340597256</c:v>
                </c:pt>
                <c:pt idx="55">
                  <c:v>207.42534301856301</c:v>
                </c:pt>
                <c:pt idx="56">
                  <c:v>305.08474576271101</c:v>
                </c:pt>
                <c:pt idx="57">
                  <c:v>322.84100080710198</c:v>
                </c:pt>
                <c:pt idx="58">
                  <c:v>393.05891848264702</c:v>
                </c:pt>
                <c:pt idx="59">
                  <c:v>516.54560129136405</c:v>
                </c:pt>
                <c:pt idx="60">
                  <c:v>480.22598870056498</c:v>
                </c:pt>
                <c:pt idx="61">
                  <c:v>519.77401129943496</c:v>
                </c:pt>
                <c:pt idx="62">
                  <c:v>429.37853107344603</c:v>
                </c:pt>
                <c:pt idx="63">
                  <c:v>727.19935431799797</c:v>
                </c:pt>
                <c:pt idx="64">
                  <c:v>870.05649717514098</c:v>
                </c:pt>
                <c:pt idx="65">
                  <c:v>154.963680387409</c:v>
                </c:pt>
                <c:pt idx="66">
                  <c:v>191.28329297820801</c:v>
                </c:pt>
                <c:pt idx="67">
                  <c:v>247.780468119451</c:v>
                </c:pt>
                <c:pt idx="68">
                  <c:v>333.33333333333297</c:v>
                </c:pt>
                <c:pt idx="69">
                  <c:v>364.81033091202499</c:v>
                </c:pt>
                <c:pt idx="70">
                  <c:v>478.61178369652902</c:v>
                </c:pt>
                <c:pt idx="71">
                  <c:v>660.20984665052401</c:v>
                </c:pt>
                <c:pt idx="72">
                  <c:v>721.54963680387402</c:v>
                </c:pt>
                <c:pt idx="73">
                  <c:v>854.72154963680396</c:v>
                </c:pt>
                <c:pt idx="74">
                  <c:v>129.13640032284101</c:v>
                </c:pt>
                <c:pt idx="75">
                  <c:v>150.92816787731999</c:v>
                </c:pt>
                <c:pt idx="76">
                  <c:v>213.882163034705</c:v>
                </c:pt>
                <c:pt idx="77">
                  <c:v>309.927360774818</c:v>
                </c:pt>
                <c:pt idx="78">
                  <c:v>318.80548829701303</c:v>
                </c:pt>
                <c:pt idx="79">
                  <c:v>482.64729620661802</c:v>
                </c:pt>
                <c:pt idx="80">
                  <c:v>728.00645682001596</c:v>
                </c:pt>
                <c:pt idx="81">
                  <c:v>900.72639225181604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0F0-409F-974A-AC4D48FC0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5526816"/>
        <c:axId val="1475529216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0"/>
                <c:tx>
                  <c:v>Van Paassen (2010)</c:v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'van Passen vs Cui'!$A$2:$A$40</c15:sqref>
                        </c15:formulaRef>
                      </c:ext>
                    </c:extLst>
                    <c:numCache>
                      <c:formatCode>0.00</c:formatCode>
                      <c:ptCount val="39"/>
                      <c:pt idx="0">
                        <c:v>12.6</c:v>
                      </c:pt>
                      <c:pt idx="1">
                        <c:v>13.2</c:v>
                      </c:pt>
                      <c:pt idx="2">
                        <c:v>13.8</c:v>
                      </c:pt>
                      <c:pt idx="3">
                        <c:v>14</c:v>
                      </c:pt>
                      <c:pt idx="4">
                        <c:v>14.6</c:v>
                      </c:pt>
                      <c:pt idx="5">
                        <c:v>14</c:v>
                      </c:pt>
                      <c:pt idx="6">
                        <c:v>14.5</c:v>
                      </c:pt>
                      <c:pt idx="7">
                        <c:v>14.5</c:v>
                      </c:pt>
                      <c:pt idx="8">
                        <c:v>14.5</c:v>
                      </c:pt>
                      <c:pt idx="9">
                        <c:v>14.8</c:v>
                      </c:pt>
                      <c:pt idx="10">
                        <c:v>15.5</c:v>
                      </c:pt>
                      <c:pt idx="11">
                        <c:v>15.8</c:v>
                      </c:pt>
                      <c:pt idx="12">
                        <c:v>16.3</c:v>
                      </c:pt>
                      <c:pt idx="13">
                        <c:v>16.8</c:v>
                      </c:pt>
                      <c:pt idx="14">
                        <c:v>16.8</c:v>
                      </c:pt>
                      <c:pt idx="15">
                        <c:v>17.5</c:v>
                      </c:pt>
                      <c:pt idx="16">
                        <c:v>17.5</c:v>
                      </c:pt>
                      <c:pt idx="17">
                        <c:v>18.600000000000001</c:v>
                      </c:pt>
                      <c:pt idx="18">
                        <c:v>19.100000000000001</c:v>
                      </c:pt>
                      <c:pt idx="19">
                        <c:v>20.3</c:v>
                      </c:pt>
                      <c:pt idx="20">
                        <c:v>20.3</c:v>
                      </c:pt>
                      <c:pt idx="21">
                        <c:v>20</c:v>
                      </c:pt>
                      <c:pt idx="22">
                        <c:v>20.3</c:v>
                      </c:pt>
                      <c:pt idx="23">
                        <c:v>20.5</c:v>
                      </c:pt>
                      <c:pt idx="24">
                        <c:v>21.4</c:v>
                      </c:pt>
                      <c:pt idx="25">
                        <c:v>22.5</c:v>
                      </c:pt>
                      <c:pt idx="26">
                        <c:v>23.4</c:v>
                      </c:pt>
                      <c:pt idx="27">
                        <c:v>22.6</c:v>
                      </c:pt>
                      <c:pt idx="28">
                        <c:v>23.2</c:v>
                      </c:pt>
                      <c:pt idx="29">
                        <c:v>23.1</c:v>
                      </c:pt>
                      <c:pt idx="30">
                        <c:v>23.2</c:v>
                      </c:pt>
                      <c:pt idx="31">
                        <c:v>23.8</c:v>
                      </c:pt>
                      <c:pt idx="32">
                        <c:v>24.7</c:v>
                      </c:pt>
                      <c:pt idx="33">
                        <c:v>24.8</c:v>
                      </c:pt>
                      <c:pt idx="34">
                        <c:v>26.2</c:v>
                      </c:pt>
                      <c:pt idx="35">
                        <c:v>25.6</c:v>
                      </c:pt>
                      <c:pt idx="36">
                        <c:v>25.2</c:v>
                      </c:pt>
                      <c:pt idx="37">
                        <c:v>24.8</c:v>
                      </c:pt>
                      <c:pt idx="38">
                        <c:v>27.3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'van Passen vs Cui'!$B$2:$B$40</c15:sqref>
                        </c15:formulaRef>
                      </c:ext>
                    </c:extLst>
                    <c:numCache>
                      <c:formatCode>0.00</c:formatCode>
                      <c:ptCount val="39"/>
                      <c:pt idx="0">
                        <c:v>700</c:v>
                      </c:pt>
                      <c:pt idx="1">
                        <c:v>900</c:v>
                      </c:pt>
                      <c:pt idx="2">
                        <c:v>2100</c:v>
                      </c:pt>
                      <c:pt idx="3">
                        <c:v>1200</c:v>
                      </c:pt>
                      <c:pt idx="4">
                        <c:v>1500</c:v>
                      </c:pt>
                      <c:pt idx="5">
                        <c:v>1700</c:v>
                      </c:pt>
                      <c:pt idx="6">
                        <c:v>1000</c:v>
                      </c:pt>
                      <c:pt idx="7">
                        <c:v>1300</c:v>
                      </c:pt>
                      <c:pt idx="8">
                        <c:v>2200</c:v>
                      </c:pt>
                      <c:pt idx="9">
                        <c:v>2300</c:v>
                      </c:pt>
                      <c:pt idx="10">
                        <c:v>900</c:v>
                      </c:pt>
                      <c:pt idx="11">
                        <c:v>1300</c:v>
                      </c:pt>
                      <c:pt idx="12">
                        <c:v>2300</c:v>
                      </c:pt>
                      <c:pt idx="13">
                        <c:v>1600</c:v>
                      </c:pt>
                      <c:pt idx="14">
                        <c:v>1900</c:v>
                      </c:pt>
                      <c:pt idx="15">
                        <c:v>1700</c:v>
                      </c:pt>
                      <c:pt idx="16">
                        <c:v>4200</c:v>
                      </c:pt>
                      <c:pt idx="17">
                        <c:v>1700</c:v>
                      </c:pt>
                      <c:pt idx="18">
                        <c:v>2300</c:v>
                      </c:pt>
                      <c:pt idx="19">
                        <c:v>2000</c:v>
                      </c:pt>
                      <c:pt idx="20">
                        <c:v>2700</c:v>
                      </c:pt>
                      <c:pt idx="21">
                        <c:v>3800</c:v>
                      </c:pt>
                      <c:pt idx="22">
                        <c:v>4000</c:v>
                      </c:pt>
                      <c:pt idx="23">
                        <c:v>2900</c:v>
                      </c:pt>
                      <c:pt idx="24">
                        <c:v>3800</c:v>
                      </c:pt>
                      <c:pt idx="25">
                        <c:v>4200</c:v>
                      </c:pt>
                      <c:pt idx="26">
                        <c:v>2500</c:v>
                      </c:pt>
                      <c:pt idx="27">
                        <c:v>7600</c:v>
                      </c:pt>
                      <c:pt idx="28">
                        <c:v>6000</c:v>
                      </c:pt>
                      <c:pt idx="29">
                        <c:v>4000</c:v>
                      </c:pt>
                      <c:pt idx="30">
                        <c:v>6200</c:v>
                      </c:pt>
                      <c:pt idx="31">
                        <c:v>8000</c:v>
                      </c:pt>
                      <c:pt idx="32">
                        <c:v>2700</c:v>
                      </c:pt>
                      <c:pt idx="33">
                        <c:v>4700</c:v>
                      </c:pt>
                      <c:pt idx="34">
                        <c:v>4900</c:v>
                      </c:pt>
                      <c:pt idx="35">
                        <c:v>8600</c:v>
                      </c:pt>
                      <c:pt idx="36">
                        <c:v>5900</c:v>
                      </c:pt>
                      <c:pt idx="37">
                        <c:v>12400</c:v>
                      </c:pt>
                      <c:pt idx="38">
                        <c:v>5800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F-10F0-409F-974A-AC4D48FC02AB}"/>
                  </c:ext>
                </c:extLst>
              </c15:ser>
            </c15:filteredScatterSeries>
            <c15:filteredScatterSeries>
              <c15:ser>
                <c:idx val="4"/>
                <c:order val="1"/>
                <c:tx>
                  <c:v>Cui (2024)</c:v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'van Passen vs Cui'!$A$41:$A$83</c15:sqref>
                        </c15:formulaRef>
                      </c:ext>
                    </c:extLst>
                    <c:numCache>
                      <c:formatCode>0.00</c:formatCode>
                      <c:ptCount val="43"/>
                      <c:pt idx="0">
                        <c:v>1.0201691607026599</c:v>
                      </c:pt>
                      <c:pt idx="1">
                        <c:v>1.5510735198438499</c:v>
                      </c:pt>
                      <c:pt idx="2">
                        <c:v>2.6441119063109899</c:v>
                      </c:pt>
                      <c:pt idx="3">
                        <c:v>3.38321405335068</c:v>
                      </c:pt>
                      <c:pt idx="4">
                        <c:v>4.5178919973975296</c:v>
                      </c:pt>
                      <c:pt idx="5">
                        <c:v>5.17371502927781</c:v>
                      </c:pt>
                      <c:pt idx="6">
                        <c:v>5.8295380611581002</c:v>
                      </c:pt>
                      <c:pt idx="7">
                        <c:v>6.91216655823031</c:v>
                      </c:pt>
                      <c:pt idx="8">
                        <c:v>6.6206896551724101</c:v>
                      </c:pt>
                      <c:pt idx="9">
                        <c:v>6.5270006506180804</c:v>
                      </c:pt>
                      <c:pt idx="10">
                        <c:v>6.46454131424853</c:v>
                      </c:pt>
                      <c:pt idx="11">
                        <c:v>7.2036434612882196</c:v>
                      </c:pt>
                      <c:pt idx="12">
                        <c:v>3.82042940793754</c:v>
                      </c:pt>
                      <c:pt idx="13">
                        <c:v>4.1431359791802196</c:v>
                      </c:pt>
                      <c:pt idx="14">
                        <c:v>4.90305790500976</c:v>
                      </c:pt>
                      <c:pt idx="15">
                        <c:v>7.5679895901106002</c:v>
                      </c:pt>
                      <c:pt idx="16">
                        <c:v>7.5783994795055296</c:v>
                      </c:pt>
                      <c:pt idx="17">
                        <c:v>9.8789850357839892</c:v>
                      </c:pt>
                      <c:pt idx="18">
                        <c:v>10.1808718282368</c:v>
                      </c:pt>
                      <c:pt idx="19">
                        <c:v>9.9726740403383207</c:v>
                      </c:pt>
                      <c:pt idx="20">
                        <c:v>11.9713728041639</c:v>
                      </c:pt>
                      <c:pt idx="21">
                        <c:v>11.638256343526299</c:v>
                      </c:pt>
                      <c:pt idx="22">
                        <c:v>13.220559531554899</c:v>
                      </c:pt>
                      <c:pt idx="23">
                        <c:v>12.6271958360442</c:v>
                      </c:pt>
                      <c:pt idx="24">
                        <c:v>12.9394925178919</c:v>
                      </c:pt>
                      <c:pt idx="25">
                        <c:v>13.459986987638199</c:v>
                      </c:pt>
                      <c:pt idx="26">
                        <c:v>8.0676642810670103</c:v>
                      </c:pt>
                      <c:pt idx="27">
                        <c:v>7.78659726740403</c:v>
                      </c:pt>
                      <c:pt idx="28">
                        <c:v>7.8074170461938799</c:v>
                      </c:pt>
                      <c:pt idx="29">
                        <c:v>10.1912817176317</c:v>
                      </c:pt>
                      <c:pt idx="30">
                        <c:v>9.9518542615484709</c:v>
                      </c:pt>
                      <c:pt idx="31">
                        <c:v>9.9934938191281706</c:v>
                      </c:pt>
                      <c:pt idx="32">
                        <c:v>12.2524398178269</c:v>
                      </c:pt>
                      <c:pt idx="33">
                        <c:v>12.0130123617436</c:v>
                      </c:pt>
                      <c:pt idx="34">
                        <c:v>12.2940793754066</c:v>
                      </c:pt>
                      <c:pt idx="35">
                        <c:v>7.8698763825634304</c:v>
                      </c:pt>
                      <c:pt idx="36">
                        <c:v>7.7033181522446297</c:v>
                      </c:pt>
                      <c:pt idx="37">
                        <c:v>8.16135328562134</c:v>
                      </c:pt>
                      <c:pt idx="38">
                        <c:v>9.7124268054651903</c:v>
                      </c:pt>
                      <c:pt idx="39">
                        <c:v>10.1080026024723</c:v>
                      </c:pt>
                      <c:pt idx="40">
                        <c:v>11.929733246584201</c:v>
                      </c:pt>
                      <c:pt idx="41">
                        <c:v>12.2836694860117</c:v>
                      </c:pt>
                      <c:pt idx="42">
                        <c:v>11.81522446324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'van Passen vs Cui'!$B$41:$B$83</c15:sqref>
                        </c15:formulaRef>
                      </c:ext>
                    </c:extLst>
                    <c:numCache>
                      <c:formatCode>0.00</c:formatCode>
                      <c:ptCount val="43"/>
                      <c:pt idx="0">
                        <c:v>4.8426150121067604</c:v>
                      </c:pt>
                      <c:pt idx="1">
                        <c:v>5.6497175141243998</c:v>
                      </c:pt>
                      <c:pt idx="2">
                        <c:v>16.9491525423729</c:v>
                      </c:pt>
                      <c:pt idx="3">
                        <c:v>21.791767554479499</c:v>
                      </c:pt>
                      <c:pt idx="4">
                        <c:v>27.4414850686039</c:v>
                      </c:pt>
                      <c:pt idx="5">
                        <c:v>38.7409200968522</c:v>
                      </c:pt>
                      <c:pt idx="6">
                        <c:v>58.111380145278503</c:v>
                      </c:pt>
                      <c:pt idx="7">
                        <c:v>30.669895076674901</c:v>
                      </c:pt>
                      <c:pt idx="8">
                        <c:v>45.197740112994502</c:v>
                      </c:pt>
                      <c:pt idx="9">
                        <c:v>58.111380145278503</c:v>
                      </c:pt>
                      <c:pt idx="10">
                        <c:v>92.009685230024104</c:v>
                      </c:pt>
                      <c:pt idx="11">
                        <c:v>77.481840193704599</c:v>
                      </c:pt>
                      <c:pt idx="12">
                        <c:v>118.64406779661</c:v>
                      </c:pt>
                      <c:pt idx="13">
                        <c:v>127.522195318805</c:v>
                      </c:pt>
                      <c:pt idx="14">
                        <c:v>121.872477804681</c:v>
                      </c:pt>
                      <c:pt idx="15">
                        <c:v>238.902340597256</c:v>
                      </c:pt>
                      <c:pt idx="16">
                        <c:v>207.42534301856301</c:v>
                      </c:pt>
                      <c:pt idx="17">
                        <c:v>305.08474576271101</c:v>
                      </c:pt>
                      <c:pt idx="18">
                        <c:v>322.84100080710198</c:v>
                      </c:pt>
                      <c:pt idx="19">
                        <c:v>393.05891848264702</c:v>
                      </c:pt>
                      <c:pt idx="20">
                        <c:v>516.54560129136405</c:v>
                      </c:pt>
                      <c:pt idx="21">
                        <c:v>480.22598870056498</c:v>
                      </c:pt>
                      <c:pt idx="22">
                        <c:v>519.77401129943496</c:v>
                      </c:pt>
                      <c:pt idx="23">
                        <c:v>429.37853107344603</c:v>
                      </c:pt>
                      <c:pt idx="24">
                        <c:v>727.19935431799797</c:v>
                      </c:pt>
                      <c:pt idx="25">
                        <c:v>870.05649717514098</c:v>
                      </c:pt>
                      <c:pt idx="26">
                        <c:v>154.963680387409</c:v>
                      </c:pt>
                      <c:pt idx="27">
                        <c:v>191.28329297820801</c:v>
                      </c:pt>
                      <c:pt idx="28">
                        <c:v>247.780468119451</c:v>
                      </c:pt>
                      <c:pt idx="29">
                        <c:v>333.33333333333297</c:v>
                      </c:pt>
                      <c:pt idx="30">
                        <c:v>364.81033091202499</c:v>
                      </c:pt>
                      <c:pt idx="31">
                        <c:v>478.61178369652902</c:v>
                      </c:pt>
                      <c:pt idx="32">
                        <c:v>660.20984665052401</c:v>
                      </c:pt>
                      <c:pt idx="33">
                        <c:v>721.54963680387402</c:v>
                      </c:pt>
                      <c:pt idx="34">
                        <c:v>854.72154963680396</c:v>
                      </c:pt>
                      <c:pt idx="35">
                        <c:v>129.13640032284101</c:v>
                      </c:pt>
                      <c:pt idx="36">
                        <c:v>150.92816787731999</c:v>
                      </c:pt>
                      <c:pt idx="37">
                        <c:v>213.882163034705</c:v>
                      </c:pt>
                      <c:pt idx="38">
                        <c:v>309.927360774818</c:v>
                      </c:pt>
                      <c:pt idx="39">
                        <c:v>318.80548829701303</c:v>
                      </c:pt>
                      <c:pt idx="40">
                        <c:v>482.64729620661802</c:v>
                      </c:pt>
                      <c:pt idx="41">
                        <c:v>728.00645682001596</c:v>
                      </c:pt>
                      <c:pt idx="42">
                        <c:v>900.72639225181604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10F0-409F-974A-AC4D48FC02AB}"/>
                  </c:ext>
                </c:extLst>
              </c15:ser>
            </c15:filteredScatterSeries>
          </c:ext>
        </c:extLst>
      </c:scatterChart>
      <c:valAx>
        <c:axId val="1475526816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Carbonate Content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cross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75529216"/>
        <c:crosses val="autoZero"/>
        <c:crossBetween val="midCat"/>
      </c:valAx>
      <c:valAx>
        <c:axId val="147552921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Unconfined Copressive Strength (kPa)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cross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75526816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2367766852977577"/>
          <c:y val="0.53051181102362199"/>
          <c:w val="0.22796309140113963"/>
          <c:h val="0.261824060071961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smoothMarker"/>
        <c:varyColors val="0"/>
        <c:ser>
          <c:idx val="2"/>
          <c:order val="2"/>
          <c:tx>
            <c:v>Combined (Van Paassen  (2010) and Cui (2024)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olid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1381842166102295"/>
                  <c:y val="-6.844679390241782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'van Passen vs Cui'!$A$2:$A$83</c:f>
              <c:numCache>
                <c:formatCode>0.00</c:formatCode>
                <c:ptCount val="82"/>
                <c:pt idx="0">
                  <c:v>12.6</c:v>
                </c:pt>
                <c:pt idx="1">
                  <c:v>13.2</c:v>
                </c:pt>
                <c:pt idx="2">
                  <c:v>13.8</c:v>
                </c:pt>
                <c:pt idx="3">
                  <c:v>14</c:v>
                </c:pt>
                <c:pt idx="4">
                  <c:v>14.6</c:v>
                </c:pt>
                <c:pt idx="5">
                  <c:v>14</c:v>
                </c:pt>
                <c:pt idx="6">
                  <c:v>14.5</c:v>
                </c:pt>
                <c:pt idx="7">
                  <c:v>14.5</c:v>
                </c:pt>
                <c:pt idx="8">
                  <c:v>14.5</c:v>
                </c:pt>
                <c:pt idx="9">
                  <c:v>14.8</c:v>
                </c:pt>
                <c:pt idx="10">
                  <c:v>15.5</c:v>
                </c:pt>
                <c:pt idx="11">
                  <c:v>15.8</c:v>
                </c:pt>
                <c:pt idx="12">
                  <c:v>16.3</c:v>
                </c:pt>
                <c:pt idx="13">
                  <c:v>16.8</c:v>
                </c:pt>
                <c:pt idx="14">
                  <c:v>16.8</c:v>
                </c:pt>
                <c:pt idx="15">
                  <c:v>17.5</c:v>
                </c:pt>
                <c:pt idx="16">
                  <c:v>17.5</c:v>
                </c:pt>
                <c:pt idx="17">
                  <c:v>18.600000000000001</c:v>
                </c:pt>
                <c:pt idx="18">
                  <c:v>19.100000000000001</c:v>
                </c:pt>
                <c:pt idx="19">
                  <c:v>20.3</c:v>
                </c:pt>
                <c:pt idx="20">
                  <c:v>20.3</c:v>
                </c:pt>
                <c:pt idx="21">
                  <c:v>20</c:v>
                </c:pt>
                <c:pt idx="22">
                  <c:v>20.3</c:v>
                </c:pt>
                <c:pt idx="23">
                  <c:v>20.5</c:v>
                </c:pt>
                <c:pt idx="24">
                  <c:v>21.4</c:v>
                </c:pt>
                <c:pt idx="25">
                  <c:v>22.5</c:v>
                </c:pt>
                <c:pt idx="26">
                  <c:v>23.4</c:v>
                </c:pt>
                <c:pt idx="27">
                  <c:v>22.6</c:v>
                </c:pt>
                <c:pt idx="28">
                  <c:v>23.2</c:v>
                </c:pt>
                <c:pt idx="29">
                  <c:v>23.1</c:v>
                </c:pt>
                <c:pt idx="30">
                  <c:v>23.2</c:v>
                </c:pt>
                <c:pt idx="31">
                  <c:v>23.8</c:v>
                </c:pt>
                <c:pt idx="32">
                  <c:v>24.7</c:v>
                </c:pt>
                <c:pt idx="33">
                  <c:v>24.8</c:v>
                </c:pt>
                <c:pt idx="34">
                  <c:v>26.2</c:v>
                </c:pt>
                <c:pt idx="35">
                  <c:v>25.6</c:v>
                </c:pt>
                <c:pt idx="36">
                  <c:v>25.2</c:v>
                </c:pt>
                <c:pt idx="37">
                  <c:v>24.8</c:v>
                </c:pt>
                <c:pt idx="38">
                  <c:v>27.3</c:v>
                </c:pt>
                <c:pt idx="39">
                  <c:v>1.0201691607026599</c:v>
                </c:pt>
                <c:pt idx="40">
                  <c:v>1.5510735198438499</c:v>
                </c:pt>
                <c:pt idx="41">
                  <c:v>2.6441119063109899</c:v>
                </c:pt>
                <c:pt idx="42">
                  <c:v>3.38321405335068</c:v>
                </c:pt>
                <c:pt idx="43">
                  <c:v>4.5178919973975296</c:v>
                </c:pt>
                <c:pt idx="44">
                  <c:v>5.17371502927781</c:v>
                </c:pt>
                <c:pt idx="45">
                  <c:v>5.8295380611581002</c:v>
                </c:pt>
                <c:pt idx="46">
                  <c:v>6.91216655823031</c:v>
                </c:pt>
                <c:pt idx="47">
                  <c:v>6.6206896551724101</c:v>
                </c:pt>
                <c:pt idx="48">
                  <c:v>6.5270006506180804</c:v>
                </c:pt>
                <c:pt idx="49">
                  <c:v>6.46454131424853</c:v>
                </c:pt>
                <c:pt idx="50">
                  <c:v>7.2036434612882196</c:v>
                </c:pt>
                <c:pt idx="51">
                  <c:v>3.82042940793754</c:v>
                </c:pt>
                <c:pt idx="52">
                  <c:v>4.1431359791802196</c:v>
                </c:pt>
                <c:pt idx="53">
                  <c:v>4.90305790500976</c:v>
                </c:pt>
                <c:pt idx="54">
                  <c:v>7.5679895901106002</c:v>
                </c:pt>
                <c:pt idx="55">
                  <c:v>7.5783994795055296</c:v>
                </c:pt>
                <c:pt idx="56">
                  <c:v>9.8789850357839892</c:v>
                </c:pt>
                <c:pt idx="57">
                  <c:v>10.1808718282368</c:v>
                </c:pt>
                <c:pt idx="58">
                  <c:v>9.9726740403383207</c:v>
                </c:pt>
                <c:pt idx="59">
                  <c:v>11.9713728041639</c:v>
                </c:pt>
                <c:pt idx="60">
                  <c:v>11.638256343526299</c:v>
                </c:pt>
                <c:pt idx="61">
                  <c:v>13.220559531554899</c:v>
                </c:pt>
                <c:pt idx="62">
                  <c:v>12.6271958360442</c:v>
                </c:pt>
                <c:pt idx="63">
                  <c:v>12.9394925178919</c:v>
                </c:pt>
                <c:pt idx="64">
                  <c:v>13.459986987638199</c:v>
                </c:pt>
                <c:pt idx="65">
                  <c:v>8.0676642810670103</c:v>
                </c:pt>
                <c:pt idx="66">
                  <c:v>7.78659726740403</c:v>
                </c:pt>
                <c:pt idx="67">
                  <c:v>7.8074170461938799</c:v>
                </c:pt>
                <c:pt idx="68">
                  <c:v>10.1912817176317</c:v>
                </c:pt>
                <c:pt idx="69">
                  <c:v>9.9518542615484709</c:v>
                </c:pt>
                <c:pt idx="70">
                  <c:v>9.9934938191281706</c:v>
                </c:pt>
                <c:pt idx="71">
                  <c:v>12.2524398178269</c:v>
                </c:pt>
                <c:pt idx="72">
                  <c:v>12.0130123617436</c:v>
                </c:pt>
                <c:pt idx="73">
                  <c:v>12.2940793754066</c:v>
                </c:pt>
                <c:pt idx="74">
                  <c:v>7.8698763825634304</c:v>
                </c:pt>
                <c:pt idx="75">
                  <c:v>7.7033181522446297</c:v>
                </c:pt>
                <c:pt idx="76">
                  <c:v>8.16135328562134</c:v>
                </c:pt>
                <c:pt idx="77">
                  <c:v>9.7124268054651903</c:v>
                </c:pt>
                <c:pt idx="78">
                  <c:v>10.1080026024723</c:v>
                </c:pt>
                <c:pt idx="79">
                  <c:v>11.929733246584201</c:v>
                </c:pt>
                <c:pt idx="80">
                  <c:v>12.2836694860117</c:v>
                </c:pt>
                <c:pt idx="81">
                  <c:v>11.81522446324</c:v>
                </c:pt>
              </c:numCache>
            </c:numRef>
          </c:xVal>
          <c:yVal>
            <c:numRef>
              <c:f>'van Passen vs Cui'!$B$2:$B$83</c:f>
              <c:numCache>
                <c:formatCode>0.00</c:formatCode>
                <c:ptCount val="82"/>
                <c:pt idx="0">
                  <c:v>700</c:v>
                </c:pt>
                <c:pt idx="1">
                  <c:v>900</c:v>
                </c:pt>
                <c:pt idx="2">
                  <c:v>2100</c:v>
                </c:pt>
                <c:pt idx="3">
                  <c:v>1200</c:v>
                </c:pt>
                <c:pt idx="4">
                  <c:v>1500</c:v>
                </c:pt>
                <c:pt idx="5">
                  <c:v>1700</c:v>
                </c:pt>
                <c:pt idx="6">
                  <c:v>1000</c:v>
                </c:pt>
                <c:pt idx="7">
                  <c:v>1300</c:v>
                </c:pt>
                <c:pt idx="8">
                  <c:v>2200</c:v>
                </c:pt>
                <c:pt idx="9">
                  <c:v>2300</c:v>
                </c:pt>
                <c:pt idx="10">
                  <c:v>900</c:v>
                </c:pt>
                <c:pt idx="11">
                  <c:v>1300</c:v>
                </c:pt>
                <c:pt idx="12">
                  <c:v>2300</c:v>
                </c:pt>
                <c:pt idx="13">
                  <c:v>1600</c:v>
                </c:pt>
                <c:pt idx="14">
                  <c:v>1900</c:v>
                </c:pt>
                <c:pt idx="15">
                  <c:v>1700</c:v>
                </c:pt>
                <c:pt idx="16">
                  <c:v>4200</c:v>
                </c:pt>
                <c:pt idx="17">
                  <c:v>1700</c:v>
                </c:pt>
                <c:pt idx="18">
                  <c:v>2300</c:v>
                </c:pt>
                <c:pt idx="19">
                  <c:v>2000</c:v>
                </c:pt>
                <c:pt idx="20">
                  <c:v>2700</c:v>
                </c:pt>
                <c:pt idx="21">
                  <c:v>3800</c:v>
                </c:pt>
                <c:pt idx="22">
                  <c:v>4000</c:v>
                </c:pt>
                <c:pt idx="23">
                  <c:v>2900</c:v>
                </c:pt>
                <c:pt idx="24">
                  <c:v>3800</c:v>
                </c:pt>
                <c:pt idx="25">
                  <c:v>4200</c:v>
                </c:pt>
                <c:pt idx="26">
                  <c:v>2500</c:v>
                </c:pt>
                <c:pt idx="27">
                  <c:v>7600</c:v>
                </c:pt>
                <c:pt idx="28">
                  <c:v>6000</c:v>
                </c:pt>
                <c:pt idx="29">
                  <c:v>4000</c:v>
                </c:pt>
                <c:pt idx="30">
                  <c:v>6200</c:v>
                </c:pt>
                <c:pt idx="31">
                  <c:v>8000</c:v>
                </c:pt>
                <c:pt idx="32">
                  <c:v>2700</c:v>
                </c:pt>
                <c:pt idx="33">
                  <c:v>4700</c:v>
                </c:pt>
                <c:pt idx="34">
                  <c:v>4900</c:v>
                </c:pt>
                <c:pt idx="35">
                  <c:v>8600</c:v>
                </c:pt>
                <c:pt idx="36">
                  <c:v>5900</c:v>
                </c:pt>
                <c:pt idx="37">
                  <c:v>12400</c:v>
                </c:pt>
                <c:pt idx="38">
                  <c:v>5800</c:v>
                </c:pt>
                <c:pt idx="39">
                  <c:v>4.8426150121067604</c:v>
                </c:pt>
                <c:pt idx="40">
                  <c:v>5.6497175141243998</c:v>
                </c:pt>
                <c:pt idx="41">
                  <c:v>16.9491525423729</c:v>
                </c:pt>
                <c:pt idx="42">
                  <c:v>21.791767554479499</c:v>
                </c:pt>
                <c:pt idx="43">
                  <c:v>27.4414850686039</c:v>
                </c:pt>
                <c:pt idx="44">
                  <c:v>38.7409200968522</c:v>
                </c:pt>
                <c:pt idx="45">
                  <c:v>58.111380145278503</c:v>
                </c:pt>
                <c:pt idx="46">
                  <c:v>30.669895076674901</c:v>
                </c:pt>
                <c:pt idx="47">
                  <c:v>45.197740112994502</c:v>
                </c:pt>
                <c:pt idx="48">
                  <c:v>58.111380145278503</c:v>
                </c:pt>
                <c:pt idx="49">
                  <c:v>92.009685230024104</c:v>
                </c:pt>
                <c:pt idx="50">
                  <c:v>77.481840193704599</c:v>
                </c:pt>
                <c:pt idx="51">
                  <c:v>118.64406779661</c:v>
                </c:pt>
                <c:pt idx="52">
                  <c:v>127.522195318805</c:v>
                </c:pt>
                <c:pt idx="53">
                  <c:v>121.872477804681</c:v>
                </c:pt>
                <c:pt idx="54">
                  <c:v>238.902340597256</c:v>
                </c:pt>
                <c:pt idx="55">
                  <c:v>207.42534301856301</c:v>
                </c:pt>
                <c:pt idx="56">
                  <c:v>305.08474576271101</c:v>
                </c:pt>
                <c:pt idx="57">
                  <c:v>322.84100080710198</c:v>
                </c:pt>
                <c:pt idx="58">
                  <c:v>393.05891848264702</c:v>
                </c:pt>
                <c:pt idx="59">
                  <c:v>516.54560129136405</c:v>
                </c:pt>
                <c:pt idx="60">
                  <c:v>480.22598870056498</c:v>
                </c:pt>
                <c:pt idx="61">
                  <c:v>519.77401129943496</c:v>
                </c:pt>
                <c:pt idx="62">
                  <c:v>429.37853107344603</c:v>
                </c:pt>
                <c:pt idx="63">
                  <c:v>727.19935431799797</c:v>
                </c:pt>
                <c:pt idx="64">
                  <c:v>870.05649717514098</c:v>
                </c:pt>
                <c:pt idx="65">
                  <c:v>154.963680387409</c:v>
                </c:pt>
                <c:pt idx="66">
                  <c:v>191.28329297820801</c:v>
                </c:pt>
                <c:pt idx="67">
                  <c:v>247.780468119451</c:v>
                </c:pt>
                <c:pt idx="68">
                  <c:v>333.33333333333297</c:v>
                </c:pt>
                <c:pt idx="69">
                  <c:v>364.81033091202499</c:v>
                </c:pt>
                <c:pt idx="70">
                  <c:v>478.61178369652902</c:v>
                </c:pt>
                <c:pt idx="71">
                  <c:v>660.20984665052401</c:v>
                </c:pt>
                <c:pt idx="72">
                  <c:v>721.54963680387402</c:v>
                </c:pt>
                <c:pt idx="73">
                  <c:v>854.72154963680396</c:v>
                </c:pt>
                <c:pt idx="74">
                  <c:v>129.13640032284101</c:v>
                </c:pt>
                <c:pt idx="75">
                  <c:v>150.92816787731999</c:v>
                </c:pt>
                <c:pt idx="76">
                  <c:v>213.882163034705</c:v>
                </c:pt>
                <c:pt idx="77">
                  <c:v>309.927360774818</c:v>
                </c:pt>
                <c:pt idx="78">
                  <c:v>318.80548829701303</c:v>
                </c:pt>
                <c:pt idx="79">
                  <c:v>482.64729620661802</c:v>
                </c:pt>
                <c:pt idx="80">
                  <c:v>728.00645682001596</c:v>
                </c:pt>
                <c:pt idx="81">
                  <c:v>900.72639225181604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940-4136-B90C-57CA881C2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5526816"/>
        <c:axId val="147552921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Van Paassen (2010)</c:v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1"/>
                      </a:solidFill>
                      <a:prstDash val="solid"/>
                    </a:ln>
                    <a:effectLst/>
                  </c:spPr>
                  <c:trendlineType val="power"/>
                  <c:dispRSqr val="1"/>
                  <c:dispEq val="1"/>
                  <c:trendlineLbl>
                    <c:layout>
                      <c:manualLayout>
                        <c:x val="3.6254470781825845E-3"/>
                        <c:y val="0.14441257756687698"/>
                      </c:manualLayout>
                    </c:layout>
                    <c:numFmt formatCode="General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1200" b="1" i="0" u="none" strike="noStrike" kern="1200" baseline="0">
                            <a:solidFill>
                              <a:sysClr val="windowText" lastClr="000000"/>
                            </a:solidFill>
                            <a:latin typeface="Times New Roman" panose="02020603050405020304" pitchFamily="18" charset="0"/>
                            <a:ea typeface="+mn-ea"/>
                            <a:cs typeface="Times New Roman" panose="02020603050405020304" pitchFamily="18" charset="0"/>
                          </a:defRPr>
                        </a:pPr>
                        <a:endParaRPr lang="en-US"/>
                      </a:p>
                    </c:txPr>
                  </c:trendlineLbl>
                </c:trendline>
                <c:xVal>
                  <c:numRef>
                    <c:extLst>
                      <c:ext uri="{02D57815-91ED-43cb-92C2-25804820EDAC}">
                        <c15:formulaRef>
                          <c15:sqref>'van Passen vs Cui'!$A$2:$A$40</c15:sqref>
                        </c15:formulaRef>
                      </c:ext>
                    </c:extLst>
                    <c:numCache>
                      <c:formatCode>0.00</c:formatCode>
                      <c:ptCount val="39"/>
                      <c:pt idx="0">
                        <c:v>12.6</c:v>
                      </c:pt>
                      <c:pt idx="1">
                        <c:v>13.2</c:v>
                      </c:pt>
                      <c:pt idx="2">
                        <c:v>13.8</c:v>
                      </c:pt>
                      <c:pt idx="3">
                        <c:v>14</c:v>
                      </c:pt>
                      <c:pt idx="4">
                        <c:v>14.6</c:v>
                      </c:pt>
                      <c:pt idx="5">
                        <c:v>14</c:v>
                      </c:pt>
                      <c:pt idx="6">
                        <c:v>14.5</c:v>
                      </c:pt>
                      <c:pt idx="7">
                        <c:v>14.5</c:v>
                      </c:pt>
                      <c:pt idx="8">
                        <c:v>14.5</c:v>
                      </c:pt>
                      <c:pt idx="9">
                        <c:v>14.8</c:v>
                      </c:pt>
                      <c:pt idx="10">
                        <c:v>15.5</c:v>
                      </c:pt>
                      <c:pt idx="11">
                        <c:v>15.8</c:v>
                      </c:pt>
                      <c:pt idx="12">
                        <c:v>16.3</c:v>
                      </c:pt>
                      <c:pt idx="13">
                        <c:v>16.8</c:v>
                      </c:pt>
                      <c:pt idx="14">
                        <c:v>16.8</c:v>
                      </c:pt>
                      <c:pt idx="15">
                        <c:v>17.5</c:v>
                      </c:pt>
                      <c:pt idx="16">
                        <c:v>17.5</c:v>
                      </c:pt>
                      <c:pt idx="17">
                        <c:v>18.600000000000001</c:v>
                      </c:pt>
                      <c:pt idx="18">
                        <c:v>19.100000000000001</c:v>
                      </c:pt>
                      <c:pt idx="19">
                        <c:v>20.3</c:v>
                      </c:pt>
                      <c:pt idx="20">
                        <c:v>20.3</c:v>
                      </c:pt>
                      <c:pt idx="21">
                        <c:v>20</c:v>
                      </c:pt>
                      <c:pt idx="22">
                        <c:v>20.3</c:v>
                      </c:pt>
                      <c:pt idx="23">
                        <c:v>20.5</c:v>
                      </c:pt>
                      <c:pt idx="24">
                        <c:v>21.4</c:v>
                      </c:pt>
                      <c:pt idx="25">
                        <c:v>22.5</c:v>
                      </c:pt>
                      <c:pt idx="26">
                        <c:v>23.4</c:v>
                      </c:pt>
                      <c:pt idx="27">
                        <c:v>22.6</c:v>
                      </c:pt>
                      <c:pt idx="28">
                        <c:v>23.2</c:v>
                      </c:pt>
                      <c:pt idx="29">
                        <c:v>23.1</c:v>
                      </c:pt>
                      <c:pt idx="30">
                        <c:v>23.2</c:v>
                      </c:pt>
                      <c:pt idx="31">
                        <c:v>23.8</c:v>
                      </c:pt>
                      <c:pt idx="32">
                        <c:v>24.7</c:v>
                      </c:pt>
                      <c:pt idx="33">
                        <c:v>24.8</c:v>
                      </c:pt>
                      <c:pt idx="34">
                        <c:v>26.2</c:v>
                      </c:pt>
                      <c:pt idx="35">
                        <c:v>25.6</c:v>
                      </c:pt>
                      <c:pt idx="36">
                        <c:v>25.2</c:v>
                      </c:pt>
                      <c:pt idx="37">
                        <c:v>24.8</c:v>
                      </c:pt>
                      <c:pt idx="38">
                        <c:v>27.3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'van Passen vs Cui'!$B$2:$B$40</c15:sqref>
                        </c15:formulaRef>
                      </c:ext>
                    </c:extLst>
                    <c:numCache>
                      <c:formatCode>0.00</c:formatCode>
                      <c:ptCount val="39"/>
                      <c:pt idx="0">
                        <c:v>700</c:v>
                      </c:pt>
                      <c:pt idx="1">
                        <c:v>900</c:v>
                      </c:pt>
                      <c:pt idx="2">
                        <c:v>2100</c:v>
                      </c:pt>
                      <c:pt idx="3">
                        <c:v>1200</c:v>
                      </c:pt>
                      <c:pt idx="4">
                        <c:v>1500</c:v>
                      </c:pt>
                      <c:pt idx="5">
                        <c:v>1700</c:v>
                      </c:pt>
                      <c:pt idx="6">
                        <c:v>1000</c:v>
                      </c:pt>
                      <c:pt idx="7">
                        <c:v>1300</c:v>
                      </c:pt>
                      <c:pt idx="8">
                        <c:v>2200</c:v>
                      </c:pt>
                      <c:pt idx="9">
                        <c:v>2300</c:v>
                      </c:pt>
                      <c:pt idx="10">
                        <c:v>900</c:v>
                      </c:pt>
                      <c:pt idx="11">
                        <c:v>1300</c:v>
                      </c:pt>
                      <c:pt idx="12">
                        <c:v>2300</c:v>
                      </c:pt>
                      <c:pt idx="13">
                        <c:v>1600</c:v>
                      </c:pt>
                      <c:pt idx="14">
                        <c:v>1900</c:v>
                      </c:pt>
                      <c:pt idx="15">
                        <c:v>1700</c:v>
                      </c:pt>
                      <c:pt idx="16">
                        <c:v>4200</c:v>
                      </c:pt>
                      <c:pt idx="17">
                        <c:v>1700</c:v>
                      </c:pt>
                      <c:pt idx="18">
                        <c:v>2300</c:v>
                      </c:pt>
                      <c:pt idx="19">
                        <c:v>2000</c:v>
                      </c:pt>
                      <c:pt idx="20">
                        <c:v>2700</c:v>
                      </c:pt>
                      <c:pt idx="21">
                        <c:v>3800</c:v>
                      </c:pt>
                      <c:pt idx="22">
                        <c:v>4000</c:v>
                      </c:pt>
                      <c:pt idx="23">
                        <c:v>2900</c:v>
                      </c:pt>
                      <c:pt idx="24">
                        <c:v>3800</c:v>
                      </c:pt>
                      <c:pt idx="25">
                        <c:v>4200</c:v>
                      </c:pt>
                      <c:pt idx="26">
                        <c:v>2500</c:v>
                      </c:pt>
                      <c:pt idx="27">
                        <c:v>7600</c:v>
                      </c:pt>
                      <c:pt idx="28">
                        <c:v>6000</c:v>
                      </c:pt>
                      <c:pt idx="29">
                        <c:v>4000</c:v>
                      </c:pt>
                      <c:pt idx="30">
                        <c:v>6200</c:v>
                      </c:pt>
                      <c:pt idx="31">
                        <c:v>8000</c:v>
                      </c:pt>
                      <c:pt idx="32">
                        <c:v>2700</c:v>
                      </c:pt>
                      <c:pt idx="33">
                        <c:v>4700</c:v>
                      </c:pt>
                      <c:pt idx="34">
                        <c:v>4900</c:v>
                      </c:pt>
                      <c:pt idx="35">
                        <c:v>8600</c:v>
                      </c:pt>
                      <c:pt idx="36">
                        <c:v>5900</c:v>
                      </c:pt>
                      <c:pt idx="37">
                        <c:v>12400</c:v>
                      </c:pt>
                      <c:pt idx="38">
                        <c:v>5800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59DD-4A91-B352-66779359F7A3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Cui (2024)</c:v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2"/>
                      </a:solidFill>
                      <a:prstDash val="solid"/>
                    </a:ln>
                    <a:effectLst/>
                  </c:spPr>
                  <c:trendlineType val="power"/>
                  <c:dispRSqr val="1"/>
                  <c:dispEq val="1"/>
                  <c:trendlineLbl>
                    <c:layout>
                      <c:manualLayout>
                        <c:x val="-5.7940201712704129E-2"/>
                        <c:y val="-0.22211814206796365"/>
                      </c:manualLayout>
                    </c:layout>
                    <c:numFmt formatCode="General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1200" b="1" i="0" u="none" strike="noStrike" kern="1200" baseline="0">
                            <a:solidFill>
                              <a:sysClr val="windowText" lastClr="000000"/>
                            </a:solidFill>
                            <a:latin typeface="Times New Roman" panose="02020603050405020304" pitchFamily="18" charset="0"/>
                            <a:ea typeface="+mn-ea"/>
                            <a:cs typeface="Times New Roman" panose="02020603050405020304" pitchFamily="18" charset="0"/>
                          </a:defRPr>
                        </a:pPr>
                        <a:endParaRPr lang="en-US"/>
                      </a:p>
                    </c:txPr>
                  </c:trendlineLbl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'van Passen vs Cui'!$A$41:$A$83</c15:sqref>
                        </c15:formulaRef>
                      </c:ext>
                    </c:extLst>
                    <c:numCache>
                      <c:formatCode>0.00</c:formatCode>
                      <c:ptCount val="43"/>
                      <c:pt idx="0">
                        <c:v>1.0201691607026599</c:v>
                      </c:pt>
                      <c:pt idx="1">
                        <c:v>1.5510735198438499</c:v>
                      </c:pt>
                      <c:pt idx="2">
                        <c:v>2.6441119063109899</c:v>
                      </c:pt>
                      <c:pt idx="3">
                        <c:v>3.38321405335068</c:v>
                      </c:pt>
                      <c:pt idx="4">
                        <c:v>4.5178919973975296</c:v>
                      </c:pt>
                      <c:pt idx="5">
                        <c:v>5.17371502927781</c:v>
                      </c:pt>
                      <c:pt idx="6">
                        <c:v>5.8295380611581002</c:v>
                      </c:pt>
                      <c:pt idx="7">
                        <c:v>6.91216655823031</c:v>
                      </c:pt>
                      <c:pt idx="8">
                        <c:v>6.6206896551724101</c:v>
                      </c:pt>
                      <c:pt idx="9">
                        <c:v>6.5270006506180804</c:v>
                      </c:pt>
                      <c:pt idx="10">
                        <c:v>6.46454131424853</c:v>
                      </c:pt>
                      <c:pt idx="11">
                        <c:v>7.2036434612882196</c:v>
                      </c:pt>
                      <c:pt idx="12">
                        <c:v>3.82042940793754</c:v>
                      </c:pt>
                      <c:pt idx="13">
                        <c:v>4.1431359791802196</c:v>
                      </c:pt>
                      <c:pt idx="14">
                        <c:v>4.90305790500976</c:v>
                      </c:pt>
                      <c:pt idx="15">
                        <c:v>7.5679895901106002</c:v>
                      </c:pt>
                      <c:pt idx="16">
                        <c:v>7.5783994795055296</c:v>
                      </c:pt>
                      <c:pt idx="17">
                        <c:v>9.8789850357839892</c:v>
                      </c:pt>
                      <c:pt idx="18">
                        <c:v>10.1808718282368</c:v>
                      </c:pt>
                      <c:pt idx="19">
                        <c:v>9.9726740403383207</c:v>
                      </c:pt>
                      <c:pt idx="20">
                        <c:v>11.9713728041639</c:v>
                      </c:pt>
                      <c:pt idx="21">
                        <c:v>11.638256343526299</c:v>
                      </c:pt>
                      <c:pt idx="22">
                        <c:v>13.220559531554899</c:v>
                      </c:pt>
                      <c:pt idx="23">
                        <c:v>12.6271958360442</c:v>
                      </c:pt>
                      <c:pt idx="24">
                        <c:v>12.9394925178919</c:v>
                      </c:pt>
                      <c:pt idx="25">
                        <c:v>13.459986987638199</c:v>
                      </c:pt>
                      <c:pt idx="26">
                        <c:v>8.0676642810670103</c:v>
                      </c:pt>
                      <c:pt idx="27">
                        <c:v>7.78659726740403</c:v>
                      </c:pt>
                      <c:pt idx="28">
                        <c:v>7.8074170461938799</c:v>
                      </c:pt>
                      <c:pt idx="29">
                        <c:v>10.1912817176317</c:v>
                      </c:pt>
                      <c:pt idx="30">
                        <c:v>9.9518542615484709</c:v>
                      </c:pt>
                      <c:pt idx="31">
                        <c:v>9.9934938191281706</c:v>
                      </c:pt>
                      <c:pt idx="32">
                        <c:v>12.2524398178269</c:v>
                      </c:pt>
                      <c:pt idx="33">
                        <c:v>12.0130123617436</c:v>
                      </c:pt>
                      <c:pt idx="34">
                        <c:v>12.2940793754066</c:v>
                      </c:pt>
                      <c:pt idx="35">
                        <c:v>7.8698763825634304</c:v>
                      </c:pt>
                      <c:pt idx="36">
                        <c:v>7.7033181522446297</c:v>
                      </c:pt>
                      <c:pt idx="37">
                        <c:v>8.16135328562134</c:v>
                      </c:pt>
                      <c:pt idx="38">
                        <c:v>9.7124268054651903</c:v>
                      </c:pt>
                      <c:pt idx="39">
                        <c:v>10.1080026024723</c:v>
                      </c:pt>
                      <c:pt idx="40">
                        <c:v>11.929733246584201</c:v>
                      </c:pt>
                      <c:pt idx="41">
                        <c:v>12.2836694860117</c:v>
                      </c:pt>
                      <c:pt idx="42">
                        <c:v>11.81522446324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'van Passen vs Cui'!$B$41:$B$83</c15:sqref>
                        </c15:formulaRef>
                      </c:ext>
                    </c:extLst>
                    <c:numCache>
                      <c:formatCode>0.00</c:formatCode>
                      <c:ptCount val="43"/>
                      <c:pt idx="0">
                        <c:v>4.8426150121067604</c:v>
                      </c:pt>
                      <c:pt idx="1">
                        <c:v>5.6497175141243998</c:v>
                      </c:pt>
                      <c:pt idx="2">
                        <c:v>16.9491525423729</c:v>
                      </c:pt>
                      <c:pt idx="3">
                        <c:v>21.791767554479499</c:v>
                      </c:pt>
                      <c:pt idx="4">
                        <c:v>27.4414850686039</c:v>
                      </c:pt>
                      <c:pt idx="5">
                        <c:v>38.7409200968522</c:v>
                      </c:pt>
                      <c:pt idx="6">
                        <c:v>58.111380145278503</c:v>
                      </c:pt>
                      <c:pt idx="7">
                        <c:v>30.669895076674901</c:v>
                      </c:pt>
                      <c:pt idx="8">
                        <c:v>45.197740112994502</c:v>
                      </c:pt>
                      <c:pt idx="9">
                        <c:v>58.111380145278503</c:v>
                      </c:pt>
                      <c:pt idx="10">
                        <c:v>92.009685230024104</c:v>
                      </c:pt>
                      <c:pt idx="11">
                        <c:v>77.481840193704599</c:v>
                      </c:pt>
                      <c:pt idx="12">
                        <c:v>118.64406779661</c:v>
                      </c:pt>
                      <c:pt idx="13">
                        <c:v>127.522195318805</c:v>
                      </c:pt>
                      <c:pt idx="14">
                        <c:v>121.872477804681</c:v>
                      </c:pt>
                      <c:pt idx="15">
                        <c:v>238.902340597256</c:v>
                      </c:pt>
                      <c:pt idx="16">
                        <c:v>207.42534301856301</c:v>
                      </c:pt>
                      <c:pt idx="17">
                        <c:v>305.08474576271101</c:v>
                      </c:pt>
                      <c:pt idx="18">
                        <c:v>322.84100080710198</c:v>
                      </c:pt>
                      <c:pt idx="19">
                        <c:v>393.05891848264702</c:v>
                      </c:pt>
                      <c:pt idx="20">
                        <c:v>516.54560129136405</c:v>
                      </c:pt>
                      <c:pt idx="21">
                        <c:v>480.22598870056498</c:v>
                      </c:pt>
                      <c:pt idx="22">
                        <c:v>519.77401129943496</c:v>
                      </c:pt>
                      <c:pt idx="23">
                        <c:v>429.37853107344603</c:v>
                      </c:pt>
                      <c:pt idx="24">
                        <c:v>727.19935431799797</c:v>
                      </c:pt>
                      <c:pt idx="25">
                        <c:v>870.05649717514098</c:v>
                      </c:pt>
                      <c:pt idx="26">
                        <c:v>154.963680387409</c:v>
                      </c:pt>
                      <c:pt idx="27">
                        <c:v>191.28329297820801</c:v>
                      </c:pt>
                      <c:pt idx="28">
                        <c:v>247.780468119451</c:v>
                      </c:pt>
                      <c:pt idx="29">
                        <c:v>333.33333333333297</c:v>
                      </c:pt>
                      <c:pt idx="30">
                        <c:v>364.81033091202499</c:v>
                      </c:pt>
                      <c:pt idx="31">
                        <c:v>478.61178369652902</c:v>
                      </c:pt>
                      <c:pt idx="32">
                        <c:v>660.20984665052401</c:v>
                      </c:pt>
                      <c:pt idx="33">
                        <c:v>721.54963680387402</c:v>
                      </c:pt>
                      <c:pt idx="34">
                        <c:v>854.72154963680396</c:v>
                      </c:pt>
                      <c:pt idx="35">
                        <c:v>129.13640032284101</c:v>
                      </c:pt>
                      <c:pt idx="36">
                        <c:v>150.92816787731999</c:v>
                      </c:pt>
                      <c:pt idx="37">
                        <c:v>213.882163034705</c:v>
                      </c:pt>
                      <c:pt idx="38">
                        <c:v>309.927360774818</c:v>
                      </c:pt>
                      <c:pt idx="39">
                        <c:v>318.80548829701303</c:v>
                      </c:pt>
                      <c:pt idx="40">
                        <c:v>482.64729620661802</c:v>
                      </c:pt>
                      <c:pt idx="41">
                        <c:v>728.00645682001596</c:v>
                      </c:pt>
                      <c:pt idx="42">
                        <c:v>900.72639225181604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0F0-409F-974A-AC4D48FC02AB}"/>
                  </c:ext>
                </c:extLst>
              </c15:ser>
            </c15:filteredScatterSeries>
          </c:ext>
        </c:extLst>
      </c:scatterChart>
      <c:valAx>
        <c:axId val="1475526816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Carbonate Content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cross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75529216"/>
        <c:crosses val="autoZero"/>
        <c:crossBetween val="midCat"/>
      </c:valAx>
      <c:valAx>
        <c:axId val="147552921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Unconfined Copressive Strength (kPa)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cross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75526816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CCC vs Permeability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Permeability!$A$2:$A$245</c:f>
              <c:numCache>
                <c:formatCode>0.00</c:formatCode>
                <c:ptCount val="244"/>
                <c:pt idx="0">
                  <c:v>0</c:v>
                </c:pt>
                <c:pt idx="1">
                  <c:v>0.28785982478097599</c:v>
                </c:pt>
                <c:pt idx="2">
                  <c:v>0.78848560700876003</c:v>
                </c:pt>
                <c:pt idx="3">
                  <c:v>1.32665832290362</c:v>
                </c:pt>
                <c:pt idx="4">
                  <c:v>1.8397997496870999</c:v>
                </c:pt>
                <c:pt idx="5">
                  <c:v>2.3591989987484299</c:v>
                </c:pt>
                <c:pt idx="6">
                  <c:v>2.8911138923654498</c:v>
                </c:pt>
                <c:pt idx="7">
                  <c:v>3.40425531914893</c:v>
                </c:pt>
                <c:pt idx="8">
                  <c:v>3.9236545682102602</c:v>
                </c:pt>
                <c:pt idx="9">
                  <c:v>4.4493116395494301</c:v>
                </c:pt>
                <c:pt idx="10">
                  <c:v>4.9687108886107598</c:v>
                </c:pt>
                <c:pt idx="11">
                  <c:v>5.4881101376720904</c:v>
                </c:pt>
                <c:pt idx="12">
                  <c:v>6.0450563204004997</c:v>
                </c:pt>
                <c:pt idx="13">
                  <c:v>6.5331664580725901</c:v>
                </c:pt>
                <c:pt idx="14">
                  <c:v>7.0588235294117601</c:v>
                </c:pt>
                <c:pt idx="15">
                  <c:v>7.59699624530663</c:v>
                </c:pt>
                <c:pt idx="16">
                  <c:v>1.2515644555694601E-2</c:v>
                </c:pt>
                <c:pt idx="17">
                  <c:v>0.93867334167709604</c:v>
                </c:pt>
                <c:pt idx="18">
                  <c:v>1.2140175219023699</c:v>
                </c:pt>
                <c:pt idx="19">
                  <c:v>1.8397997496870999</c:v>
                </c:pt>
                <c:pt idx="20">
                  <c:v>2.1526908635794699</c:v>
                </c:pt>
                <c:pt idx="21">
                  <c:v>2.4593241551939902</c:v>
                </c:pt>
                <c:pt idx="22">
                  <c:v>2.74718397997496</c:v>
                </c:pt>
                <c:pt idx="23">
                  <c:v>3.07259073842302</c:v>
                </c:pt>
                <c:pt idx="24">
                  <c:v>3.3792240300375398</c:v>
                </c:pt>
                <c:pt idx="25">
                  <c:v>3.68585732165206</c:v>
                </c:pt>
                <c:pt idx="26">
                  <c:v>1.5269086357947399</c:v>
                </c:pt>
                <c:pt idx="27">
                  <c:v>0</c:v>
                </c:pt>
                <c:pt idx="28">
                  <c:v>0.30037546933666998</c:v>
                </c:pt>
                <c:pt idx="29">
                  <c:v>0.61326658322903604</c:v>
                </c:pt>
                <c:pt idx="30">
                  <c:v>1.5394242803504301</c:v>
                </c:pt>
                <c:pt idx="31">
                  <c:v>1.8272841051314099</c:v>
                </c:pt>
                <c:pt idx="32">
                  <c:v>2.1526908635794699</c:v>
                </c:pt>
                <c:pt idx="33">
                  <c:v>2.44055068836045</c:v>
                </c:pt>
                <c:pt idx="34">
                  <c:v>3.07884856070087</c:v>
                </c:pt>
                <c:pt idx="35">
                  <c:v>3.6545682102628199</c:v>
                </c:pt>
                <c:pt idx="36">
                  <c:v>0</c:v>
                </c:pt>
                <c:pt idx="37">
                  <c:v>0.31289111389236501</c:v>
                </c:pt>
                <c:pt idx="38">
                  <c:v>0.61326658322903604</c:v>
                </c:pt>
                <c:pt idx="39">
                  <c:v>0.91364205256570596</c:v>
                </c:pt>
                <c:pt idx="40">
                  <c:v>1.2265331664580701</c:v>
                </c:pt>
                <c:pt idx="41">
                  <c:v>1.5394242803504301</c:v>
                </c:pt>
                <c:pt idx="42">
                  <c:v>1.8397997496870999</c:v>
                </c:pt>
                <c:pt idx="43">
                  <c:v>2.1652065081351601</c:v>
                </c:pt>
                <c:pt idx="44">
                  <c:v>2.4530663329161402</c:v>
                </c:pt>
                <c:pt idx="45">
                  <c:v>2.7909887359198899</c:v>
                </c:pt>
                <c:pt idx="46">
                  <c:v>3.0663329161451802</c:v>
                </c:pt>
                <c:pt idx="47">
                  <c:v>3.3792240300375398</c:v>
                </c:pt>
                <c:pt idx="48">
                  <c:v>3.69211514392991</c:v>
                </c:pt>
                <c:pt idx="49">
                  <c:v>0</c:v>
                </c:pt>
                <c:pt idx="50">
                  <c:v>0.26282853566958603</c:v>
                </c:pt>
                <c:pt idx="51">
                  <c:v>0.78848560700876003</c:v>
                </c:pt>
                <c:pt idx="52">
                  <c:v>0.51939924906132595</c:v>
                </c:pt>
                <c:pt idx="53">
                  <c:v>1.0387984981226499</c:v>
                </c:pt>
                <c:pt idx="54">
                  <c:v>1.30162703379224</c:v>
                </c:pt>
                <c:pt idx="55">
                  <c:v>1.5581977471839701</c:v>
                </c:pt>
                <c:pt idx="56">
                  <c:v>1.8272841051314099</c:v>
                </c:pt>
                <c:pt idx="57">
                  <c:v>2.0838548185231498</c:v>
                </c:pt>
                <c:pt idx="58">
                  <c:v>2.3404255319148901</c:v>
                </c:pt>
                <c:pt idx="59">
                  <c:v>2.59699624530663</c:v>
                </c:pt>
                <c:pt idx="60">
                  <c:v>2.8660826032540601</c:v>
                </c:pt>
                <c:pt idx="61">
                  <c:v>3.1226533166457999</c:v>
                </c:pt>
                <c:pt idx="62">
                  <c:v>0</c:v>
                </c:pt>
                <c:pt idx="63">
                  <c:v>0.25031289111389199</c:v>
                </c:pt>
                <c:pt idx="64">
                  <c:v>0.75719649561952396</c:v>
                </c:pt>
                <c:pt idx="65">
                  <c:v>1.270337922403</c:v>
                </c:pt>
                <c:pt idx="66">
                  <c:v>2.2903629536921102</c:v>
                </c:pt>
                <c:pt idx="67">
                  <c:v>2.7972465581977399</c:v>
                </c:pt>
                <c:pt idx="68">
                  <c:v>3.2978723404255299</c:v>
                </c:pt>
                <c:pt idx="69">
                  <c:v>3.8110137672090101</c:v>
                </c:pt>
                <c:pt idx="70">
                  <c:v>4.3178973717146398</c:v>
                </c:pt>
                <c:pt idx="71">
                  <c:v>4.8310387984981196</c:v>
                </c:pt>
                <c:pt idx="72">
                  <c:v>5.3441802252816002</c:v>
                </c:pt>
                <c:pt idx="73">
                  <c:v>5.84480600750938</c:v>
                </c:pt>
                <c:pt idx="74">
                  <c:v>6.3516896120150097</c:v>
                </c:pt>
                <c:pt idx="75">
                  <c:v>6.8710888610763403</c:v>
                </c:pt>
                <c:pt idx="76">
                  <c:v>7.3717146433041298</c:v>
                </c:pt>
                <c:pt idx="77">
                  <c:v>1.77722152690863</c:v>
                </c:pt>
                <c:pt idx="78">
                  <c:v>0</c:v>
                </c:pt>
                <c:pt idx="79">
                  <c:v>0.181476846057571</c:v>
                </c:pt>
                <c:pt idx="80">
                  <c:v>0.26908635794743302</c:v>
                </c:pt>
                <c:pt idx="81">
                  <c:v>0.27534418022528101</c:v>
                </c:pt>
                <c:pt idx="82">
                  <c:v>0.45056320400500499</c:v>
                </c:pt>
                <c:pt idx="83">
                  <c:v>0.53817271589486804</c:v>
                </c:pt>
                <c:pt idx="84">
                  <c:v>0.63829787234042501</c:v>
                </c:pt>
                <c:pt idx="85">
                  <c:v>0.725907384230288</c:v>
                </c:pt>
                <c:pt idx="86">
                  <c:v>0.81351689612014899</c:v>
                </c:pt>
                <c:pt idx="87">
                  <c:v>0.90112640801001098</c:v>
                </c:pt>
                <c:pt idx="88">
                  <c:v>0.98873591989987397</c:v>
                </c:pt>
                <c:pt idx="89">
                  <c:v>1.0888610763454301</c:v>
                </c:pt>
                <c:pt idx="90">
                  <c:v>1.1702127659574399</c:v>
                </c:pt>
                <c:pt idx="91">
                  <c:v>1.26408010012515</c:v>
                </c:pt>
                <c:pt idx="92">
                  <c:v>0</c:v>
                </c:pt>
                <c:pt idx="93">
                  <c:v>0.26282853566958603</c:v>
                </c:pt>
                <c:pt idx="94">
                  <c:v>0.53817271589486804</c:v>
                </c:pt>
                <c:pt idx="95">
                  <c:v>1.0888610763454301</c:v>
                </c:pt>
                <c:pt idx="96">
                  <c:v>1.3391739674593199</c:v>
                </c:pt>
                <c:pt idx="97">
                  <c:v>0.80100125156445501</c:v>
                </c:pt>
                <c:pt idx="98">
                  <c:v>1.63329161451814</c:v>
                </c:pt>
                <c:pt idx="99">
                  <c:v>1.90237797246558</c:v>
                </c:pt>
                <c:pt idx="100">
                  <c:v>2.1652065081351601</c:v>
                </c:pt>
                <c:pt idx="101">
                  <c:v>2.4217772215269</c:v>
                </c:pt>
                <c:pt idx="102">
                  <c:v>2.7033792240300301</c:v>
                </c:pt>
                <c:pt idx="103">
                  <c:v>2.9787234042553101</c:v>
                </c:pt>
                <c:pt idx="104">
                  <c:v>3.24780976220275</c:v>
                </c:pt>
                <c:pt idx="105">
                  <c:v>0</c:v>
                </c:pt>
                <c:pt idx="106">
                  <c:v>0.17521902377972401</c:v>
                </c:pt>
                <c:pt idx="107">
                  <c:v>0.26908635794743402</c:v>
                </c:pt>
                <c:pt idx="108">
                  <c:v>0.45056320400500499</c:v>
                </c:pt>
                <c:pt idx="109">
                  <c:v>0.63204005006257802</c:v>
                </c:pt>
                <c:pt idx="110">
                  <c:v>0.53817271589486804</c:v>
                </c:pt>
                <c:pt idx="111">
                  <c:v>0.71964956195243901</c:v>
                </c:pt>
                <c:pt idx="112">
                  <c:v>0.98247809762202698</c:v>
                </c:pt>
                <c:pt idx="113">
                  <c:v>1.0826032540675801</c:v>
                </c:pt>
                <c:pt idx="114">
                  <c:v>1.26408010012515</c:v>
                </c:pt>
                <c:pt idx="115">
                  <c:v>0.807259073842303</c:v>
                </c:pt>
                <c:pt idx="116">
                  <c:v>0.90112640801001098</c:v>
                </c:pt>
                <c:pt idx="117">
                  <c:v>1.1702127659574399</c:v>
                </c:pt>
                <c:pt idx="118">
                  <c:v>0.362953692115143</c:v>
                </c:pt>
                <c:pt idx="119">
                  <c:v>0</c:v>
                </c:pt>
                <c:pt idx="120">
                  <c:v>0.30663329161451802</c:v>
                </c:pt>
                <c:pt idx="121">
                  <c:v>0.91989987484355296</c:v>
                </c:pt>
                <c:pt idx="122">
                  <c:v>1.5331664580725901</c:v>
                </c:pt>
                <c:pt idx="123">
                  <c:v>2.1464330413016199</c:v>
                </c:pt>
                <c:pt idx="124">
                  <c:v>2.75344180225281</c:v>
                </c:pt>
                <c:pt idx="125">
                  <c:v>3.36670838548185</c:v>
                </c:pt>
                <c:pt idx="126">
                  <c:v>3.9924906132665798</c:v>
                </c:pt>
                <c:pt idx="127">
                  <c:v>4.6120150187734597</c:v>
                </c:pt>
                <c:pt idx="128">
                  <c:v>5.2252816020025001</c:v>
                </c:pt>
                <c:pt idx="129">
                  <c:v>5.8260325406758398</c:v>
                </c:pt>
                <c:pt idx="130">
                  <c:v>6.4518147684605696</c:v>
                </c:pt>
                <c:pt idx="131">
                  <c:v>7.0525657071339101</c:v>
                </c:pt>
                <c:pt idx="132">
                  <c:v>7.6783479349186399</c:v>
                </c:pt>
                <c:pt idx="133">
                  <c:v>8.2853566958698295</c:v>
                </c:pt>
                <c:pt idx="134">
                  <c:v>8.89236545682102</c:v>
                </c:pt>
                <c:pt idx="135">
                  <c:v>0.25220680958385899</c:v>
                </c:pt>
                <c:pt idx="136">
                  <c:v>0.51071878940731397</c:v>
                </c:pt>
                <c:pt idx="137">
                  <c:v>0.76923076923076905</c:v>
                </c:pt>
                <c:pt idx="138">
                  <c:v>1.0277427490542199</c:v>
                </c:pt>
                <c:pt idx="139">
                  <c:v>1.28625472887767</c:v>
                </c:pt>
                <c:pt idx="140">
                  <c:v>1.5384615384615301</c:v>
                </c:pt>
                <c:pt idx="141">
                  <c:v>1.79697351828499</c:v>
                </c:pt>
                <c:pt idx="142">
                  <c:v>0</c:v>
                </c:pt>
                <c:pt idx="143">
                  <c:v>0.89533417402269899</c:v>
                </c:pt>
                <c:pt idx="144">
                  <c:v>1.79697351828499</c:v>
                </c:pt>
                <c:pt idx="145">
                  <c:v>2.6923076923076898</c:v>
                </c:pt>
                <c:pt idx="146">
                  <c:v>3.58764186633038</c:v>
                </c:pt>
                <c:pt idx="147">
                  <c:v>4.4829760403530896</c:v>
                </c:pt>
                <c:pt idx="148">
                  <c:v>5.3846153846153797</c:v>
                </c:pt>
                <c:pt idx="149">
                  <c:v>6.2862547288776698</c:v>
                </c:pt>
                <c:pt idx="150">
                  <c:v>0.92686002522068101</c:v>
                </c:pt>
                <c:pt idx="151">
                  <c:v>1.5447667087011301</c:v>
                </c:pt>
                <c:pt idx="152">
                  <c:v>2.1626733921815799</c:v>
                </c:pt>
                <c:pt idx="153">
                  <c:v>2.79949558638083</c:v>
                </c:pt>
                <c:pt idx="154">
                  <c:v>3.41740226986128</c:v>
                </c:pt>
                <c:pt idx="155">
                  <c:v>4.0290037831021399</c:v>
                </c:pt>
                <c:pt idx="156">
                  <c:v>4.65321563682219</c:v>
                </c:pt>
                <c:pt idx="157">
                  <c:v>0</c:v>
                </c:pt>
                <c:pt idx="158">
                  <c:v>1.0214375788146199</c:v>
                </c:pt>
                <c:pt idx="159">
                  <c:v>2.0554854981084398</c:v>
                </c:pt>
                <c:pt idx="160">
                  <c:v>3.07692307692307</c:v>
                </c:pt>
                <c:pt idx="161">
                  <c:v>4.1109709962169001</c:v>
                </c:pt>
                <c:pt idx="162">
                  <c:v>5.1450189155107102</c:v>
                </c:pt>
                <c:pt idx="163">
                  <c:v>6.1664564943253399</c:v>
                </c:pt>
                <c:pt idx="164">
                  <c:v>7.2005044136191598</c:v>
                </c:pt>
                <c:pt idx="165">
                  <c:v>0</c:v>
                </c:pt>
                <c:pt idx="166">
                  <c:v>0.30264817150063</c:v>
                </c:pt>
                <c:pt idx="167">
                  <c:v>0.60529634300126001</c:v>
                </c:pt>
                <c:pt idx="168">
                  <c:v>0.91424968474148705</c:v>
                </c:pt>
                <c:pt idx="169">
                  <c:v>1.22320302648171</c:v>
                </c:pt>
                <c:pt idx="170">
                  <c:v>1.5258511979823399</c:v>
                </c:pt>
                <c:pt idx="171">
                  <c:v>1.8348045397225701</c:v>
                </c:pt>
                <c:pt idx="172">
                  <c:v>2.1437578814628</c:v>
                </c:pt>
                <c:pt idx="173">
                  <c:v>0</c:v>
                </c:pt>
                <c:pt idx="174">
                  <c:v>6.3051702395964596E-2</c:v>
                </c:pt>
                <c:pt idx="175">
                  <c:v>0.13871374527112201</c:v>
                </c:pt>
                <c:pt idx="176">
                  <c:v>0.20807061790668399</c:v>
                </c:pt>
                <c:pt idx="177">
                  <c:v>0.27742749054224503</c:v>
                </c:pt>
                <c:pt idx="178">
                  <c:v>0.35308953341740301</c:v>
                </c:pt>
                <c:pt idx="179">
                  <c:v>0.41614123581336698</c:v>
                </c:pt>
                <c:pt idx="180">
                  <c:v>0.49180327868852303</c:v>
                </c:pt>
                <c:pt idx="181">
                  <c:v>0.56116015132408703</c:v>
                </c:pt>
                <c:pt idx="182">
                  <c:v>0.63682219419924202</c:v>
                </c:pt>
                <c:pt idx="183">
                  <c:v>0.70617906683480502</c:v>
                </c:pt>
                <c:pt idx="184">
                  <c:v>0</c:v>
                </c:pt>
                <c:pt idx="185">
                  <c:v>6.9356872635561104E-2</c:v>
                </c:pt>
                <c:pt idx="186">
                  <c:v>0.132408575031526</c:v>
                </c:pt>
                <c:pt idx="187">
                  <c:v>0.20807061790668399</c:v>
                </c:pt>
                <c:pt idx="188">
                  <c:v>0.27742749054224403</c:v>
                </c:pt>
                <c:pt idx="189">
                  <c:v>0.35308953341740101</c:v>
                </c:pt>
                <c:pt idx="190">
                  <c:v>0.42244640605296402</c:v>
                </c:pt>
                <c:pt idx="191">
                  <c:v>0.49180327868852303</c:v>
                </c:pt>
                <c:pt idx="192">
                  <c:v>0.56746532156368101</c:v>
                </c:pt>
                <c:pt idx="193">
                  <c:v>0.63682219419924202</c:v>
                </c:pt>
                <c:pt idx="194">
                  <c:v>0.70617906683480502</c:v>
                </c:pt>
                <c:pt idx="195">
                  <c:v>0</c:v>
                </c:pt>
                <c:pt idx="196">
                  <c:v>1.29255989911727</c:v>
                </c:pt>
                <c:pt idx="197">
                  <c:v>2.1500630517023902</c:v>
                </c:pt>
                <c:pt idx="198">
                  <c:v>3.0138713745271102</c:v>
                </c:pt>
                <c:pt idx="199">
                  <c:v>3.8713745271122302</c:v>
                </c:pt>
                <c:pt idx="200">
                  <c:v>4.7351828499369404</c:v>
                </c:pt>
                <c:pt idx="201">
                  <c:v>5.5926860025220702</c:v>
                </c:pt>
                <c:pt idx="202">
                  <c:v>6.4501891551071804</c:v>
                </c:pt>
                <c:pt idx="203">
                  <c:v>1.2547288776796901</c:v>
                </c:pt>
                <c:pt idx="204">
                  <c:v>2.1059268600252201</c:v>
                </c:pt>
                <c:pt idx="205">
                  <c:v>2.9508196721311402</c:v>
                </c:pt>
                <c:pt idx="206">
                  <c:v>3.80201765447667</c:v>
                </c:pt>
                <c:pt idx="207">
                  <c:v>4.6469104665826002</c:v>
                </c:pt>
                <c:pt idx="208">
                  <c:v>5.4854981084489198</c:v>
                </c:pt>
                <c:pt idx="209">
                  <c:v>6.3366960907944501</c:v>
                </c:pt>
                <c:pt idx="210">
                  <c:v>0</c:v>
                </c:pt>
                <c:pt idx="211">
                  <c:v>0.98360655737705005</c:v>
                </c:pt>
                <c:pt idx="212">
                  <c:v>1.9672131147540901</c:v>
                </c:pt>
                <c:pt idx="213">
                  <c:v>2.9571248423707401</c:v>
                </c:pt>
                <c:pt idx="214">
                  <c:v>3.9470365699873802</c:v>
                </c:pt>
                <c:pt idx="215">
                  <c:v>4.93064312736443</c:v>
                </c:pt>
                <c:pt idx="216">
                  <c:v>5.9205548549810798</c:v>
                </c:pt>
                <c:pt idx="217">
                  <c:v>6.9041614123581301</c:v>
                </c:pt>
                <c:pt idx="218">
                  <c:v>0</c:v>
                </c:pt>
                <c:pt idx="219">
                  <c:v>0.90794451450189095</c:v>
                </c:pt>
                <c:pt idx="220">
                  <c:v>1.8284993694829701</c:v>
                </c:pt>
                <c:pt idx="221">
                  <c:v>2.7364438839848599</c:v>
                </c:pt>
                <c:pt idx="222">
                  <c:v>3.65069356872635</c:v>
                </c:pt>
                <c:pt idx="223">
                  <c:v>4.5712484237074396</c:v>
                </c:pt>
                <c:pt idx="224">
                  <c:v>5.4791929382093301</c:v>
                </c:pt>
                <c:pt idx="225">
                  <c:v>6.3997477931904099</c:v>
                </c:pt>
                <c:pt idx="226">
                  <c:v>0</c:v>
                </c:pt>
                <c:pt idx="227">
                  <c:v>0.13240857503152501</c:v>
                </c:pt>
                <c:pt idx="228">
                  <c:v>0.20807061790668199</c:v>
                </c:pt>
                <c:pt idx="229">
                  <c:v>0.27742749054224403</c:v>
                </c:pt>
                <c:pt idx="230">
                  <c:v>0.340479192938209</c:v>
                </c:pt>
                <c:pt idx="231">
                  <c:v>0.43505674653215598</c:v>
                </c:pt>
                <c:pt idx="232">
                  <c:v>0.49810844892812001</c:v>
                </c:pt>
                <c:pt idx="233">
                  <c:v>0.58007566204287497</c:v>
                </c:pt>
                <c:pt idx="234">
                  <c:v>0.65573770491803296</c:v>
                </c:pt>
                <c:pt idx="235">
                  <c:v>0.73139974779318995</c:v>
                </c:pt>
                <c:pt idx="236">
                  <c:v>0</c:v>
                </c:pt>
                <c:pt idx="237">
                  <c:v>0.40353089533417302</c:v>
                </c:pt>
                <c:pt idx="238">
                  <c:v>0.80075662042874995</c:v>
                </c:pt>
                <c:pt idx="239">
                  <c:v>1.1979823455233201</c:v>
                </c:pt>
                <c:pt idx="240">
                  <c:v>1.6015132408574999</c:v>
                </c:pt>
                <c:pt idx="241">
                  <c:v>2.0113493064312702</c:v>
                </c:pt>
                <c:pt idx="242">
                  <c:v>2.4022698612862499</c:v>
                </c:pt>
                <c:pt idx="243">
                  <c:v>2.8121059268600201</c:v>
                </c:pt>
              </c:numCache>
            </c:numRef>
          </c:xVal>
          <c:yVal>
            <c:numRef>
              <c:f>Permeability!$B$2:$B$245</c:f>
              <c:numCache>
                <c:formatCode>0.00E+00</c:formatCode>
                <c:ptCount val="244"/>
                <c:pt idx="0">
                  <c:v>1.27407407407407E-4</c:v>
                </c:pt>
                <c:pt idx="1">
                  <c:v>1.27407407407407E-4</c:v>
                </c:pt>
                <c:pt idx="2">
                  <c:v>1.06666666666666E-4</c:v>
                </c:pt>
                <c:pt idx="3">
                  <c:v>8.0000000000000007E-5</c:v>
                </c:pt>
                <c:pt idx="4">
                  <c:v>6.2962962962962894E-5</c:v>
                </c:pt>
                <c:pt idx="5">
                  <c:v>4.5555555555555498E-5</c:v>
                </c:pt>
                <c:pt idx="6">
                  <c:v>3.53703703703703E-5</c:v>
                </c:pt>
                <c:pt idx="7">
                  <c:v>3.9814814814814798E-5</c:v>
                </c:pt>
                <c:pt idx="8">
                  <c:v>3.9814814814814798E-5</c:v>
                </c:pt>
                <c:pt idx="9">
                  <c:v>4.24074074074074E-5</c:v>
                </c:pt>
                <c:pt idx="10">
                  <c:v>4.24074074074074E-5</c:v>
                </c:pt>
                <c:pt idx="11">
                  <c:v>3.7222222222222202E-5</c:v>
                </c:pt>
                <c:pt idx="12">
                  <c:v>3.5555555555555499E-5</c:v>
                </c:pt>
                <c:pt idx="13">
                  <c:v>3.3703703703703699E-5</c:v>
                </c:pt>
                <c:pt idx="14">
                  <c:v>3.5555555555555499E-5</c:v>
                </c:pt>
                <c:pt idx="15">
                  <c:v>3.5555555555555499E-5</c:v>
                </c:pt>
                <c:pt idx="16">
                  <c:v>7.8888888888888894E-5</c:v>
                </c:pt>
                <c:pt idx="17">
                  <c:v>7.8518518518518496E-5</c:v>
                </c:pt>
                <c:pt idx="18">
                  <c:v>7.8888888888888894E-5</c:v>
                </c:pt>
                <c:pt idx="19">
                  <c:v>6.2962962962962894E-5</c:v>
                </c:pt>
                <c:pt idx="20">
                  <c:v>5.7037037037037001E-5</c:v>
                </c:pt>
                <c:pt idx="21">
                  <c:v>5.2407407407407399E-5</c:v>
                </c:pt>
                <c:pt idx="22">
                  <c:v>5.22222222222222E-5</c:v>
                </c:pt>
                <c:pt idx="23">
                  <c:v>6.2962962962963002E-5</c:v>
                </c:pt>
                <c:pt idx="24">
                  <c:v>5.22222222222222E-5</c:v>
                </c:pt>
                <c:pt idx="25">
                  <c:v>5.2592592592592598E-5</c:v>
                </c:pt>
                <c:pt idx="26">
                  <c:v>6.3148148148148194E-5</c:v>
                </c:pt>
                <c:pt idx="27">
                  <c:v>7.5740740740740694E-5</c:v>
                </c:pt>
                <c:pt idx="28">
                  <c:v>4.5370370370370299E-5</c:v>
                </c:pt>
                <c:pt idx="29">
                  <c:v>2.9259259259259201E-5</c:v>
                </c:pt>
                <c:pt idx="30">
                  <c:v>1.81481481481481E-5</c:v>
                </c:pt>
                <c:pt idx="31">
                  <c:v>1.66666666666666E-5</c:v>
                </c:pt>
                <c:pt idx="32">
                  <c:v>1.77777777777778E-5</c:v>
                </c:pt>
                <c:pt idx="33">
                  <c:v>1.29629629629629E-5</c:v>
                </c:pt>
                <c:pt idx="34">
                  <c:v>1.22222222222222E-5</c:v>
                </c:pt>
                <c:pt idx="35">
                  <c:v>1.1851851851851801E-5</c:v>
                </c:pt>
                <c:pt idx="36">
                  <c:v>9.7777777777777698E-5</c:v>
                </c:pt>
                <c:pt idx="37">
                  <c:v>7.8518518518518496E-5</c:v>
                </c:pt>
                <c:pt idx="38">
                  <c:v>6.2222222222222206E-5</c:v>
                </c:pt>
                <c:pt idx="39">
                  <c:v>4.74074074074074E-5</c:v>
                </c:pt>
                <c:pt idx="40">
                  <c:v>3.25925925925926E-5</c:v>
                </c:pt>
                <c:pt idx="41">
                  <c:v>2.9629629629629599E-5</c:v>
                </c:pt>
                <c:pt idx="42">
                  <c:v>3.25925925925926E-5</c:v>
                </c:pt>
                <c:pt idx="43">
                  <c:v>3.0740740740740698E-5</c:v>
                </c:pt>
                <c:pt idx="44">
                  <c:v>3.6666666666666598E-5</c:v>
                </c:pt>
                <c:pt idx="45">
                  <c:v>3.6666666666666598E-5</c:v>
                </c:pt>
                <c:pt idx="46">
                  <c:v>3.6296296296296302E-5</c:v>
                </c:pt>
                <c:pt idx="47">
                  <c:v>3.5925925925925897E-5</c:v>
                </c:pt>
                <c:pt idx="48">
                  <c:v>3.6666666666666598E-5</c:v>
                </c:pt>
                <c:pt idx="49">
                  <c:v>9.2777777777777699E-5</c:v>
                </c:pt>
                <c:pt idx="50">
                  <c:v>4.6296296296296301E-5</c:v>
                </c:pt>
                <c:pt idx="51">
                  <c:v>5.0370370370370299E-5</c:v>
                </c:pt>
                <c:pt idx="52">
                  <c:v>4.0555555555555499E-5</c:v>
                </c:pt>
                <c:pt idx="53">
                  <c:v>3.2407407407407401E-5</c:v>
                </c:pt>
                <c:pt idx="54">
                  <c:v>2.9629629629629599E-5</c:v>
                </c:pt>
                <c:pt idx="55">
                  <c:v>2.7222222222222199E-5</c:v>
                </c:pt>
                <c:pt idx="56">
                  <c:v>2.2407407407407399E-5</c:v>
                </c:pt>
                <c:pt idx="57">
                  <c:v>2.1666666666666599E-5</c:v>
                </c:pt>
                <c:pt idx="58">
                  <c:v>2.4814814814814799E-5</c:v>
                </c:pt>
                <c:pt idx="59">
                  <c:v>1.8333333333333299E-5</c:v>
                </c:pt>
                <c:pt idx="60">
                  <c:v>1.81481481481481E-5</c:v>
                </c:pt>
                <c:pt idx="61">
                  <c:v>1.8333333333333299E-5</c:v>
                </c:pt>
                <c:pt idx="62">
                  <c:v>3.94444444444444E-5</c:v>
                </c:pt>
                <c:pt idx="63">
                  <c:v>3.9259259259259302E-5</c:v>
                </c:pt>
                <c:pt idx="64">
                  <c:v>2.4074074074074E-5</c:v>
                </c:pt>
                <c:pt idx="65">
                  <c:v>1.9074074074074102E-5</c:v>
                </c:pt>
                <c:pt idx="66">
                  <c:v>1.29629629629629E-5</c:v>
                </c:pt>
                <c:pt idx="67">
                  <c:v>1.07407407407407E-5</c:v>
                </c:pt>
                <c:pt idx="68">
                  <c:v>1.0925925925925901E-5</c:v>
                </c:pt>
                <c:pt idx="69">
                  <c:v>8.7037037037037198E-6</c:v>
                </c:pt>
                <c:pt idx="70">
                  <c:v>7.2222222222222602E-6</c:v>
                </c:pt>
                <c:pt idx="71">
                  <c:v>1.2037037037037E-5</c:v>
                </c:pt>
                <c:pt idx="72">
                  <c:v>9.8148148148148408E-6</c:v>
                </c:pt>
                <c:pt idx="73">
                  <c:v>1.85185185185189E-6</c:v>
                </c:pt>
                <c:pt idx="74">
                  <c:v>2.5925925925926001E-6</c:v>
                </c:pt>
                <c:pt idx="75">
                  <c:v>1.2962962962963001E-6</c:v>
                </c:pt>
                <c:pt idx="76">
                  <c:v>9.25925925925947E-7</c:v>
                </c:pt>
                <c:pt idx="77">
                  <c:v>2.1111111111111101E-5</c:v>
                </c:pt>
                <c:pt idx="78">
                  <c:v>7.8518518518518496E-5</c:v>
                </c:pt>
                <c:pt idx="79">
                  <c:v>5.3518518518518498E-5</c:v>
                </c:pt>
                <c:pt idx="80">
                  <c:v>5.3333333333333299E-5</c:v>
                </c:pt>
                <c:pt idx="81">
                  <c:v>5.3518518518518498E-5</c:v>
                </c:pt>
                <c:pt idx="82">
                  <c:v>3.3333333333333301E-5</c:v>
                </c:pt>
                <c:pt idx="83">
                  <c:v>2.4444444444444401E-5</c:v>
                </c:pt>
                <c:pt idx="84">
                  <c:v>1.5370370370370298E-5</c:v>
                </c:pt>
                <c:pt idx="85">
                  <c:v>1.62962962962963E-5</c:v>
                </c:pt>
                <c:pt idx="86">
                  <c:v>1.5555555555555501E-5</c:v>
                </c:pt>
                <c:pt idx="87">
                  <c:v>1.1851851851851801E-5</c:v>
                </c:pt>
                <c:pt idx="88">
                  <c:v>1.29629629629629E-5</c:v>
                </c:pt>
                <c:pt idx="89">
                  <c:v>1.2777777777777701E-5</c:v>
                </c:pt>
                <c:pt idx="90">
                  <c:v>7.2222222222222297E-6</c:v>
                </c:pt>
                <c:pt idx="91">
                  <c:v>9.0740740740740703E-6</c:v>
                </c:pt>
                <c:pt idx="92">
                  <c:v>8.7407407407407396E-5</c:v>
                </c:pt>
                <c:pt idx="93">
                  <c:v>6.8148148148148099E-5</c:v>
                </c:pt>
                <c:pt idx="94">
                  <c:v>5.1111111111111101E-5</c:v>
                </c:pt>
                <c:pt idx="95">
                  <c:v>5.1851851851851802E-5</c:v>
                </c:pt>
                <c:pt idx="96">
                  <c:v>5.1481481481481499E-5</c:v>
                </c:pt>
                <c:pt idx="97">
                  <c:v>6.1481481481481505E-5</c:v>
                </c:pt>
                <c:pt idx="98">
                  <c:v>6.1111111111111094E-5</c:v>
                </c:pt>
                <c:pt idx="99">
                  <c:v>5.5555555555555497E-5</c:v>
                </c:pt>
                <c:pt idx="100">
                  <c:v>5.1111111111111101E-5</c:v>
                </c:pt>
                <c:pt idx="101">
                  <c:v>5.0740740740740697E-5</c:v>
                </c:pt>
                <c:pt idx="102">
                  <c:v>5.0740740740740697E-5</c:v>
                </c:pt>
                <c:pt idx="103">
                  <c:v>4.3888888888888897E-5</c:v>
                </c:pt>
                <c:pt idx="104">
                  <c:v>4.3703703703703698E-5</c:v>
                </c:pt>
                <c:pt idx="105">
                  <c:v>8.98148148148148E-5</c:v>
                </c:pt>
                <c:pt idx="106">
                  <c:v>8.98148148148148E-5</c:v>
                </c:pt>
                <c:pt idx="107">
                  <c:v>9.0000000000000006E-5</c:v>
                </c:pt>
                <c:pt idx="108">
                  <c:v>7.7222222222222205E-5</c:v>
                </c:pt>
                <c:pt idx="109">
                  <c:v>6.7407407407407398E-5</c:v>
                </c:pt>
                <c:pt idx="110">
                  <c:v>6.0000000000000002E-5</c:v>
                </c:pt>
                <c:pt idx="111">
                  <c:v>6.0000000000000002E-5</c:v>
                </c:pt>
                <c:pt idx="112">
                  <c:v>6.7407407407407398E-5</c:v>
                </c:pt>
                <c:pt idx="113">
                  <c:v>6.7592592592592604E-5</c:v>
                </c:pt>
                <c:pt idx="114">
                  <c:v>6.7592592592592604E-5</c:v>
                </c:pt>
                <c:pt idx="115">
                  <c:v>5.4074074074074E-5</c:v>
                </c:pt>
                <c:pt idx="116">
                  <c:v>5.4074074074074E-5</c:v>
                </c:pt>
                <c:pt idx="117">
                  <c:v>4.5185185185185202E-5</c:v>
                </c:pt>
                <c:pt idx="118">
                  <c:v>4.1666666666666699E-5</c:v>
                </c:pt>
                <c:pt idx="119">
                  <c:v>2.1111111111111101E-5</c:v>
                </c:pt>
                <c:pt idx="120">
                  <c:v>2.0740740740740699E-5</c:v>
                </c:pt>
                <c:pt idx="121">
                  <c:v>2.4259259259259199E-5</c:v>
                </c:pt>
                <c:pt idx="122">
                  <c:v>1.48148148148148E-5</c:v>
                </c:pt>
                <c:pt idx="123">
                  <c:v>1.57407407407407E-5</c:v>
                </c:pt>
                <c:pt idx="124">
                  <c:v>1.2777777777777701E-5</c:v>
                </c:pt>
                <c:pt idx="125">
                  <c:v>1.11111111111111E-5</c:v>
                </c:pt>
                <c:pt idx="126">
                  <c:v>1.0370370370370301E-5</c:v>
                </c:pt>
                <c:pt idx="127">
                  <c:v>7.0370370370370502E-6</c:v>
                </c:pt>
                <c:pt idx="128">
                  <c:v>7.59259259259262E-6</c:v>
                </c:pt>
                <c:pt idx="129">
                  <c:v>8.8888888888889002E-6</c:v>
                </c:pt>
                <c:pt idx="130">
                  <c:v>7.7777777777777995E-6</c:v>
                </c:pt>
                <c:pt idx="131">
                  <c:v>8.8888888888889002E-6</c:v>
                </c:pt>
                <c:pt idx="132">
                  <c:v>3.70370370370373E-6</c:v>
                </c:pt>
                <c:pt idx="133">
                  <c:v>2.03703703703704E-6</c:v>
                </c:pt>
                <c:pt idx="134">
                  <c:v>1.2962962962963001E-6</c:v>
                </c:pt>
                <c:pt idx="135">
                  <c:v>6.5250965250965298E-5</c:v>
                </c:pt>
                <c:pt idx="136">
                  <c:v>6.6023166023166001E-5</c:v>
                </c:pt>
                <c:pt idx="137">
                  <c:v>4.9420849420849398E-5</c:v>
                </c:pt>
                <c:pt idx="138">
                  <c:v>4.2277992277992197E-5</c:v>
                </c:pt>
                <c:pt idx="139">
                  <c:v>3.9382239382239403E-5</c:v>
                </c:pt>
                <c:pt idx="140">
                  <c:v>3.7065637065637099E-5</c:v>
                </c:pt>
                <c:pt idx="141">
                  <c:v>3.7065637065636997E-5</c:v>
                </c:pt>
                <c:pt idx="142">
                  <c:v>7.4131274131274103E-5</c:v>
                </c:pt>
                <c:pt idx="143">
                  <c:v>4.9420849420849398E-5</c:v>
                </c:pt>
                <c:pt idx="144">
                  <c:v>3.1081081081081102E-5</c:v>
                </c:pt>
                <c:pt idx="145">
                  <c:v>3.47490347490347E-5</c:v>
                </c:pt>
                <c:pt idx="146">
                  <c:v>2.8185328185328101E-5</c:v>
                </c:pt>
                <c:pt idx="147">
                  <c:v>2.2779922779922698E-5</c:v>
                </c:pt>
                <c:pt idx="148">
                  <c:v>2.2393822393822401E-5</c:v>
                </c:pt>
                <c:pt idx="149">
                  <c:v>2.23938223938223E-5</c:v>
                </c:pt>
                <c:pt idx="150">
                  <c:v>1.17760617760618E-5</c:v>
                </c:pt>
                <c:pt idx="151">
                  <c:v>1.3706563706563699E-5</c:v>
                </c:pt>
                <c:pt idx="152">
                  <c:v>1.2741312741312701E-5</c:v>
                </c:pt>
                <c:pt idx="153">
                  <c:v>1.04247104247104E-5</c:v>
                </c:pt>
                <c:pt idx="154">
                  <c:v>9.2664092664092697E-6</c:v>
                </c:pt>
                <c:pt idx="155">
                  <c:v>9.8455598455598796E-6</c:v>
                </c:pt>
                <c:pt idx="156">
                  <c:v>9.0733590733590805E-6</c:v>
                </c:pt>
                <c:pt idx="157">
                  <c:v>6.5250965250965203E-5</c:v>
                </c:pt>
                <c:pt idx="158">
                  <c:v>1.7181467181467201E-5</c:v>
                </c:pt>
                <c:pt idx="159">
                  <c:v>1.08108108108108E-5</c:v>
                </c:pt>
                <c:pt idx="160">
                  <c:v>7.7220077220077493E-6</c:v>
                </c:pt>
                <c:pt idx="161">
                  <c:v>7.7220077220077306E-6</c:v>
                </c:pt>
                <c:pt idx="162">
                  <c:v>8.4942084942085501E-6</c:v>
                </c:pt>
                <c:pt idx="163">
                  <c:v>8.1081081081081294E-6</c:v>
                </c:pt>
                <c:pt idx="164">
                  <c:v>7.7220077220077306E-6</c:v>
                </c:pt>
                <c:pt idx="165">
                  <c:v>2.7992277992278E-5</c:v>
                </c:pt>
                <c:pt idx="166">
                  <c:v>1.35135135135135E-5</c:v>
                </c:pt>
                <c:pt idx="167">
                  <c:v>6.9498069498069603E-6</c:v>
                </c:pt>
                <c:pt idx="168">
                  <c:v>6.3706563706563698E-6</c:v>
                </c:pt>
                <c:pt idx="169">
                  <c:v>9.4594594594594504E-6</c:v>
                </c:pt>
                <c:pt idx="170">
                  <c:v>9.6525096525096904E-6</c:v>
                </c:pt>
                <c:pt idx="171">
                  <c:v>7.5289575289575101E-6</c:v>
                </c:pt>
                <c:pt idx="172">
                  <c:v>5.9845559845560499E-6</c:v>
                </c:pt>
                <c:pt idx="173">
                  <c:v>8.6100386100386098E-5</c:v>
                </c:pt>
                <c:pt idx="174">
                  <c:v>8.6293436293436297E-5</c:v>
                </c:pt>
                <c:pt idx="175">
                  <c:v>6.4671814671814605E-5</c:v>
                </c:pt>
                <c:pt idx="176">
                  <c:v>4.2857142857142897E-5</c:v>
                </c:pt>
                <c:pt idx="177">
                  <c:v>2.3938223938223901E-5</c:v>
                </c:pt>
                <c:pt idx="178">
                  <c:v>2.1428571428571401E-5</c:v>
                </c:pt>
                <c:pt idx="179">
                  <c:v>1.7181467181467201E-5</c:v>
                </c:pt>
                <c:pt idx="180">
                  <c:v>1.5057915057915E-5</c:v>
                </c:pt>
                <c:pt idx="181">
                  <c:v>1.2162162162162099E-5</c:v>
                </c:pt>
                <c:pt idx="182">
                  <c:v>1.13899613899613E-5</c:v>
                </c:pt>
                <c:pt idx="183">
                  <c:v>1.0038610038609999E-5</c:v>
                </c:pt>
                <c:pt idx="184">
                  <c:v>1.06949806949806E-4</c:v>
                </c:pt>
                <c:pt idx="185">
                  <c:v>8.9189189189189206E-5</c:v>
                </c:pt>
                <c:pt idx="186">
                  <c:v>7.6447876447876401E-5</c:v>
                </c:pt>
                <c:pt idx="187">
                  <c:v>4.4594594594594603E-5</c:v>
                </c:pt>
                <c:pt idx="188">
                  <c:v>3.8030888030888001E-5</c:v>
                </c:pt>
                <c:pt idx="189">
                  <c:v>3.1274131274131199E-5</c:v>
                </c:pt>
                <c:pt idx="190">
                  <c:v>2.43243243243243E-5</c:v>
                </c:pt>
                <c:pt idx="191">
                  <c:v>2.33590733590733E-5</c:v>
                </c:pt>
                <c:pt idx="192">
                  <c:v>2.33590733590733E-5</c:v>
                </c:pt>
                <c:pt idx="193">
                  <c:v>2.2007722007721999E-5</c:v>
                </c:pt>
                <c:pt idx="194">
                  <c:v>1.81467181467181E-5</c:v>
                </c:pt>
                <c:pt idx="195">
                  <c:v>1.03088803088803E-4</c:v>
                </c:pt>
                <c:pt idx="196">
                  <c:v>3.0501930501930398E-5</c:v>
                </c:pt>
                <c:pt idx="197">
                  <c:v>1.7953667953667901E-5</c:v>
                </c:pt>
                <c:pt idx="198">
                  <c:v>1.66023166023166E-5</c:v>
                </c:pt>
                <c:pt idx="199">
                  <c:v>1.2741312741312701E-5</c:v>
                </c:pt>
                <c:pt idx="200">
                  <c:v>9.8455598455598508E-6</c:v>
                </c:pt>
                <c:pt idx="201">
                  <c:v>8.4942084942084993E-6</c:v>
                </c:pt>
                <c:pt idx="202">
                  <c:v>9.4594594594594792E-6</c:v>
                </c:pt>
                <c:pt idx="203">
                  <c:v>3.0115830115830101E-5</c:v>
                </c:pt>
                <c:pt idx="204">
                  <c:v>2.74131274131273E-5</c:v>
                </c:pt>
                <c:pt idx="205">
                  <c:v>1.9498069498069499E-5</c:v>
                </c:pt>
                <c:pt idx="206">
                  <c:v>1.8918918918918901E-5</c:v>
                </c:pt>
                <c:pt idx="207">
                  <c:v>1.7760617760617701E-5</c:v>
                </c:pt>
                <c:pt idx="208">
                  <c:v>1.54440154440154E-5</c:v>
                </c:pt>
                <c:pt idx="209">
                  <c:v>1.54440154440154E-5</c:v>
                </c:pt>
                <c:pt idx="210">
                  <c:v>5.2123552123552101E-5</c:v>
                </c:pt>
                <c:pt idx="211">
                  <c:v>2.4710424710424699E-5</c:v>
                </c:pt>
                <c:pt idx="212">
                  <c:v>1.25482625482625E-5</c:v>
                </c:pt>
                <c:pt idx="213">
                  <c:v>8.6872586872587105E-6</c:v>
                </c:pt>
                <c:pt idx="214">
                  <c:v>7.3359073359073302E-6</c:v>
                </c:pt>
                <c:pt idx="215">
                  <c:v>6.3706563706563402E-6</c:v>
                </c:pt>
                <c:pt idx="216">
                  <c:v>5.7915057915058098E-6</c:v>
                </c:pt>
                <c:pt idx="217">
                  <c:v>5.9845559845559999E-6</c:v>
                </c:pt>
                <c:pt idx="218">
                  <c:v>7.1428571428571393E-5</c:v>
                </c:pt>
                <c:pt idx="219">
                  <c:v>1.6795366795366701E-5</c:v>
                </c:pt>
                <c:pt idx="220">
                  <c:v>1.1196911196911201E-5</c:v>
                </c:pt>
                <c:pt idx="221">
                  <c:v>1.13899613899613E-5</c:v>
                </c:pt>
                <c:pt idx="222">
                  <c:v>9.8455598455597695E-6</c:v>
                </c:pt>
                <c:pt idx="223">
                  <c:v>1.2162162162162201E-5</c:v>
                </c:pt>
                <c:pt idx="224">
                  <c:v>1.1196911196911201E-5</c:v>
                </c:pt>
                <c:pt idx="225">
                  <c:v>1.1003861003861E-5</c:v>
                </c:pt>
                <c:pt idx="226">
                  <c:v>1.0675675675675601E-4</c:v>
                </c:pt>
                <c:pt idx="227">
                  <c:v>8.8996138996138993E-5</c:v>
                </c:pt>
                <c:pt idx="228">
                  <c:v>6.6795366795366798E-5</c:v>
                </c:pt>
                <c:pt idx="229">
                  <c:v>6.6795366795366798E-5</c:v>
                </c:pt>
                <c:pt idx="230">
                  <c:v>5.9266409266409301E-5</c:v>
                </c:pt>
                <c:pt idx="231">
                  <c:v>5.9459459459459399E-5</c:v>
                </c:pt>
                <c:pt idx="232">
                  <c:v>5.3474903474903503E-5</c:v>
                </c:pt>
                <c:pt idx="233">
                  <c:v>5.3281853281853202E-5</c:v>
                </c:pt>
                <c:pt idx="234">
                  <c:v>5.3281853281853202E-5</c:v>
                </c:pt>
                <c:pt idx="235">
                  <c:v>5.3281853281853202E-5</c:v>
                </c:pt>
                <c:pt idx="236">
                  <c:v>2.31660231660231E-5</c:v>
                </c:pt>
                <c:pt idx="237">
                  <c:v>1.33204633204633E-5</c:v>
                </c:pt>
                <c:pt idx="238">
                  <c:v>6.1776061776062103E-6</c:v>
                </c:pt>
                <c:pt idx="239">
                  <c:v>6.9498069498069603E-6</c:v>
                </c:pt>
                <c:pt idx="240">
                  <c:v>6.9498069498069603E-6</c:v>
                </c:pt>
                <c:pt idx="241">
                  <c:v>8.1081081081081294E-6</c:v>
                </c:pt>
                <c:pt idx="242">
                  <c:v>7.7220077220077306E-6</c:v>
                </c:pt>
                <c:pt idx="243">
                  <c:v>6.1776061776061899E-6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DD-4A91-B352-66779359F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5526816"/>
        <c:axId val="1475529216"/>
      </c:scatterChart>
      <c:valAx>
        <c:axId val="1475526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529216"/>
        <c:crosses val="autoZero"/>
        <c:crossBetween val="midCat"/>
      </c:valAx>
      <c:valAx>
        <c:axId val="147552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526816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Power Analysis</a:t>
            </a:r>
          </a:p>
          <a:p>
            <a:pPr>
              <a:defRPr/>
            </a:pPr>
            <a:r>
              <a:rPr lang="en-US">
                <a:latin typeface="Symbol" panose="05050102010706020507" pitchFamily="18" charset="2"/>
              </a:rPr>
              <a:t>a</a:t>
            </a:r>
            <a:r>
              <a:rPr lang="en-US"/>
              <a:t> = 5 %</a:t>
            </a:r>
          </a:p>
          <a:p>
            <a:pPr>
              <a:defRPr/>
            </a:pPr>
            <a:r>
              <a:rPr lang="en-US"/>
              <a:t>f</a:t>
            </a:r>
            <a:r>
              <a:rPr lang="en-US" baseline="30000"/>
              <a:t>2</a:t>
            </a:r>
            <a:r>
              <a:rPr lang="en-US" baseline="0"/>
              <a:t> = 0.15</a:t>
            </a:r>
          </a:p>
          <a:p>
            <a:pPr>
              <a:defRPr/>
            </a:pPr>
            <a:r>
              <a:rPr lang="en-US" baseline="0"/>
              <a:t>No. of Predictor = 4</a:t>
            </a:r>
            <a:endParaRPr lang="en-US"/>
          </a:p>
        </c:rich>
      </c:tx>
      <c:layout>
        <c:manualLayout>
          <c:xMode val="edge"/>
          <c:yMode val="edge"/>
          <c:x val="0.64283018867924524"/>
          <c:y val="0.47934405550299591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056603773584906"/>
          <c:y val="5.485663629794621E-2"/>
          <c:w val="0.85008385744234805"/>
          <c:h val="0.78550917890230609"/>
        </c:manualLayout>
      </c:layout>
      <c:scatterChart>
        <c:scatterStyle val="smoothMarker"/>
        <c:varyColors val="0"/>
        <c:ser>
          <c:idx val="1"/>
          <c:order val="0"/>
          <c:tx>
            <c:v>Power Analysis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Sheet2!$BC$25:$BC$60</c:f>
              <c:numCache>
                <c:formatCode>General</c:formatCode>
                <c:ptCount val="36"/>
                <c:pt idx="0">
                  <c:v>0.6</c:v>
                </c:pt>
                <c:pt idx="1">
                  <c:v>0.61</c:v>
                </c:pt>
                <c:pt idx="2">
                  <c:v>0.62</c:v>
                </c:pt>
                <c:pt idx="3">
                  <c:v>0.63</c:v>
                </c:pt>
                <c:pt idx="4">
                  <c:v>0.64</c:v>
                </c:pt>
                <c:pt idx="5">
                  <c:v>0.65</c:v>
                </c:pt>
                <c:pt idx="6">
                  <c:v>0.66</c:v>
                </c:pt>
                <c:pt idx="7">
                  <c:v>0.67</c:v>
                </c:pt>
                <c:pt idx="8">
                  <c:v>0.68</c:v>
                </c:pt>
                <c:pt idx="9">
                  <c:v>0.69</c:v>
                </c:pt>
                <c:pt idx="10">
                  <c:v>0.7</c:v>
                </c:pt>
                <c:pt idx="11">
                  <c:v>0.71</c:v>
                </c:pt>
                <c:pt idx="12">
                  <c:v>0.72</c:v>
                </c:pt>
                <c:pt idx="13">
                  <c:v>0.73</c:v>
                </c:pt>
                <c:pt idx="14">
                  <c:v>0.74</c:v>
                </c:pt>
                <c:pt idx="15">
                  <c:v>0.75</c:v>
                </c:pt>
                <c:pt idx="16">
                  <c:v>0.76</c:v>
                </c:pt>
                <c:pt idx="17">
                  <c:v>0.77</c:v>
                </c:pt>
                <c:pt idx="18">
                  <c:v>0.78</c:v>
                </c:pt>
                <c:pt idx="19">
                  <c:v>0.79</c:v>
                </c:pt>
                <c:pt idx="20">
                  <c:v>0.8</c:v>
                </c:pt>
                <c:pt idx="21">
                  <c:v>0.81</c:v>
                </c:pt>
                <c:pt idx="22">
                  <c:v>0.82</c:v>
                </c:pt>
                <c:pt idx="23">
                  <c:v>0.83</c:v>
                </c:pt>
                <c:pt idx="24">
                  <c:v>0.84</c:v>
                </c:pt>
                <c:pt idx="25">
                  <c:v>0.85</c:v>
                </c:pt>
                <c:pt idx="26">
                  <c:v>0.86</c:v>
                </c:pt>
                <c:pt idx="27">
                  <c:v>0.87</c:v>
                </c:pt>
                <c:pt idx="28">
                  <c:v>0.88</c:v>
                </c:pt>
                <c:pt idx="29">
                  <c:v>0.89</c:v>
                </c:pt>
                <c:pt idx="30">
                  <c:v>0.9</c:v>
                </c:pt>
                <c:pt idx="31">
                  <c:v>0.91</c:v>
                </c:pt>
                <c:pt idx="32">
                  <c:v>0.92</c:v>
                </c:pt>
                <c:pt idx="33">
                  <c:v>0.93</c:v>
                </c:pt>
                <c:pt idx="34">
                  <c:v>0.94</c:v>
                </c:pt>
                <c:pt idx="35">
                  <c:v>0.95</c:v>
                </c:pt>
              </c:numCache>
            </c:numRef>
          </c:xVal>
          <c:yVal>
            <c:numRef>
              <c:f>Sheet2!$BD$25:$BD$60</c:f>
              <c:numCache>
                <c:formatCode>General</c:formatCode>
                <c:ptCount val="36"/>
                <c:pt idx="0">
                  <c:v>57.744900000000001</c:v>
                </c:pt>
                <c:pt idx="1">
                  <c:v>58.8217</c:v>
                </c:pt>
                <c:pt idx="2">
                  <c:v>59.9161</c:v>
                </c:pt>
                <c:pt idx="3">
                  <c:v>61.0289</c:v>
                </c:pt>
                <c:pt idx="4">
                  <c:v>62.161499999999997</c:v>
                </c:pt>
                <c:pt idx="5">
                  <c:v>63.315100000000001</c:v>
                </c:pt>
                <c:pt idx="6">
                  <c:v>64.491</c:v>
                </c:pt>
                <c:pt idx="7">
                  <c:v>65.690700000000007</c:v>
                </c:pt>
                <c:pt idx="8">
                  <c:v>66.915800000000004</c:v>
                </c:pt>
                <c:pt idx="9">
                  <c:v>68.168099999999995</c:v>
                </c:pt>
                <c:pt idx="10">
                  <c:v>69.449299999999994</c:v>
                </c:pt>
                <c:pt idx="11">
                  <c:v>70.761799999999994</c:v>
                </c:pt>
                <c:pt idx="12">
                  <c:v>72.107600000000005</c:v>
                </c:pt>
                <c:pt idx="13">
                  <c:v>73.4893</c:v>
                </c:pt>
                <c:pt idx="14">
                  <c:v>74.909800000000004</c:v>
                </c:pt>
                <c:pt idx="15">
                  <c:v>76.372100000000003</c:v>
                </c:pt>
                <c:pt idx="16">
                  <c:v>77.879800000000003</c:v>
                </c:pt>
                <c:pt idx="17">
                  <c:v>79.436700000000002</c:v>
                </c:pt>
                <c:pt idx="18">
                  <c:v>81.047200000000004</c:v>
                </c:pt>
                <c:pt idx="19">
                  <c:v>82.716399999999993</c:v>
                </c:pt>
                <c:pt idx="20">
                  <c:v>84.4499</c:v>
                </c:pt>
                <c:pt idx="21">
                  <c:v>86.254400000000004</c:v>
                </c:pt>
                <c:pt idx="22">
                  <c:v>88.1374</c:v>
                </c:pt>
                <c:pt idx="23">
                  <c:v>90.107799999999997</c:v>
                </c:pt>
                <c:pt idx="24">
                  <c:v>92.176100000000005</c:v>
                </c:pt>
                <c:pt idx="25">
                  <c:v>94.354600000000005</c:v>
                </c:pt>
                <c:pt idx="26">
                  <c:v>96.6584</c:v>
                </c:pt>
                <c:pt idx="27">
                  <c:v>99.105500000000006</c:v>
                </c:pt>
                <c:pt idx="28">
                  <c:v>101.718</c:v>
                </c:pt>
                <c:pt idx="29">
                  <c:v>104.52500000000001</c:v>
                </c:pt>
                <c:pt idx="30">
                  <c:v>107.562</c:v>
                </c:pt>
                <c:pt idx="31">
                  <c:v>110.877</c:v>
                </c:pt>
                <c:pt idx="32">
                  <c:v>114.532</c:v>
                </c:pt>
                <c:pt idx="33">
                  <c:v>118.617</c:v>
                </c:pt>
                <c:pt idx="34">
                  <c:v>123.26</c:v>
                </c:pt>
                <c:pt idx="35">
                  <c:v>128.661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C2E-43B9-9520-FA9811FBACA4}"/>
            </c:ext>
          </c:extLst>
        </c:ser>
        <c:ser>
          <c:idx val="0"/>
          <c:order val="1"/>
          <c:tx>
            <c:v>Power Analysis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Sheet2!$BC$25:$BC$60</c:f>
              <c:numCache>
                <c:formatCode>General</c:formatCode>
                <c:ptCount val="36"/>
                <c:pt idx="0">
                  <c:v>0.6</c:v>
                </c:pt>
                <c:pt idx="1">
                  <c:v>0.61</c:v>
                </c:pt>
                <c:pt idx="2">
                  <c:v>0.62</c:v>
                </c:pt>
                <c:pt idx="3">
                  <c:v>0.63</c:v>
                </c:pt>
                <c:pt idx="4">
                  <c:v>0.64</c:v>
                </c:pt>
                <c:pt idx="5">
                  <c:v>0.65</c:v>
                </c:pt>
                <c:pt idx="6">
                  <c:v>0.66</c:v>
                </c:pt>
                <c:pt idx="7">
                  <c:v>0.67</c:v>
                </c:pt>
                <c:pt idx="8">
                  <c:v>0.68</c:v>
                </c:pt>
                <c:pt idx="9">
                  <c:v>0.69</c:v>
                </c:pt>
                <c:pt idx="10">
                  <c:v>0.7</c:v>
                </c:pt>
                <c:pt idx="11">
                  <c:v>0.71</c:v>
                </c:pt>
                <c:pt idx="12">
                  <c:v>0.72</c:v>
                </c:pt>
                <c:pt idx="13">
                  <c:v>0.73</c:v>
                </c:pt>
                <c:pt idx="14">
                  <c:v>0.74</c:v>
                </c:pt>
                <c:pt idx="15">
                  <c:v>0.75</c:v>
                </c:pt>
                <c:pt idx="16">
                  <c:v>0.76</c:v>
                </c:pt>
                <c:pt idx="17">
                  <c:v>0.77</c:v>
                </c:pt>
                <c:pt idx="18">
                  <c:v>0.78</c:v>
                </c:pt>
                <c:pt idx="19">
                  <c:v>0.79</c:v>
                </c:pt>
                <c:pt idx="20">
                  <c:v>0.8</c:v>
                </c:pt>
                <c:pt idx="21">
                  <c:v>0.81</c:v>
                </c:pt>
                <c:pt idx="22">
                  <c:v>0.82</c:v>
                </c:pt>
                <c:pt idx="23">
                  <c:v>0.83</c:v>
                </c:pt>
                <c:pt idx="24">
                  <c:v>0.84</c:v>
                </c:pt>
                <c:pt idx="25">
                  <c:v>0.85</c:v>
                </c:pt>
                <c:pt idx="26">
                  <c:v>0.86</c:v>
                </c:pt>
                <c:pt idx="27">
                  <c:v>0.87</c:v>
                </c:pt>
                <c:pt idx="28">
                  <c:v>0.88</c:v>
                </c:pt>
                <c:pt idx="29">
                  <c:v>0.89</c:v>
                </c:pt>
                <c:pt idx="30">
                  <c:v>0.9</c:v>
                </c:pt>
                <c:pt idx="31">
                  <c:v>0.91</c:v>
                </c:pt>
                <c:pt idx="32">
                  <c:v>0.92</c:v>
                </c:pt>
                <c:pt idx="33">
                  <c:v>0.93</c:v>
                </c:pt>
                <c:pt idx="34">
                  <c:v>0.94</c:v>
                </c:pt>
                <c:pt idx="35">
                  <c:v>0.95</c:v>
                </c:pt>
              </c:numCache>
            </c:numRef>
          </c:xVal>
          <c:yVal>
            <c:numRef>
              <c:f>Sheet2!$BD$25:$BD$60</c:f>
              <c:numCache>
                <c:formatCode>General</c:formatCode>
                <c:ptCount val="36"/>
                <c:pt idx="0">
                  <c:v>57.744900000000001</c:v>
                </c:pt>
                <c:pt idx="1">
                  <c:v>58.8217</c:v>
                </c:pt>
                <c:pt idx="2">
                  <c:v>59.9161</c:v>
                </c:pt>
                <c:pt idx="3">
                  <c:v>61.0289</c:v>
                </c:pt>
                <c:pt idx="4">
                  <c:v>62.161499999999997</c:v>
                </c:pt>
                <c:pt idx="5">
                  <c:v>63.315100000000001</c:v>
                </c:pt>
                <c:pt idx="6">
                  <c:v>64.491</c:v>
                </c:pt>
                <c:pt idx="7">
                  <c:v>65.690700000000007</c:v>
                </c:pt>
                <c:pt idx="8">
                  <c:v>66.915800000000004</c:v>
                </c:pt>
                <c:pt idx="9">
                  <c:v>68.168099999999995</c:v>
                </c:pt>
                <c:pt idx="10">
                  <c:v>69.449299999999994</c:v>
                </c:pt>
                <c:pt idx="11">
                  <c:v>70.761799999999994</c:v>
                </c:pt>
                <c:pt idx="12">
                  <c:v>72.107600000000005</c:v>
                </c:pt>
                <c:pt idx="13">
                  <c:v>73.4893</c:v>
                </c:pt>
                <c:pt idx="14">
                  <c:v>74.909800000000004</c:v>
                </c:pt>
                <c:pt idx="15">
                  <c:v>76.372100000000003</c:v>
                </c:pt>
                <c:pt idx="16">
                  <c:v>77.879800000000003</c:v>
                </c:pt>
                <c:pt idx="17">
                  <c:v>79.436700000000002</c:v>
                </c:pt>
                <c:pt idx="18">
                  <c:v>81.047200000000004</c:v>
                </c:pt>
                <c:pt idx="19">
                  <c:v>82.716399999999993</c:v>
                </c:pt>
                <c:pt idx="20">
                  <c:v>84.4499</c:v>
                </c:pt>
                <c:pt idx="21">
                  <c:v>86.254400000000004</c:v>
                </c:pt>
                <c:pt idx="22">
                  <c:v>88.1374</c:v>
                </c:pt>
                <c:pt idx="23">
                  <c:v>90.107799999999997</c:v>
                </c:pt>
                <c:pt idx="24">
                  <c:v>92.176100000000005</c:v>
                </c:pt>
                <c:pt idx="25">
                  <c:v>94.354600000000005</c:v>
                </c:pt>
                <c:pt idx="26">
                  <c:v>96.6584</c:v>
                </c:pt>
                <c:pt idx="27">
                  <c:v>99.105500000000006</c:v>
                </c:pt>
                <c:pt idx="28">
                  <c:v>101.718</c:v>
                </c:pt>
                <c:pt idx="29">
                  <c:v>104.52500000000001</c:v>
                </c:pt>
                <c:pt idx="30">
                  <c:v>107.562</c:v>
                </c:pt>
                <c:pt idx="31">
                  <c:v>110.877</c:v>
                </c:pt>
                <c:pt idx="32">
                  <c:v>114.532</c:v>
                </c:pt>
                <c:pt idx="33">
                  <c:v>118.617</c:v>
                </c:pt>
                <c:pt idx="34">
                  <c:v>123.26</c:v>
                </c:pt>
                <c:pt idx="35">
                  <c:v>128.661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C2E-43B9-9520-FA9811FBA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5526816"/>
        <c:axId val="1475529216"/>
      </c:scatterChart>
      <c:valAx>
        <c:axId val="1475526816"/>
        <c:scaling>
          <c:orientation val="minMax"/>
          <c:min val="0.60000000000000009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Power (1-</a:t>
                </a:r>
                <a:r>
                  <a:rPr lang="en-US">
                    <a:latin typeface="Symbol" panose="05050102010706020507" pitchFamily="18" charset="2"/>
                  </a:rPr>
                  <a:t>b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75529216"/>
        <c:crosses val="autoZero"/>
        <c:crossBetween val="midCat"/>
      </c:valAx>
      <c:valAx>
        <c:axId val="147552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Sample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75526816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5632124352331606"/>
          <c:y val="3.2133110844588135E-2"/>
          <c:w val="0.81"/>
          <c:h val="0.83067042116424183"/>
        </c:manualLayout>
      </c:layout>
      <c:scatterChart>
        <c:scatterStyle val="smoothMarker"/>
        <c:varyColors val="0"/>
        <c:ser>
          <c:idx val="1"/>
          <c:order val="0"/>
          <c:tx>
            <c:v>Cui (2024)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1545183795030803"/>
                  <c:y val="0.33180415775842587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1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baseline="0"/>
                      <a:t>Cui (2024)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2.1918x</a:t>
                    </a:r>
                    <a:r>
                      <a:rPr lang="en-US" baseline="30000"/>
                      <a:t>2.1656</a:t>
                    </a:r>
                    <a:br>
                      <a:rPr lang="en-US" baseline="0"/>
                    </a:br>
                    <a:r>
                      <a:rPr lang="en-US" baseline="0"/>
                      <a:t>R² = 0.8464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'van Passen vs Cui'!$A$41:$A$83</c:f>
              <c:numCache>
                <c:formatCode>0.00</c:formatCode>
                <c:ptCount val="43"/>
                <c:pt idx="0">
                  <c:v>1.0201691607026599</c:v>
                </c:pt>
                <c:pt idx="1">
                  <c:v>1.5510735198438499</c:v>
                </c:pt>
                <c:pt idx="2">
                  <c:v>2.6441119063109899</c:v>
                </c:pt>
                <c:pt idx="3">
                  <c:v>3.38321405335068</c:v>
                </c:pt>
                <c:pt idx="4">
                  <c:v>4.5178919973975296</c:v>
                </c:pt>
                <c:pt idx="5">
                  <c:v>5.17371502927781</c:v>
                </c:pt>
                <c:pt idx="6">
                  <c:v>5.8295380611581002</c:v>
                </c:pt>
                <c:pt idx="7">
                  <c:v>6.91216655823031</c:v>
                </c:pt>
                <c:pt idx="8">
                  <c:v>6.6206896551724101</c:v>
                </c:pt>
                <c:pt idx="9">
                  <c:v>6.5270006506180804</c:v>
                </c:pt>
                <c:pt idx="10">
                  <c:v>6.46454131424853</c:v>
                </c:pt>
                <c:pt idx="11">
                  <c:v>7.2036434612882196</c:v>
                </c:pt>
                <c:pt idx="12">
                  <c:v>3.82042940793754</c:v>
                </c:pt>
                <c:pt idx="13">
                  <c:v>4.1431359791802196</c:v>
                </c:pt>
                <c:pt idx="14">
                  <c:v>4.90305790500976</c:v>
                </c:pt>
                <c:pt idx="15">
                  <c:v>7.5679895901106002</c:v>
                </c:pt>
                <c:pt idx="16">
                  <c:v>7.5783994795055296</c:v>
                </c:pt>
                <c:pt idx="17">
                  <c:v>9.8789850357839892</c:v>
                </c:pt>
                <c:pt idx="18">
                  <c:v>10.1808718282368</c:v>
                </c:pt>
                <c:pt idx="19">
                  <c:v>9.9726740403383207</c:v>
                </c:pt>
                <c:pt idx="20">
                  <c:v>11.9713728041639</c:v>
                </c:pt>
                <c:pt idx="21">
                  <c:v>11.638256343526299</c:v>
                </c:pt>
                <c:pt idx="22">
                  <c:v>13.220559531554899</c:v>
                </c:pt>
                <c:pt idx="23">
                  <c:v>12.6271958360442</c:v>
                </c:pt>
                <c:pt idx="24">
                  <c:v>12.9394925178919</c:v>
                </c:pt>
                <c:pt idx="25">
                  <c:v>13.459986987638199</c:v>
                </c:pt>
                <c:pt idx="26">
                  <c:v>8.0676642810670103</c:v>
                </c:pt>
                <c:pt idx="27">
                  <c:v>7.78659726740403</c:v>
                </c:pt>
                <c:pt idx="28">
                  <c:v>7.8074170461938799</c:v>
                </c:pt>
                <c:pt idx="29">
                  <c:v>10.1912817176317</c:v>
                </c:pt>
                <c:pt idx="30">
                  <c:v>9.9518542615484709</c:v>
                </c:pt>
                <c:pt idx="31">
                  <c:v>9.9934938191281706</c:v>
                </c:pt>
                <c:pt idx="32">
                  <c:v>12.2524398178269</c:v>
                </c:pt>
                <c:pt idx="33">
                  <c:v>12.0130123617436</c:v>
                </c:pt>
                <c:pt idx="34">
                  <c:v>12.2940793754066</c:v>
                </c:pt>
                <c:pt idx="35">
                  <c:v>7.8698763825634304</c:v>
                </c:pt>
                <c:pt idx="36">
                  <c:v>7.7033181522446297</c:v>
                </c:pt>
                <c:pt idx="37">
                  <c:v>8.16135328562134</c:v>
                </c:pt>
                <c:pt idx="38">
                  <c:v>9.7124268054651903</c:v>
                </c:pt>
                <c:pt idx="39">
                  <c:v>10.1080026024723</c:v>
                </c:pt>
                <c:pt idx="40">
                  <c:v>11.929733246584201</c:v>
                </c:pt>
                <c:pt idx="41">
                  <c:v>12.2836694860117</c:v>
                </c:pt>
                <c:pt idx="42">
                  <c:v>11.81522446324</c:v>
                </c:pt>
              </c:numCache>
              <c:extLst xmlns:c15="http://schemas.microsoft.com/office/drawing/2012/chart"/>
            </c:numRef>
          </c:xVal>
          <c:yVal>
            <c:numRef>
              <c:f>'van Passen vs Cui'!$B$41:$B$83</c:f>
              <c:numCache>
                <c:formatCode>0.00</c:formatCode>
                <c:ptCount val="43"/>
                <c:pt idx="0">
                  <c:v>4.8426150121067604</c:v>
                </c:pt>
                <c:pt idx="1">
                  <c:v>5.6497175141243998</c:v>
                </c:pt>
                <c:pt idx="2">
                  <c:v>16.9491525423729</c:v>
                </c:pt>
                <c:pt idx="3">
                  <c:v>21.791767554479499</c:v>
                </c:pt>
                <c:pt idx="4">
                  <c:v>27.4414850686039</c:v>
                </c:pt>
                <c:pt idx="5">
                  <c:v>38.7409200968522</c:v>
                </c:pt>
                <c:pt idx="6">
                  <c:v>58.111380145278503</c:v>
                </c:pt>
                <c:pt idx="7">
                  <c:v>30.669895076674901</c:v>
                </c:pt>
                <c:pt idx="8">
                  <c:v>45.197740112994502</c:v>
                </c:pt>
                <c:pt idx="9">
                  <c:v>58.111380145278503</c:v>
                </c:pt>
                <c:pt idx="10">
                  <c:v>92.009685230024104</c:v>
                </c:pt>
                <c:pt idx="11">
                  <c:v>77.481840193704599</c:v>
                </c:pt>
                <c:pt idx="12">
                  <c:v>118.64406779661</c:v>
                </c:pt>
                <c:pt idx="13">
                  <c:v>127.522195318805</c:v>
                </c:pt>
                <c:pt idx="14">
                  <c:v>121.872477804681</c:v>
                </c:pt>
                <c:pt idx="15">
                  <c:v>238.902340597256</c:v>
                </c:pt>
                <c:pt idx="16">
                  <c:v>207.42534301856301</c:v>
                </c:pt>
                <c:pt idx="17">
                  <c:v>305.08474576271101</c:v>
                </c:pt>
                <c:pt idx="18">
                  <c:v>322.84100080710198</c:v>
                </c:pt>
                <c:pt idx="19">
                  <c:v>393.05891848264702</c:v>
                </c:pt>
                <c:pt idx="20">
                  <c:v>516.54560129136405</c:v>
                </c:pt>
                <c:pt idx="21">
                  <c:v>480.22598870056498</c:v>
                </c:pt>
                <c:pt idx="22">
                  <c:v>519.77401129943496</c:v>
                </c:pt>
                <c:pt idx="23">
                  <c:v>429.37853107344603</c:v>
                </c:pt>
                <c:pt idx="24">
                  <c:v>727.19935431799797</c:v>
                </c:pt>
                <c:pt idx="25">
                  <c:v>870.05649717514098</c:v>
                </c:pt>
                <c:pt idx="26">
                  <c:v>154.963680387409</c:v>
                </c:pt>
                <c:pt idx="27">
                  <c:v>191.28329297820801</c:v>
                </c:pt>
                <c:pt idx="28">
                  <c:v>247.780468119451</c:v>
                </c:pt>
                <c:pt idx="29">
                  <c:v>333.33333333333297</c:v>
                </c:pt>
                <c:pt idx="30">
                  <c:v>364.81033091202499</c:v>
                </c:pt>
                <c:pt idx="31">
                  <c:v>478.61178369652902</c:v>
                </c:pt>
                <c:pt idx="32">
                  <c:v>660.20984665052401</c:v>
                </c:pt>
                <c:pt idx="33">
                  <c:v>721.54963680387402</c:v>
                </c:pt>
                <c:pt idx="34">
                  <c:v>854.72154963680396</c:v>
                </c:pt>
                <c:pt idx="35">
                  <c:v>129.13640032284101</c:v>
                </c:pt>
                <c:pt idx="36">
                  <c:v>150.92816787731999</c:v>
                </c:pt>
                <c:pt idx="37">
                  <c:v>213.882163034705</c:v>
                </c:pt>
                <c:pt idx="38">
                  <c:v>309.927360774818</c:v>
                </c:pt>
                <c:pt idx="39">
                  <c:v>318.80548829701303</c:v>
                </c:pt>
                <c:pt idx="40">
                  <c:v>482.64729620661802</c:v>
                </c:pt>
                <c:pt idx="41">
                  <c:v>728.00645682001596</c:v>
                </c:pt>
                <c:pt idx="42">
                  <c:v>900.72639225181604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3-0A91-4017-906A-265F724C0796}"/>
            </c:ext>
          </c:extLst>
        </c:ser>
        <c:ser>
          <c:idx val="0"/>
          <c:order val="1"/>
          <c:tx>
            <c:strRef>
              <c:f>Sheet4!$AL$2</c:f>
              <c:strCache>
                <c:ptCount val="1"/>
                <c:pt idx="0">
                  <c:v>Miftah et al. (2020)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4.6440843445293978E-2"/>
                  <c:y val="-0.13737595728616114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1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baseline="0"/>
                      <a:t>Miftah (2020)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62.134x</a:t>
                    </a:r>
                    <a:r>
                      <a:rPr lang="en-US" baseline="30000"/>
                      <a:t>1.1597</a:t>
                    </a:r>
                    <a:br>
                      <a:rPr lang="en-US" baseline="0"/>
                    </a:br>
                    <a:r>
                      <a:rPr lang="en-US" baseline="0"/>
                      <a:t>R² = 0.9356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Sheet4!$A$2:$A$7</c:f>
              <c:numCache>
                <c:formatCode>0.00</c:formatCode>
                <c:ptCount val="6"/>
                <c:pt idx="0">
                  <c:v>1.96013289036544</c:v>
                </c:pt>
                <c:pt idx="1">
                  <c:v>2.9817275747508298</c:v>
                </c:pt>
                <c:pt idx="2">
                  <c:v>3.6960132890365398</c:v>
                </c:pt>
                <c:pt idx="3">
                  <c:v>1.9684385382059799</c:v>
                </c:pt>
                <c:pt idx="4">
                  <c:v>2.3671096345514901</c:v>
                </c:pt>
                <c:pt idx="5">
                  <c:v>2.9817275747508298</c:v>
                </c:pt>
              </c:numCache>
            </c:numRef>
          </c:xVal>
          <c:yVal>
            <c:numRef>
              <c:f>Sheet4!$B$2:$B$7</c:f>
              <c:numCache>
                <c:formatCode>0.00</c:formatCode>
                <c:ptCount val="6"/>
                <c:pt idx="0">
                  <c:v>138.14262023217199</c:v>
                </c:pt>
                <c:pt idx="1">
                  <c:v>229.27031509120999</c:v>
                </c:pt>
                <c:pt idx="2">
                  <c:v>263.51575456053001</c:v>
                </c:pt>
                <c:pt idx="3">
                  <c:v>121.39303482587</c:v>
                </c:pt>
                <c:pt idx="4">
                  <c:v>188.05970149253699</c:v>
                </c:pt>
                <c:pt idx="5">
                  <c:v>225.37313432835799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A91-4017-906A-265F724C0796}"/>
            </c:ext>
          </c:extLst>
        </c:ser>
        <c:ser>
          <c:idx val="2"/>
          <c:order val="2"/>
          <c:tx>
            <c:strRef>
              <c:f>Sheet4!$AL$8</c:f>
              <c:strCache>
                <c:ptCount val="1"/>
                <c:pt idx="0">
                  <c:v>Liu et al. (2017)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ysClr val="windowText" lastClr="000000"/>
                </a:solidFill>
                <a:prstDash val="solid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1.732980841163069E-3"/>
                  <c:y val="8.8012696925470132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1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baseline="0"/>
                      <a:t>Liu (2017)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0.0477x</a:t>
                    </a:r>
                    <a:r>
                      <a:rPr lang="en-US" baseline="30000"/>
                      <a:t>3.0795</a:t>
                    </a:r>
                    <a:br>
                      <a:rPr lang="en-US" baseline="0"/>
                    </a:br>
                    <a:r>
                      <a:rPr lang="en-US" baseline="0"/>
                      <a:t>R² = 0.9678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Sheet4!$A$8:$A$15</c:f>
              <c:numCache>
                <c:formatCode>0.00</c:formatCode>
                <c:ptCount val="8"/>
                <c:pt idx="0">
                  <c:v>15.226793770897515</c:v>
                </c:pt>
                <c:pt idx="1">
                  <c:v>21.396037787715557</c:v>
                </c:pt>
                <c:pt idx="2">
                  <c:v>27.851099810925518</c:v>
                </c:pt>
                <c:pt idx="3">
                  <c:v>32.268898498016881</c:v>
                </c:pt>
                <c:pt idx="4">
                  <c:v>17.139533882066328</c:v>
                </c:pt>
                <c:pt idx="5">
                  <c:v>24.030246338742874</c:v>
                </c:pt>
                <c:pt idx="6">
                  <c:v>29.295736504123308</c:v>
                </c:pt>
                <c:pt idx="7">
                  <c:v>32.740284568562458</c:v>
                </c:pt>
              </c:numCache>
            </c:numRef>
          </c:xVal>
          <c:yVal>
            <c:numRef>
              <c:f>Sheet4!$B$8:$B$15</c:f>
              <c:numCache>
                <c:formatCode>0.00</c:formatCode>
                <c:ptCount val="8"/>
                <c:pt idx="0">
                  <c:v>211.83206106870099</c:v>
                </c:pt>
                <c:pt idx="1">
                  <c:v>563.931297709923</c:v>
                </c:pt>
                <c:pt idx="2">
                  <c:v>1067.7480916030499</c:v>
                </c:pt>
                <c:pt idx="3">
                  <c:v>2301.5267175572499</c:v>
                </c:pt>
                <c:pt idx="4">
                  <c:v>312.02290076335902</c:v>
                </c:pt>
                <c:pt idx="5">
                  <c:v>941.79389312977105</c:v>
                </c:pt>
                <c:pt idx="6">
                  <c:v>1468.5114503816701</c:v>
                </c:pt>
                <c:pt idx="7">
                  <c:v>2458.96946564885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A91-4017-906A-265F724C0796}"/>
            </c:ext>
          </c:extLst>
        </c:ser>
        <c:ser>
          <c:idx val="3"/>
          <c:order val="3"/>
          <c:tx>
            <c:strRef>
              <c:f>Sheet4!$AL$17</c:f>
              <c:strCache>
                <c:ptCount val="1"/>
                <c:pt idx="0">
                  <c:v>Chen et al. (2023)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olid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6.9988081199994926E-3"/>
                  <c:y val="-4.5116728829948889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1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baseline="0"/>
                      <a:t>Chen (2023)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y = 9.0241x</a:t>
                    </a:r>
                    <a:r>
                      <a:rPr lang="en-US" baseline="30000"/>
                      <a:t>2.3611</a:t>
                    </a:r>
                    <a:br>
                      <a:rPr lang="en-US" baseline="0"/>
                    </a:br>
                    <a:r>
                      <a:rPr lang="en-US" baseline="0"/>
                      <a:t>R² = 0.6765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Sheet4!$A$17:$A$36</c:f>
              <c:numCache>
                <c:formatCode>0.00</c:formatCode>
                <c:ptCount val="20"/>
                <c:pt idx="0">
                  <c:v>11.386639676113299</c:v>
                </c:pt>
                <c:pt idx="1">
                  <c:v>13.486842105263101</c:v>
                </c:pt>
                <c:pt idx="2">
                  <c:v>16.523279352226702</c:v>
                </c:pt>
                <c:pt idx="3">
                  <c:v>17.484817813765101</c:v>
                </c:pt>
                <c:pt idx="4">
                  <c:v>19.1295546558704</c:v>
                </c:pt>
                <c:pt idx="5">
                  <c:v>20.799595141700401</c:v>
                </c:pt>
                <c:pt idx="6">
                  <c:v>6.4832535885167397</c:v>
                </c:pt>
                <c:pt idx="7">
                  <c:v>9.0909090909090899</c:v>
                </c:pt>
                <c:pt idx="8">
                  <c:v>12.511961722488</c:v>
                </c:pt>
                <c:pt idx="9">
                  <c:v>16.507177033492798</c:v>
                </c:pt>
                <c:pt idx="10">
                  <c:v>17.511961722488</c:v>
                </c:pt>
                <c:pt idx="11">
                  <c:v>15.2392344497607</c:v>
                </c:pt>
                <c:pt idx="12">
                  <c:v>13.1100478468899</c:v>
                </c:pt>
                <c:pt idx="13">
                  <c:v>6.2862669245647904</c:v>
                </c:pt>
                <c:pt idx="14">
                  <c:v>9.3810444874274594</c:v>
                </c:pt>
                <c:pt idx="15">
                  <c:v>12.693423597678899</c:v>
                </c:pt>
                <c:pt idx="16">
                  <c:v>18.5203094777562</c:v>
                </c:pt>
                <c:pt idx="17">
                  <c:v>20.382011605415801</c:v>
                </c:pt>
                <c:pt idx="18">
                  <c:v>21.179883945841301</c:v>
                </c:pt>
                <c:pt idx="19">
                  <c:v>21.784332688588002</c:v>
                </c:pt>
              </c:numCache>
            </c:numRef>
          </c:xVal>
          <c:yVal>
            <c:numRef>
              <c:f>Sheet4!$B$17:$B$36</c:f>
              <c:numCache>
                <c:formatCode>0.00</c:formatCode>
                <c:ptCount val="20"/>
                <c:pt idx="0">
                  <c:v>3515.70415400202</c:v>
                </c:pt>
                <c:pt idx="1">
                  <c:v>6433.6372847011098</c:v>
                </c:pt>
                <c:pt idx="2">
                  <c:v>8581.5602836879407</c:v>
                </c:pt>
                <c:pt idx="3">
                  <c:v>9027.3556231003004</c:v>
                </c:pt>
                <c:pt idx="4">
                  <c:v>5643.3637284701099</c:v>
                </c:pt>
                <c:pt idx="5">
                  <c:v>4083.0800405268501</c:v>
                </c:pt>
                <c:pt idx="6">
                  <c:v>736.84210526315997</c:v>
                </c:pt>
                <c:pt idx="7">
                  <c:v>1492.8229665071699</c:v>
                </c:pt>
                <c:pt idx="8">
                  <c:v>5732.0574162679404</c:v>
                </c:pt>
                <c:pt idx="9">
                  <c:v>8593.3014354067</c:v>
                </c:pt>
                <c:pt idx="10">
                  <c:v>6220.0956937799001</c:v>
                </c:pt>
                <c:pt idx="11">
                  <c:v>4755.9808612440202</c:v>
                </c:pt>
                <c:pt idx="12">
                  <c:v>2516.7464114832501</c:v>
                </c:pt>
                <c:pt idx="13">
                  <c:v>560.92843326883303</c:v>
                </c:pt>
                <c:pt idx="14">
                  <c:v>1199.2263056092499</c:v>
                </c:pt>
                <c:pt idx="15">
                  <c:v>6402.3210831721299</c:v>
                </c:pt>
                <c:pt idx="16">
                  <c:v>11547.3887814313</c:v>
                </c:pt>
                <c:pt idx="17">
                  <c:v>13771.7601547388</c:v>
                </c:pt>
                <c:pt idx="18">
                  <c:v>14603.4816247582</c:v>
                </c:pt>
                <c:pt idx="19">
                  <c:v>15183.7524177949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0A91-4017-906A-265F724C0796}"/>
            </c:ext>
          </c:extLst>
        </c:ser>
        <c:ser>
          <c:idx val="4"/>
          <c:order val="4"/>
          <c:tx>
            <c:strRef>
              <c:f>Sheet4!$AL$80</c:f>
              <c:strCache>
                <c:ptCount val="1"/>
                <c:pt idx="0">
                  <c:v>Shivaprakash et al. (2025)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2167182302695255"/>
                  <c:y val="-0.17380047100276849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1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baseline="0"/>
                      <a:t>Shivaprakash (2025)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Sheet4!$A$80:$A$82</c:f>
              <c:numCache>
                <c:formatCode>0.00</c:formatCode>
                <c:ptCount val="3"/>
                <c:pt idx="0">
                  <c:v>4.26</c:v>
                </c:pt>
                <c:pt idx="1">
                  <c:v>5.1999999999999966</c:v>
                </c:pt>
                <c:pt idx="2">
                  <c:v>4.2851485148514801</c:v>
                </c:pt>
              </c:numCache>
            </c:numRef>
          </c:xVal>
          <c:yVal>
            <c:numRef>
              <c:f>Sheet4!$B$80:$B$82</c:f>
              <c:numCache>
                <c:formatCode>0.00</c:formatCode>
                <c:ptCount val="3"/>
                <c:pt idx="0">
                  <c:v>679.287853857193</c:v>
                </c:pt>
                <c:pt idx="1">
                  <c:v>577.49906835680997</c:v>
                </c:pt>
                <c:pt idx="2">
                  <c:v>402.485807121101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0A91-4017-906A-265F724C0796}"/>
            </c:ext>
          </c:extLst>
        </c:ser>
        <c:ser>
          <c:idx val="5"/>
          <c:order val="5"/>
          <c:tx>
            <c:v>Combined_Miftah_Chen_Shivaprakash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6"/>
                </a:solidFill>
                <a:prstDash val="solid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5788447639697212"/>
                  <c:y val="-5.17506801375855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Sheet4!$AW$2:$AW$31</c:f>
              <c:numCache>
                <c:formatCode>0.00</c:formatCode>
                <c:ptCount val="30"/>
                <c:pt idx="0">
                  <c:v>1.96013289036544</c:v>
                </c:pt>
                <c:pt idx="1">
                  <c:v>2.9817275747508298</c:v>
                </c:pt>
                <c:pt idx="2">
                  <c:v>3.6960132890365398</c:v>
                </c:pt>
                <c:pt idx="3">
                  <c:v>1.9684385382059799</c:v>
                </c:pt>
                <c:pt idx="4">
                  <c:v>2.3671096345514901</c:v>
                </c:pt>
                <c:pt idx="5">
                  <c:v>2.9817275747508298</c:v>
                </c:pt>
                <c:pt idx="6">
                  <c:v>4.26</c:v>
                </c:pt>
                <c:pt idx="7">
                  <c:v>5.1999999999999966</c:v>
                </c:pt>
                <c:pt idx="8">
                  <c:v>4.2851485148514801</c:v>
                </c:pt>
                <c:pt idx="9">
                  <c:v>15.98</c:v>
                </c:pt>
                <c:pt idx="10">
                  <c:v>11.386639676113299</c:v>
                </c:pt>
                <c:pt idx="11">
                  <c:v>13.486842105263101</c:v>
                </c:pt>
                <c:pt idx="12">
                  <c:v>16.523279352226702</c:v>
                </c:pt>
                <c:pt idx="13">
                  <c:v>17.484817813765101</c:v>
                </c:pt>
                <c:pt idx="14">
                  <c:v>19.1295546558704</c:v>
                </c:pt>
                <c:pt idx="15">
                  <c:v>20.799595141700401</c:v>
                </c:pt>
                <c:pt idx="16">
                  <c:v>6.4832535885167397</c:v>
                </c:pt>
                <c:pt idx="17">
                  <c:v>9.0909090909090899</c:v>
                </c:pt>
                <c:pt idx="18">
                  <c:v>12.511961722488</c:v>
                </c:pt>
                <c:pt idx="19">
                  <c:v>16.507177033492798</c:v>
                </c:pt>
                <c:pt idx="20">
                  <c:v>17.511961722488</c:v>
                </c:pt>
                <c:pt idx="21">
                  <c:v>15.2392344497607</c:v>
                </c:pt>
                <c:pt idx="22">
                  <c:v>13.1100478468899</c:v>
                </c:pt>
                <c:pt idx="23">
                  <c:v>6.2862669245647904</c:v>
                </c:pt>
                <c:pt idx="24">
                  <c:v>9.3810444874274594</c:v>
                </c:pt>
                <c:pt idx="25">
                  <c:v>12.693423597678899</c:v>
                </c:pt>
                <c:pt idx="26">
                  <c:v>18.5203094777562</c:v>
                </c:pt>
                <c:pt idx="27">
                  <c:v>20.382011605415801</c:v>
                </c:pt>
                <c:pt idx="28">
                  <c:v>21.179883945841301</c:v>
                </c:pt>
                <c:pt idx="29">
                  <c:v>21.784332688588002</c:v>
                </c:pt>
              </c:numCache>
            </c:numRef>
          </c:xVal>
          <c:yVal>
            <c:numRef>
              <c:f>Sheet4!$AX$2:$AX$31</c:f>
              <c:numCache>
                <c:formatCode>0.00</c:formatCode>
                <c:ptCount val="30"/>
                <c:pt idx="0">
                  <c:v>138.14262023217199</c:v>
                </c:pt>
                <c:pt idx="1">
                  <c:v>229.27031509120999</c:v>
                </c:pt>
                <c:pt idx="2">
                  <c:v>263.51575456053001</c:v>
                </c:pt>
                <c:pt idx="3">
                  <c:v>121.39303482587</c:v>
                </c:pt>
                <c:pt idx="4">
                  <c:v>188.05970149253699</c:v>
                </c:pt>
                <c:pt idx="5">
                  <c:v>225.37313432835799</c:v>
                </c:pt>
                <c:pt idx="6">
                  <c:v>679.287853857193</c:v>
                </c:pt>
                <c:pt idx="7">
                  <c:v>577.49906835680997</c:v>
                </c:pt>
                <c:pt idx="8">
                  <c:v>402.485807121101</c:v>
                </c:pt>
                <c:pt idx="9">
                  <c:v>1343</c:v>
                </c:pt>
                <c:pt idx="10">
                  <c:v>3515.70415400202</c:v>
                </c:pt>
                <c:pt idx="11">
                  <c:v>6433.6372847011098</c:v>
                </c:pt>
                <c:pt idx="12">
                  <c:v>8581.5602836879407</c:v>
                </c:pt>
                <c:pt idx="13">
                  <c:v>9027.3556231003004</c:v>
                </c:pt>
                <c:pt idx="14">
                  <c:v>5643.3637284701099</c:v>
                </c:pt>
                <c:pt idx="15">
                  <c:v>4083.0800405268501</c:v>
                </c:pt>
                <c:pt idx="16">
                  <c:v>736.84210526315997</c:v>
                </c:pt>
                <c:pt idx="17">
                  <c:v>1492.8229665071699</c:v>
                </c:pt>
                <c:pt idx="18">
                  <c:v>5732.0574162679404</c:v>
                </c:pt>
                <c:pt idx="19">
                  <c:v>8593.3014354067</c:v>
                </c:pt>
                <c:pt idx="20">
                  <c:v>6220.0956937799001</c:v>
                </c:pt>
                <c:pt idx="21">
                  <c:v>4755.9808612440202</c:v>
                </c:pt>
                <c:pt idx="22">
                  <c:v>2516.7464114832501</c:v>
                </c:pt>
                <c:pt idx="23">
                  <c:v>560.92843326883303</c:v>
                </c:pt>
                <c:pt idx="24">
                  <c:v>1199.2263056092499</c:v>
                </c:pt>
                <c:pt idx="25">
                  <c:v>6402.3210831721299</c:v>
                </c:pt>
                <c:pt idx="26">
                  <c:v>11547.3887814313</c:v>
                </c:pt>
                <c:pt idx="27">
                  <c:v>13771.7601547388</c:v>
                </c:pt>
                <c:pt idx="28">
                  <c:v>14603.4816247582</c:v>
                </c:pt>
                <c:pt idx="29">
                  <c:v>15183.7524177949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C-0A91-4017-906A-265F724C0796}"/>
            </c:ext>
          </c:extLst>
        </c:ser>
        <c:ser>
          <c:idx val="6"/>
          <c:order val="6"/>
          <c:tx>
            <c:v>Combined_Cui_Liu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FF0000"/>
                </a:solidFill>
                <a:prstDash val="solid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4.9766273177205504E-3"/>
                  <c:y val="-5.229823583695873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Sheet4!$AZ$2:$AZ$48</c:f>
              <c:numCache>
                <c:formatCode>0.00</c:formatCode>
                <c:ptCount val="47"/>
                <c:pt idx="0">
                  <c:v>15.226793770897515</c:v>
                </c:pt>
                <c:pt idx="1">
                  <c:v>21.396037787715557</c:v>
                </c:pt>
                <c:pt idx="2">
                  <c:v>27.851099810925518</c:v>
                </c:pt>
                <c:pt idx="3">
                  <c:v>32.268898498016881</c:v>
                </c:pt>
                <c:pt idx="4">
                  <c:v>17.139533882066328</c:v>
                </c:pt>
                <c:pt idx="5">
                  <c:v>24.030246338742874</c:v>
                </c:pt>
                <c:pt idx="6">
                  <c:v>29.295736504123308</c:v>
                </c:pt>
                <c:pt idx="7">
                  <c:v>32.740284568562458</c:v>
                </c:pt>
                <c:pt idx="8">
                  <c:v>4.5178919973975296</c:v>
                </c:pt>
                <c:pt idx="9">
                  <c:v>5.17371502927781</c:v>
                </c:pt>
                <c:pt idx="10">
                  <c:v>5.8295380611581002</c:v>
                </c:pt>
                <c:pt idx="11">
                  <c:v>6.91216655823031</c:v>
                </c:pt>
                <c:pt idx="12">
                  <c:v>6.6206896551724101</c:v>
                </c:pt>
                <c:pt idx="13">
                  <c:v>6.5270006506180804</c:v>
                </c:pt>
                <c:pt idx="14">
                  <c:v>6.46454131424853</c:v>
                </c:pt>
                <c:pt idx="15">
                  <c:v>7.2036434612882196</c:v>
                </c:pt>
                <c:pt idx="16">
                  <c:v>3.82042940793754</c:v>
                </c:pt>
                <c:pt idx="17">
                  <c:v>4.1431359791802196</c:v>
                </c:pt>
                <c:pt idx="18">
                  <c:v>4.90305790500976</c:v>
                </c:pt>
                <c:pt idx="19">
                  <c:v>7.5679895901106002</c:v>
                </c:pt>
                <c:pt idx="20">
                  <c:v>7.5783994795055296</c:v>
                </c:pt>
                <c:pt idx="21">
                  <c:v>9.8789850357839892</c:v>
                </c:pt>
                <c:pt idx="22">
                  <c:v>10.1808718282368</c:v>
                </c:pt>
                <c:pt idx="23">
                  <c:v>9.9726740403383207</c:v>
                </c:pt>
                <c:pt idx="24">
                  <c:v>11.9713728041639</c:v>
                </c:pt>
                <c:pt idx="25">
                  <c:v>11.638256343526299</c:v>
                </c:pt>
                <c:pt idx="26">
                  <c:v>13.220559531554899</c:v>
                </c:pt>
                <c:pt idx="27">
                  <c:v>12.6271958360442</c:v>
                </c:pt>
                <c:pt idx="28">
                  <c:v>12.9394925178919</c:v>
                </c:pt>
                <c:pt idx="29">
                  <c:v>13.459986987638199</c:v>
                </c:pt>
                <c:pt idx="30">
                  <c:v>8.0676642810670103</c:v>
                </c:pt>
                <c:pt idx="31">
                  <c:v>7.78659726740403</c:v>
                </c:pt>
                <c:pt idx="32">
                  <c:v>7.8074170461938799</c:v>
                </c:pt>
                <c:pt idx="33">
                  <c:v>10.1912817176317</c:v>
                </c:pt>
                <c:pt idx="34">
                  <c:v>9.9518542615484709</c:v>
                </c:pt>
                <c:pt idx="35">
                  <c:v>9.9934938191281706</c:v>
                </c:pt>
                <c:pt idx="36">
                  <c:v>12.2524398178269</c:v>
                </c:pt>
                <c:pt idx="37">
                  <c:v>12.0130123617436</c:v>
                </c:pt>
                <c:pt idx="38">
                  <c:v>12.2940793754066</c:v>
                </c:pt>
                <c:pt idx="39">
                  <c:v>7.8698763825634304</c:v>
                </c:pt>
                <c:pt idx="40">
                  <c:v>7.7033181522446297</c:v>
                </c:pt>
                <c:pt idx="41">
                  <c:v>8.16135328562134</c:v>
                </c:pt>
                <c:pt idx="42">
                  <c:v>9.7124268054651903</c:v>
                </c:pt>
                <c:pt idx="43">
                  <c:v>10.1080026024723</c:v>
                </c:pt>
                <c:pt idx="44">
                  <c:v>11.929733246584201</c:v>
                </c:pt>
                <c:pt idx="45">
                  <c:v>12.2836694860117</c:v>
                </c:pt>
                <c:pt idx="46">
                  <c:v>11.81522446324</c:v>
                </c:pt>
              </c:numCache>
            </c:numRef>
          </c:xVal>
          <c:yVal>
            <c:numRef>
              <c:f>Sheet4!$BA$2:$BA$48</c:f>
              <c:numCache>
                <c:formatCode>0.00</c:formatCode>
                <c:ptCount val="47"/>
                <c:pt idx="0">
                  <c:v>211.83206106870099</c:v>
                </c:pt>
                <c:pt idx="1">
                  <c:v>563.931297709923</c:v>
                </c:pt>
                <c:pt idx="2">
                  <c:v>1067.7480916030499</c:v>
                </c:pt>
                <c:pt idx="3">
                  <c:v>2301.5267175572499</c:v>
                </c:pt>
                <c:pt idx="4">
                  <c:v>312.02290076335902</c:v>
                </c:pt>
                <c:pt idx="5">
                  <c:v>941.79389312977105</c:v>
                </c:pt>
                <c:pt idx="6">
                  <c:v>1468.5114503816701</c:v>
                </c:pt>
                <c:pt idx="7">
                  <c:v>2458.96946564885</c:v>
                </c:pt>
                <c:pt idx="8">
                  <c:v>27.4414850686039</c:v>
                </c:pt>
                <c:pt idx="9">
                  <c:v>38.7409200968522</c:v>
                </c:pt>
                <c:pt idx="10">
                  <c:v>58.111380145278503</c:v>
                </c:pt>
                <c:pt idx="11">
                  <c:v>30.669895076674901</c:v>
                </c:pt>
                <c:pt idx="12">
                  <c:v>45.197740112994502</c:v>
                </c:pt>
                <c:pt idx="13">
                  <c:v>58.111380145278503</c:v>
                </c:pt>
                <c:pt idx="14">
                  <c:v>92.009685230024104</c:v>
                </c:pt>
                <c:pt idx="15">
                  <c:v>77.481840193704599</c:v>
                </c:pt>
                <c:pt idx="16">
                  <c:v>118.64406779661</c:v>
                </c:pt>
                <c:pt idx="17">
                  <c:v>127.522195318805</c:v>
                </c:pt>
                <c:pt idx="18">
                  <c:v>121.872477804681</c:v>
                </c:pt>
                <c:pt idx="19">
                  <c:v>238.902340597256</c:v>
                </c:pt>
                <c:pt idx="20">
                  <c:v>207.42534301856301</c:v>
                </c:pt>
                <c:pt idx="21">
                  <c:v>305.08474576271101</c:v>
                </c:pt>
                <c:pt idx="22">
                  <c:v>322.84100080710198</c:v>
                </c:pt>
                <c:pt idx="23">
                  <c:v>393.05891848264702</c:v>
                </c:pt>
                <c:pt idx="24">
                  <c:v>516.54560129136405</c:v>
                </c:pt>
                <c:pt idx="25">
                  <c:v>480.22598870056498</c:v>
                </c:pt>
                <c:pt idx="26">
                  <c:v>519.77401129943496</c:v>
                </c:pt>
                <c:pt idx="27">
                  <c:v>429.37853107344603</c:v>
                </c:pt>
                <c:pt idx="28">
                  <c:v>727.19935431799797</c:v>
                </c:pt>
                <c:pt idx="29">
                  <c:v>870.05649717514098</c:v>
                </c:pt>
                <c:pt idx="30">
                  <c:v>154.963680387409</c:v>
                </c:pt>
                <c:pt idx="31">
                  <c:v>191.28329297820801</c:v>
                </c:pt>
                <c:pt idx="32">
                  <c:v>247.780468119451</c:v>
                </c:pt>
                <c:pt idx="33">
                  <c:v>333.33333333333297</c:v>
                </c:pt>
                <c:pt idx="34">
                  <c:v>364.81033091202499</c:v>
                </c:pt>
                <c:pt idx="35">
                  <c:v>478.61178369652902</c:v>
                </c:pt>
                <c:pt idx="36">
                  <c:v>660.20984665052401</c:v>
                </c:pt>
                <c:pt idx="37">
                  <c:v>721.54963680387402</c:v>
                </c:pt>
                <c:pt idx="38">
                  <c:v>854.72154963680396</c:v>
                </c:pt>
                <c:pt idx="39">
                  <c:v>129.13640032284101</c:v>
                </c:pt>
                <c:pt idx="40">
                  <c:v>150.92816787731999</c:v>
                </c:pt>
                <c:pt idx="41">
                  <c:v>213.882163034705</c:v>
                </c:pt>
                <c:pt idx="42">
                  <c:v>309.927360774818</c:v>
                </c:pt>
                <c:pt idx="43">
                  <c:v>318.80548829701303</c:v>
                </c:pt>
                <c:pt idx="44">
                  <c:v>482.64729620661802</c:v>
                </c:pt>
                <c:pt idx="45">
                  <c:v>728.00645682001596</c:v>
                </c:pt>
                <c:pt idx="46">
                  <c:v>900.72639225181604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D-0A91-4017-906A-265F724C0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5526816"/>
        <c:axId val="1475529216"/>
        <c:extLst/>
      </c:scatterChart>
      <c:valAx>
        <c:axId val="1475526816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Carbonate Content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cross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75529216"/>
        <c:crosses val="autoZero"/>
        <c:crossBetween val="midCat"/>
      </c:valAx>
      <c:valAx>
        <c:axId val="147552921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Unconfined Copressive Strength (kPa)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cross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75526816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6990069779924855"/>
          <c:y val="0.48297588657582186"/>
          <c:w val="0.28444892456075843"/>
          <c:h val="0.336004146741931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5632124352331606"/>
          <c:y val="3.2133110844588135E-2"/>
          <c:w val="0.81"/>
          <c:h val="0.83067042116424183"/>
        </c:manualLayout>
      </c:layout>
      <c:scatterChart>
        <c:scatterStyle val="smoothMarker"/>
        <c:varyColors val="0"/>
        <c:ser>
          <c:idx val="4"/>
          <c:order val="0"/>
          <c:tx>
            <c:v>Miftah (2020)-Shivaprakash (2025)-Zhao (2021)-Chen (2023)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Sheet4!$AW$2:$AW$31</c:f>
              <c:numCache>
                <c:formatCode>0.00</c:formatCode>
                <c:ptCount val="30"/>
                <c:pt idx="0">
                  <c:v>1.96013289036544</c:v>
                </c:pt>
                <c:pt idx="1">
                  <c:v>2.9817275747508298</c:v>
                </c:pt>
                <c:pt idx="2">
                  <c:v>3.6960132890365398</c:v>
                </c:pt>
                <c:pt idx="3">
                  <c:v>1.9684385382059799</c:v>
                </c:pt>
                <c:pt idx="4">
                  <c:v>2.3671096345514901</c:v>
                </c:pt>
                <c:pt idx="5">
                  <c:v>2.9817275747508298</c:v>
                </c:pt>
                <c:pt idx="6">
                  <c:v>4.26</c:v>
                </c:pt>
                <c:pt idx="7">
                  <c:v>5.1999999999999966</c:v>
                </c:pt>
                <c:pt idx="8">
                  <c:v>4.2851485148514801</c:v>
                </c:pt>
                <c:pt idx="9">
                  <c:v>15.98</c:v>
                </c:pt>
                <c:pt idx="10">
                  <c:v>11.386639676113299</c:v>
                </c:pt>
                <c:pt idx="11">
                  <c:v>13.486842105263101</c:v>
                </c:pt>
                <c:pt idx="12">
                  <c:v>16.523279352226702</c:v>
                </c:pt>
                <c:pt idx="13">
                  <c:v>17.484817813765101</c:v>
                </c:pt>
                <c:pt idx="14">
                  <c:v>19.1295546558704</c:v>
                </c:pt>
                <c:pt idx="15">
                  <c:v>20.799595141700401</c:v>
                </c:pt>
                <c:pt idx="16">
                  <c:v>6.4832535885167397</c:v>
                </c:pt>
                <c:pt idx="17">
                  <c:v>9.0909090909090899</c:v>
                </c:pt>
                <c:pt idx="18">
                  <c:v>12.511961722488</c:v>
                </c:pt>
                <c:pt idx="19">
                  <c:v>16.507177033492798</c:v>
                </c:pt>
                <c:pt idx="20">
                  <c:v>17.511961722488</c:v>
                </c:pt>
                <c:pt idx="21">
                  <c:v>15.2392344497607</c:v>
                </c:pt>
                <c:pt idx="22">
                  <c:v>13.1100478468899</c:v>
                </c:pt>
                <c:pt idx="23">
                  <c:v>6.2862669245647904</c:v>
                </c:pt>
                <c:pt idx="24">
                  <c:v>9.3810444874274594</c:v>
                </c:pt>
                <c:pt idx="25">
                  <c:v>12.693423597678899</c:v>
                </c:pt>
                <c:pt idx="26">
                  <c:v>18.5203094777562</c:v>
                </c:pt>
                <c:pt idx="27">
                  <c:v>20.382011605415801</c:v>
                </c:pt>
                <c:pt idx="28">
                  <c:v>21.179883945841301</c:v>
                </c:pt>
                <c:pt idx="29">
                  <c:v>21.784332688588002</c:v>
                </c:pt>
              </c:numCache>
            </c:numRef>
          </c:xVal>
          <c:yVal>
            <c:numRef>
              <c:f>Sheet4!$AX$2:$AX$31</c:f>
              <c:numCache>
                <c:formatCode>0.00</c:formatCode>
                <c:ptCount val="30"/>
                <c:pt idx="0">
                  <c:v>138.14262023217199</c:v>
                </c:pt>
                <c:pt idx="1">
                  <c:v>229.27031509120999</c:v>
                </c:pt>
                <c:pt idx="2">
                  <c:v>263.51575456053001</c:v>
                </c:pt>
                <c:pt idx="3">
                  <c:v>121.39303482587</c:v>
                </c:pt>
                <c:pt idx="4">
                  <c:v>188.05970149253699</c:v>
                </c:pt>
                <c:pt idx="5">
                  <c:v>225.37313432835799</c:v>
                </c:pt>
                <c:pt idx="6">
                  <c:v>679.287853857193</c:v>
                </c:pt>
                <c:pt idx="7">
                  <c:v>577.49906835680997</c:v>
                </c:pt>
                <c:pt idx="8">
                  <c:v>402.485807121101</c:v>
                </c:pt>
                <c:pt idx="9">
                  <c:v>1343</c:v>
                </c:pt>
                <c:pt idx="10">
                  <c:v>3515.70415400202</c:v>
                </c:pt>
                <c:pt idx="11">
                  <c:v>6433.6372847011098</c:v>
                </c:pt>
                <c:pt idx="12">
                  <c:v>8581.5602836879407</c:v>
                </c:pt>
                <c:pt idx="13">
                  <c:v>9027.3556231003004</c:v>
                </c:pt>
                <c:pt idx="14">
                  <c:v>5643.3637284701099</c:v>
                </c:pt>
                <c:pt idx="15">
                  <c:v>4083.0800405268501</c:v>
                </c:pt>
                <c:pt idx="16">
                  <c:v>736.84210526315997</c:v>
                </c:pt>
                <c:pt idx="17">
                  <c:v>1492.8229665071699</c:v>
                </c:pt>
                <c:pt idx="18">
                  <c:v>5732.0574162679404</c:v>
                </c:pt>
                <c:pt idx="19">
                  <c:v>8593.3014354067</c:v>
                </c:pt>
                <c:pt idx="20">
                  <c:v>6220.0956937799001</c:v>
                </c:pt>
                <c:pt idx="21">
                  <c:v>4755.9808612440202</c:v>
                </c:pt>
                <c:pt idx="22">
                  <c:v>2516.7464114832501</c:v>
                </c:pt>
                <c:pt idx="23">
                  <c:v>560.92843326883303</c:v>
                </c:pt>
                <c:pt idx="24">
                  <c:v>1199.2263056092499</c:v>
                </c:pt>
                <c:pt idx="25">
                  <c:v>6402.3210831721299</c:v>
                </c:pt>
                <c:pt idx="26">
                  <c:v>11547.3887814313</c:v>
                </c:pt>
                <c:pt idx="27">
                  <c:v>13771.7601547388</c:v>
                </c:pt>
                <c:pt idx="28">
                  <c:v>14603.4816247582</c:v>
                </c:pt>
                <c:pt idx="29">
                  <c:v>15183.7524177949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9D2-4FFA-ADD6-007ECE2088B7}"/>
            </c:ext>
          </c:extLst>
        </c:ser>
        <c:ser>
          <c:idx val="0"/>
          <c:order val="1"/>
          <c:tx>
            <c:v>Liu (2017)-Cui (2024)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Sheet4!$AZ$2:$AZ$48</c:f>
              <c:numCache>
                <c:formatCode>0.00</c:formatCode>
                <c:ptCount val="47"/>
                <c:pt idx="0">
                  <c:v>15.226793770897515</c:v>
                </c:pt>
                <c:pt idx="1">
                  <c:v>21.396037787715557</c:v>
                </c:pt>
                <c:pt idx="2">
                  <c:v>27.851099810925518</c:v>
                </c:pt>
                <c:pt idx="3">
                  <c:v>32.268898498016881</c:v>
                </c:pt>
                <c:pt idx="4">
                  <c:v>17.139533882066328</c:v>
                </c:pt>
                <c:pt idx="5">
                  <c:v>24.030246338742874</c:v>
                </c:pt>
                <c:pt idx="6">
                  <c:v>29.295736504123308</c:v>
                </c:pt>
                <c:pt idx="7">
                  <c:v>32.740284568562458</c:v>
                </c:pt>
                <c:pt idx="8">
                  <c:v>4.5178919973975296</c:v>
                </c:pt>
                <c:pt idx="9">
                  <c:v>5.17371502927781</c:v>
                </c:pt>
                <c:pt idx="10">
                  <c:v>5.8295380611581002</c:v>
                </c:pt>
                <c:pt idx="11">
                  <c:v>6.91216655823031</c:v>
                </c:pt>
                <c:pt idx="12">
                  <c:v>6.6206896551724101</c:v>
                </c:pt>
                <c:pt idx="13">
                  <c:v>6.5270006506180804</c:v>
                </c:pt>
                <c:pt idx="14">
                  <c:v>6.46454131424853</c:v>
                </c:pt>
                <c:pt idx="15">
                  <c:v>7.2036434612882196</c:v>
                </c:pt>
                <c:pt idx="16">
                  <c:v>3.82042940793754</c:v>
                </c:pt>
                <c:pt idx="17">
                  <c:v>4.1431359791802196</c:v>
                </c:pt>
                <c:pt idx="18">
                  <c:v>4.90305790500976</c:v>
                </c:pt>
                <c:pt idx="19">
                  <c:v>7.5679895901106002</c:v>
                </c:pt>
                <c:pt idx="20">
                  <c:v>7.5783994795055296</c:v>
                </c:pt>
                <c:pt idx="21">
                  <c:v>9.8789850357839892</c:v>
                </c:pt>
                <c:pt idx="22">
                  <c:v>10.1808718282368</c:v>
                </c:pt>
                <c:pt idx="23">
                  <c:v>9.9726740403383207</c:v>
                </c:pt>
                <c:pt idx="24">
                  <c:v>11.9713728041639</c:v>
                </c:pt>
                <c:pt idx="25">
                  <c:v>11.638256343526299</c:v>
                </c:pt>
                <c:pt idx="26">
                  <c:v>13.220559531554899</c:v>
                </c:pt>
                <c:pt idx="27">
                  <c:v>12.6271958360442</c:v>
                </c:pt>
                <c:pt idx="28">
                  <c:v>12.9394925178919</c:v>
                </c:pt>
                <c:pt idx="29">
                  <c:v>13.459986987638199</c:v>
                </c:pt>
                <c:pt idx="30">
                  <c:v>8.0676642810670103</c:v>
                </c:pt>
                <c:pt idx="31">
                  <c:v>7.78659726740403</c:v>
                </c:pt>
                <c:pt idx="32">
                  <c:v>7.8074170461938799</c:v>
                </c:pt>
                <c:pt idx="33">
                  <c:v>10.1912817176317</c:v>
                </c:pt>
                <c:pt idx="34">
                  <c:v>9.9518542615484709</c:v>
                </c:pt>
                <c:pt idx="35">
                  <c:v>9.9934938191281706</c:v>
                </c:pt>
                <c:pt idx="36">
                  <c:v>12.2524398178269</c:v>
                </c:pt>
                <c:pt idx="37">
                  <c:v>12.0130123617436</c:v>
                </c:pt>
                <c:pt idx="38">
                  <c:v>12.2940793754066</c:v>
                </c:pt>
                <c:pt idx="39">
                  <c:v>7.8698763825634304</c:v>
                </c:pt>
                <c:pt idx="40">
                  <c:v>7.7033181522446297</c:v>
                </c:pt>
                <c:pt idx="41">
                  <c:v>8.16135328562134</c:v>
                </c:pt>
                <c:pt idx="42">
                  <c:v>9.7124268054651903</c:v>
                </c:pt>
                <c:pt idx="43">
                  <c:v>10.1080026024723</c:v>
                </c:pt>
                <c:pt idx="44">
                  <c:v>11.929733246584201</c:v>
                </c:pt>
                <c:pt idx="45">
                  <c:v>12.2836694860117</c:v>
                </c:pt>
                <c:pt idx="46">
                  <c:v>11.81522446324</c:v>
                </c:pt>
              </c:numCache>
            </c:numRef>
          </c:xVal>
          <c:yVal>
            <c:numRef>
              <c:f>Sheet4!$BA$2:$BA$48</c:f>
              <c:numCache>
                <c:formatCode>0.00</c:formatCode>
                <c:ptCount val="47"/>
                <c:pt idx="0">
                  <c:v>211.83206106870099</c:v>
                </c:pt>
                <c:pt idx="1">
                  <c:v>563.931297709923</c:v>
                </c:pt>
                <c:pt idx="2">
                  <c:v>1067.7480916030499</c:v>
                </c:pt>
                <c:pt idx="3">
                  <c:v>2301.5267175572499</c:v>
                </c:pt>
                <c:pt idx="4">
                  <c:v>312.02290076335902</c:v>
                </c:pt>
                <c:pt idx="5">
                  <c:v>941.79389312977105</c:v>
                </c:pt>
                <c:pt idx="6">
                  <c:v>1468.5114503816701</c:v>
                </c:pt>
                <c:pt idx="7">
                  <c:v>2458.96946564885</c:v>
                </c:pt>
                <c:pt idx="8">
                  <c:v>27.4414850686039</c:v>
                </c:pt>
                <c:pt idx="9">
                  <c:v>38.7409200968522</c:v>
                </c:pt>
                <c:pt idx="10">
                  <c:v>58.111380145278503</c:v>
                </c:pt>
                <c:pt idx="11">
                  <c:v>30.669895076674901</c:v>
                </c:pt>
                <c:pt idx="12">
                  <c:v>45.197740112994502</c:v>
                </c:pt>
                <c:pt idx="13">
                  <c:v>58.111380145278503</c:v>
                </c:pt>
                <c:pt idx="14">
                  <c:v>92.009685230024104</c:v>
                </c:pt>
                <c:pt idx="15">
                  <c:v>77.481840193704599</c:v>
                </c:pt>
                <c:pt idx="16">
                  <c:v>118.64406779661</c:v>
                </c:pt>
                <c:pt idx="17">
                  <c:v>127.522195318805</c:v>
                </c:pt>
                <c:pt idx="18">
                  <c:v>121.872477804681</c:v>
                </c:pt>
                <c:pt idx="19">
                  <c:v>238.902340597256</c:v>
                </c:pt>
                <c:pt idx="20">
                  <c:v>207.42534301856301</c:v>
                </c:pt>
                <c:pt idx="21">
                  <c:v>305.08474576271101</c:v>
                </c:pt>
                <c:pt idx="22">
                  <c:v>322.84100080710198</c:v>
                </c:pt>
                <c:pt idx="23">
                  <c:v>393.05891848264702</c:v>
                </c:pt>
                <c:pt idx="24">
                  <c:v>516.54560129136405</c:v>
                </c:pt>
                <c:pt idx="25">
                  <c:v>480.22598870056498</c:v>
                </c:pt>
                <c:pt idx="26">
                  <c:v>519.77401129943496</c:v>
                </c:pt>
                <c:pt idx="27">
                  <c:v>429.37853107344603</c:v>
                </c:pt>
                <c:pt idx="28">
                  <c:v>727.19935431799797</c:v>
                </c:pt>
                <c:pt idx="29">
                  <c:v>870.05649717514098</c:v>
                </c:pt>
                <c:pt idx="30">
                  <c:v>154.963680387409</c:v>
                </c:pt>
                <c:pt idx="31">
                  <c:v>191.28329297820801</c:v>
                </c:pt>
                <c:pt idx="32">
                  <c:v>247.780468119451</c:v>
                </c:pt>
                <c:pt idx="33">
                  <c:v>333.33333333333297</c:v>
                </c:pt>
                <c:pt idx="34">
                  <c:v>364.81033091202499</c:v>
                </c:pt>
                <c:pt idx="35">
                  <c:v>478.61178369652902</c:v>
                </c:pt>
                <c:pt idx="36">
                  <c:v>660.20984665052401</c:v>
                </c:pt>
                <c:pt idx="37">
                  <c:v>721.54963680387402</c:v>
                </c:pt>
                <c:pt idx="38">
                  <c:v>854.72154963680396</c:v>
                </c:pt>
                <c:pt idx="39">
                  <c:v>129.13640032284101</c:v>
                </c:pt>
                <c:pt idx="40">
                  <c:v>150.92816787731999</c:v>
                </c:pt>
                <c:pt idx="41">
                  <c:v>213.882163034705</c:v>
                </c:pt>
                <c:pt idx="42">
                  <c:v>309.927360774818</c:v>
                </c:pt>
                <c:pt idx="43">
                  <c:v>318.80548829701303</c:v>
                </c:pt>
                <c:pt idx="44">
                  <c:v>482.64729620661802</c:v>
                </c:pt>
                <c:pt idx="45">
                  <c:v>728.00645682001596</c:v>
                </c:pt>
                <c:pt idx="46">
                  <c:v>900.72639225181604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9D2-4FFA-ADD6-007ECE2088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5526816"/>
        <c:axId val="1475529216"/>
        <c:extLst/>
      </c:scatterChart>
      <c:valAx>
        <c:axId val="1475526816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Carbonate Content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cross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75529216"/>
        <c:crosses val="autoZero"/>
        <c:crossBetween val="midCat"/>
      </c:valAx>
      <c:valAx>
        <c:axId val="147552921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Unconfined Copressive Strength (kPa)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cross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75526816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7929414922168541"/>
          <c:y val="0.69987086854417813"/>
          <c:w val="0.32070585077831454"/>
          <c:h val="0.209560137667616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/>
    <cx:plotArea>
      <cx:plotAreaRegion>
        <cx:series layoutId="clusteredColumn" uniqueId="{879CC172-7D17-4942-AD44-F24B1635AF11}">
          <cx:dataId val="0"/>
          <cx:layoutPr>
            <cx:binning intervalClosed="r">
              <cx:binSize val="100"/>
            </cx:binning>
          </cx:layoutPr>
        </cx:series>
      </cx:plotAreaRegion>
      <cx:axis id="0">
        <cx:catScaling gapWidth="0"/>
        <cx:tickLabels/>
        <cx:numFmt formatCode="0" sourceLinked="0"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78E6AABC-D469-4B47-8CB3-BC17304794A6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5CA7ADEE-76E4-4A72-B3A5-3D9919A68184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1ECF8F95-9D78-4EDA-BEBB-F06D2A653C5F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  <cx:data id="1">
      <cx:numDim type="val">
        <cx:f>_xlchart.v1.7</cx:f>
      </cx:numDim>
    </cx:data>
    <cx:data id="2">
      <cx:numDim type="val">
        <cx:f>_xlchart.v1.4</cx:f>
      </cx:numDim>
    </cx:data>
    <cx:data id="3">
      <cx:numDim type="val">
        <cx:f>_xlchart.v1.5</cx:f>
      </cx:numDim>
    </cx:data>
  </cx:chartData>
  <cx:chart>
    <cx:plotArea>
      <cx:plotAreaRegion>
        <cx:plotSurface>
          <cx:spPr>
            <a:ln>
              <a:solidFill>
                <a:schemeClr val="tx1"/>
              </a:solidFill>
            </a:ln>
          </cx:spPr>
        </cx:plotSurface>
        <cx:series layoutId="boxWhisker" uniqueId="{535EE1C8-DD07-472A-AAB1-2E9B559E30C5}">
          <cx:tx>
            <cx:txData>
              <cx:f>_xlchart.v1.9</cx:f>
              <cx:v>IMMERSION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D2C1-476A-A63C-FAF96C836C84}">
          <cx:tx>
            <cx:txData>
              <cx:f>_xlchart.v1.11</cx:f>
              <cx:v>INJECTION</cx:v>
            </cx:txData>
          </cx:tx>
          <cx:dataId val="1"/>
          <cx:layoutPr>
            <cx:statistics quartileMethod="exclusive"/>
          </cx:layoutPr>
        </cx:series>
        <cx:series layoutId="boxWhisker" uniqueId="{00000002-D2C1-476A-A63C-FAF96C836C84}">
          <cx:tx>
            <cx:txData>
              <cx:f>_xlchart.v1.8</cx:f>
              <cx:v>MIX-COMPACT</cx:v>
            </cx:txData>
          </cx:tx>
          <cx:dataId val="2"/>
          <cx:layoutPr>
            <cx:statistics quartileMethod="exclusive"/>
          </cx:layoutPr>
        </cx:series>
        <cx:series layoutId="boxWhisker" uniqueId="{00000003-D2C1-476A-A63C-FAF96C836C84}">
          <cx:tx>
            <cx:txData>
              <cx:f>_xlchart.v1.10</cx:f>
              <cx:v>PERCOLATION</cx:v>
            </cx:txData>
          </cx:tx>
          <cx:dataId val="3"/>
          <cx:layoutPr>
            <cx:statistics quartileMethod="exclusive"/>
          </cx:layoutPr>
        </cx:series>
      </cx:plotAreaRegion>
      <cx:axis id="0" hidden="1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ysClr val="windowText" lastClr="000000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  <cx:axis id="1">
        <cx:valScaling max="85" min="20"/>
        <cx:majorGridlines/>
        <cx:tickLabels/>
        <cx:spPr>
          <a:ln>
            <a:solidFill>
              <a:schemeClr val="tx1"/>
            </a:solidFill>
          </a:ln>
        </cx:spPr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ysClr val="windowText" lastClr="000000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</cx:plotArea>
    <cx:legend pos="b" align="ctr" overlay="0">
      <cx:txPr>
        <a:bodyPr vertOverflow="overflow" horzOverflow="overflow" wrap="square" lIns="0" tIns="0" rIns="0" bIns="0"/>
        <a:lstStyle/>
        <a:p>
          <a:pPr algn="ctr" rtl="0">
            <a:defRPr sz="900" b="0" i="0">
              <a:solidFill>
                <a:sysClr val="windowText" lastClr="000000"/>
              </a:solidFill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defRPr>
          </a:pPr>
          <a:endParaRPr lang="en-US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8EF34C7-6171-4F9F-9126-A11174A78FFB}">
  <sheetPr/>
  <sheetViews>
    <sheetView zoomScale="8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microsoft.com/office/2014/relationships/chartEx" Target="../charts/chartEx4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251460</xdr:colOff>
      <xdr:row>2</xdr:row>
      <xdr:rowOff>68580</xdr:rowOff>
    </xdr:from>
    <xdr:to>
      <xdr:col>62</xdr:col>
      <xdr:colOff>601980</xdr:colOff>
      <xdr:row>50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EE77AAE-C0D2-4727-99A1-F1AF553F11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64</xdr:col>
      <xdr:colOff>0</xdr:colOff>
      <xdr:row>2</xdr:row>
      <xdr:rowOff>0</xdr:rowOff>
    </xdr:from>
    <xdr:to>
      <xdr:col>82</xdr:col>
      <xdr:colOff>350520</xdr:colOff>
      <xdr:row>50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EF7BF9-76E0-40D8-831B-5B29B65621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0.20054</cdr:x>
      <cdr:y>0.11006</cdr:y>
    </cdr:from>
    <cdr:to>
      <cdr:x>0.22476</cdr:x>
      <cdr:y>0.17023</cdr:y>
    </cdr:to>
    <cdr:cxnSp macro="">
      <cdr:nvCxnSpPr>
        <cdr:cNvPr id="3" name="Straight Arrow Connector 2">
          <a:extLst xmlns:a="http://schemas.openxmlformats.org/drawingml/2006/main">
            <a:ext uri="{FF2B5EF4-FFF2-40B4-BE49-F238E27FC236}">
              <a16:creationId xmlns:a16="http://schemas.microsoft.com/office/drawing/2014/main" id="{18FC6F4A-45DA-69B7-5065-5932E52CCA98}"/>
            </a:ext>
          </a:extLst>
        </cdr:cNvPr>
        <cdr:cNvCxnSpPr/>
      </cdr:nvCxnSpPr>
      <cdr:spPr>
        <a:xfrm xmlns:a="http://schemas.openxmlformats.org/drawingml/2006/main" flipH="1">
          <a:off x="2270760" y="1059180"/>
          <a:ext cx="274320" cy="57912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accent2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0.35734</cdr:x>
      <cdr:y>0.09897</cdr:y>
    </cdr:from>
    <cdr:to>
      <cdr:x>0.38156</cdr:x>
      <cdr:y>0.17419</cdr:y>
    </cdr:to>
    <cdr:cxnSp macro="">
      <cdr:nvCxnSpPr>
        <cdr:cNvPr id="4" name="Straight Arrow Connector 3">
          <a:extLst xmlns:a="http://schemas.openxmlformats.org/drawingml/2006/main">
            <a:ext uri="{FF2B5EF4-FFF2-40B4-BE49-F238E27FC236}">
              <a16:creationId xmlns:a16="http://schemas.microsoft.com/office/drawing/2014/main" id="{8FBE80EA-FFD0-4ED6-7E3F-0F282CEEE1FF}"/>
            </a:ext>
          </a:extLst>
        </cdr:cNvPr>
        <cdr:cNvCxnSpPr/>
      </cdr:nvCxnSpPr>
      <cdr:spPr>
        <a:xfrm xmlns:a="http://schemas.openxmlformats.org/drawingml/2006/main" flipH="1">
          <a:off x="4046220" y="952500"/>
          <a:ext cx="274320" cy="72390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0070C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0.21669</cdr:x>
      <cdr:y>0.42043</cdr:y>
    </cdr:from>
    <cdr:to>
      <cdr:x>0.22005</cdr:x>
      <cdr:y>0.46873</cdr:y>
    </cdr:to>
    <cdr:cxnSp macro="">
      <cdr:nvCxnSpPr>
        <cdr:cNvPr id="8" name="Straight Arrow Connector 7">
          <a:extLst xmlns:a="http://schemas.openxmlformats.org/drawingml/2006/main">
            <a:ext uri="{FF2B5EF4-FFF2-40B4-BE49-F238E27FC236}">
              <a16:creationId xmlns:a16="http://schemas.microsoft.com/office/drawing/2014/main" id="{67852209-ED3D-C024-8394-E4E7EDAF4ABC}"/>
            </a:ext>
          </a:extLst>
        </cdr:cNvPr>
        <cdr:cNvCxnSpPr/>
      </cdr:nvCxnSpPr>
      <cdr:spPr>
        <a:xfrm xmlns:a="http://schemas.openxmlformats.org/drawingml/2006/main" flipV="1">
          <a:off x="2453640" y="4046220"/>
          <a:ext cx="38100" cy="46482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9751CB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0.23217</cdr:x>
      <cdr:y>0.57086</cdr:y>
    </cdr:from>
    <cdr:to>
      <cdr:x>0.24563</cdr:x>
      <cdr:y>0.62312</cdr:y>
    </cdr:to>
    <cdr:cxnSp macro="">
      <cdr:nvCxnSpPr>
        <cdr:cNvPr id="9" name="Straight Arrow Connector 8">
          <a:extLst xmlns:a="http://schemas.openxmlformats.org/drawingml/2006/main">
            <a:ext uri="{FF2B5EF4-FFF2-40B4-BE49-F238E27FC236}">
              <a16:creationId xmlns:a16="http://schemas.microsoft.com/office/drawing/2014/main" id="{AEBFD2FB-FB28-199F-4366-C8B9A4760D56}"/>
            </a:ext>
          </a:extLst>
        </cdr:cNvPr>
        <cdr:cNvCxnSpPr/>
      </cdr:nvCxnSpPr>
      <cdr:spPr>
        <a:xfrm xmlns:a="http://schemas.openxmlformats.org/drawingml/2006/main" flipH="1" flipV="1">
          <a:off x="2628900" y="5494020"/>
          <a:ext cx="152400" cy="50292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accent2">
              <a:lumMod val="75000"/>
            </a:schemeClr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0.5424</cdr:x>
      <cdr:y>0.42518</cdr:y>
    </cdr:from>
    <cdr:to>
      <cdr:x>0.55989</cdr:x>
      <cdr:y>0.45527</cdr:y>
    </cdr:to>
    <cdr:cxnSp macro="">
      <cdr:nvCxnSpPr>
        <cdr:cNvPr id="11" name="Straight Arrow Connector 10">
          <a:extLst xmlns:a="http://schemas.openxmlformats.org/drawingml/2006/main">
            <a:ext uri="{FF2B5EF4-FFF2-40B4-BE49-F238E27FC236}">
              <a16:creationId xmlns:a16="http://schemas.microsoft.com/office/drawing/2014/main" id="{0EDCB941-6CB5-B4D0-E71F-AC2D77ECA65C}"/>
            </a:ext>
          </a:extLst>
        </cdr:cNvPr>
        <cdr:cNvCxnSpPr/>
      </cdr:nvCxnSpPr>
      <cdr:spPr>
        <a:xfrm xmlns:a="http://schemas.openxmlformats.org/drawingml/2006/main" flipH="1" flipV="1">
          <a:off x="6141720" y="4091940"/>
          <a:ext cx="198120" cy="28956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00B0F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0.37483</cdr:x>
      <cdr:y>0.34679</cdr:y>
    </cdr:from>
    <cdr:to>
      <cdr:x>0.40848</cdr:x>
      <cdr:y>0.36975</cdr:y>
    </cdr:to>
    <cdr:cxnSp macro="">
      <cdr:nvCxnSpPr>
        <cdr:cNvPr id="16" name="Straight Arrow Connector 15">
          <a:extLst xmlns:a="http://schemas.openxmlformats.org/drawingml/2006/main">
            <a:ext uri="{FF2B5EF4-FFF2-40B4-BE49-F238E27FC236}">
              <a16:creationId xmlns:a16="http://schemas.microsoft.com/office/drawing/2014/main" id="{1FD5AF5B-3ED1-248F-ECF6-7C228C39CC9C}"/>
            </a:ext>
          </a:extLst>
        </cdr:cNvPr>
        <cdr:cNvCxnSpPr/>
      </cdr:nvCxnSpPr>
      <cdr:spPr>
        <a:xfrm xmlns:a="http://schemas.openxmlformats.org/drawingml/2006/main" flipH="1" flipV="1">
          <a:off x="4244340" y="3337560"/>
          <a:ext cx="381000" cy="22098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accent6">
              <a:lumMod val="50000"/>
            </a:schemeClr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0.61777</cdr:x>
      <cdr:y>0.24941</cdr:y>
    </cdr:from>
    <cdr:to>
      <cdr:x>0.62248</cdr:x>
      <cdr:y>0.29612</cdr:y>
    </cdr:to>
    <cdr:cxnSp macro="">
      <cdr:nvCxnSpPr>
        <cdr:cNvPr id="18" name="Straight Arrow Connector 17">
          <a:extLst xmlns:a="http://schemas.openxmlformats.org/drawingml/2006/main">
            <a:ext uri="{FF2B5EF4-FFF2-40B4-BE49-F238E27FC236}">
              <a16:creationId xmlns:a16="http://schemas.microsoft.com/office/drawing/2014/main" id="{EA1C2080-CCB4-329A-4505-6D093FEB1516}"/>
            </a:ext>
          </a:extLst>
        </cdr:cNvPr>
        <cdr:cNvCxnSpPr/>
      </cdr:nvCxnSpPr>
      <cdr:spPr>
        <a:xfrm xmlns:a="http://schemas.openxmlformats.org/drawingml/2006/main" flipV="1">
          <a:off x="6995160" y="2400300"/>
          <a:ext cx="53340" cy="44958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92D05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0.60633</cdr:x>
      <cdr:y>0.17102</cdr:y>
    </cdr:from>
    <cdr:to>
      <cdr:x>0.61911</cdr:x>
      <cdr:y>0.21694</cdr:y>
    </cdr:to>
    <cdr:cxnSp macro="">
      <cdr:nvCxnSpPr>
        <cdr:cNvPr id="20" name="Straight Arrow Connector 19">
          <a:extLst xmlns:a="http://schemas.openxmlformats.org/drawingml/2006/main">
            <a:ext uri="{FF2B5EF4-FFF2-40B4-BE49-F238E27FC236}">
              <a16:creationId xmlns:a16="http://schemas.microsoft.com/office/drawing/2014/main" id="{604FBCD8-DC86-B175-3A3B-6BCB649D7073}"/>
            </a:ext>
          </a:extLst>
        </cdr:cNvPr>
        <cdr:cNvCxnSpPr/>
      </cdr:nvCxnSpPr>
      <cdr:spPr>
        <a:xfrm xmlns:a="http://schemas.openxmlformats.org/drawingml/2006/main" flipH="1">
          <a:off x="6865620" y="1645920"/>
          <a:ext cx="144780" cy="44196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7030A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0.44549</cdr:x>
      <cdr:y>0.12906</cdr:y>
    </cdr:from>
    <cdr:to>
      <cdr:x>0.45357</cdr:x>
      <cdr:y>0.21694</cdr:y>
    </cdr:to>
    <cdr:cxnSp macro="">
      <cdr:nvCxnSpPr>
        <cdr:cNvPr id="21" name="Straight Arrow Connector 20">
          <a:extLst xmlns:a="http://schemas.openxmlformats.org/drawingml/2006/main">
            <a:ext uri="{FF2B5EF4-FFF2-40B4-BE49-F238E27FC236}">
              <a16:creationId xmlns:a16="http://schemas.microsoft.com/office/drawing/2014/main" id="{A4E4F236-DBEB-3EAE-2405-1AAEE7BABF07}"/>
            </a:ext>
          </a:extLst>
        </cdr:cNvPr>
        <cdr:cNvCxnSpPr/>
      </cdr:nvCxnSpPr>
      <cdr:spPr>
        <a:xfrm xmlns:a="http://schemas.openxmlformats.org/drawingml/2006/main" flipH="1">
          <a:off x="5044440" y="1242060"/>
          <a:ext cx="91440" cy="84582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accent2">
              <a:lumMod val="50000"/>
            </a:schemeClr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0.20054</cdr:x>
      <cdr:y>0.11006</cdr:y>
    </cdr:from>
    <cdr:to>
      <cdr:x>0.22476</cdr:x>
      <cdr:y>0.17023</cdr:y>
    </cdr:to>
    <cdr:cxnSp macro="">
      <cdr:nvCxnSpPr>
        <cdr:cNvPr id="3" name="Straight Arrow Connector 2">
          <a:extLst xmlns:a="http://schemas.openxmlformats.org/drawingml/2006/main">
            <a:ext uri="{FF2B5EF4-FFF2-40B4-BE49-F238E27FC236}">
              <a16:creationId xmlns:a16="http://schemas.microsoft.com/office/drawing/2014/main" id="{18FC6F4A-45DA-69B7-5065-5932E52CCA98}"/>
            </a:ext>
          </a:extLst>
        </cdr:cNvPr>
        <cdr:cNvCxnSpPr/>
      </cdr:nvCxnSpPr>
      <cdr:spPr>
        <a:xfrm xmlns:a="http://schemas.openxmlformats.org/drawingml/2006/main" flipH="1">
          <a:off x="2270760" y="1059180"/>
          <a:ext cx="274320" cy="57912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accent2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0.35734</cdr:x>
      <cdr:y>0.09897</cdr:y>
    </cdr:from>
    <cdr:to>
      <cdr:x>0.38156</cdr:x>
      <cdr:y>0.17419</cdr:y>
    </cdr:to>
    <cdr:cxnSp macro="">
      <cdr:nvCxnSpPr>
        <cdr:cNvPr id="4" name="Straight Arrow Connector 3">
          <a:extLst xmlns:a="http://schemas.openxmlformats.org/drawingml/2006/main">
            <a:ext uri="{FF2B5EF4-FFF2-40B4-BE49-F238E27FC236}">
              <a16:creationId xmlns:a16="http://schemas.microsoft.com/office/drawing/2014/main" id="{8FBE80EA-FFD0-4ED6-7E3F-0F282CEEE1FF}"/>
            </a:ext>
          </a:extLst>
        </cdr:cNvPr>
        <cdr:cNvCxnSpPr/>
      </cdr:nvCxnSpPr>
      <cdr:spPr>
        <a:xfrm xmlns:a="http://schemas.openxmlformats.org/drawingml/2006/main" flipH="1">
          <a:off x="4046220" y="952500"/>
          <a:ext cx="274320" cy="72390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0070C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0.21669</cdr:x>
      <cdr:y>0.42043</cdr:y>
    </cdr:from>
    <cdr:to>
      <cdr:x>0.22005</cdr:x>
      <cdr:y>0.46873</cdr:y>
    </cdr:to>
    <cdr:cxnSp macro="">
      <cdr:nvCxnSpPr>
        <cdr:cNvPr id="8" name="Straight Arrow Connector 7">
          <a:extLst xmlns:a="http://schemas.openxmlformats.org/drawingml/2006/main">
            <a:ext uri="{FF2B5EF4-FFF2-40B4-BE49-F238E27FC236}">
              <a16:creationId xmlns:a16="http://schemas.microsoft.com/office/drawing/2014/main" id="{67852209-ED3D-C024-8394-E4E7EDAF4ABC}"/>
            </a:ext>
          </a:extLst>
        </cdr:cNvPr>
        <cdr:cNvCxnSpPr/>
      </cdr:nvCxnSpPr>
      <cdr:spPr>
        <a:xfrm xmlns:a="http://schemas.openxmlformats.org/drawingml/2006/main" flipV="1">
          <a:off x="2453640" y="4046220"/>
          <a:ext cx="38100" cy="46482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9751CB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0.23217</cdr:x>
      <cdr:y>0.57086</cdr:y>
    </cdr:from>
    <cdr:to>
      <cdr:x>0.24563</cdr:x>
      <cdr:y>0.62312</cdr:y>
    </cdr:to>
    <cdr:cxnSp macro="">
      <cdr:nvCxnSpPr>
        <cdr:cNvPr id="9" name="Straight Arrow Connector 8">
          <a:extLst xmlns:a="http://schemas.openxmlformats.org/drawingml/2006/main">
            <a:ext uri="{FF2B5EF4-FFF2-40B4-BE49-F238E27FC236}">
              <a16:creationId xmlns:a16="http://schemas.microsoft.com/office/drawing/2014/main" id="{AEBFD2FB-FB28-199F-4366-C8B9A4760D56}"/>
            </a:ext>
          </a:extLst>
        </cdr:cNvPr>
        <cdr:cNvCxnSpPr/>
      </cdr:nvCxnSpPr>
      <cdr:spPr>
        <a:xfrm xmlns:a="http://schemas.openxmlformats.org/drawingml/2006/main" flipH="1" flipV="1">
          <a:off x="2628900" y="5494020"/>
          <a:ext cx="152400" cy="50292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accent2">
              <a:lumMod val="75000"/>
            </a:schemeClr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0.5424</cdr:x>
      <cdr:y>0.42518</cdr:y>
    </cdr:from>
    <cdr:to>
      <cdr:x>0.55989</cdr:x>
      <cdr:y>0.45527</cdr:y>
    </cdr:to>
    <cdr:cxnSp macro="">
      <cdr:nvCxnSpPr>
        <cdr:cNvPr id="11" name="Straight Arrow Connector 10">
          <a:extLst xmlns:a="http://schemas.openxmlformats.org/drawingml/2006/main">
            <a:ext uri="{FF2B5EF4-FFF2-40B4-BE49-F238E27FC236}">
              <a16:creationId xmlns:a16="http://schemas.microsoft.com/office/drawing/2014/main" id="{0EDCB941-6CB5-B4D0-E71F-AC2D77ECA65C}"/>
            </a:ext>
          </a:extLst>
        </cdr:cNvPr>
        <cdr:cNvCxnSpPr/>
      </cdr:nvCxnSpPr>
      <cdr:spPr>
        <a:xfrm xmlns:a="http://schemas.openxmlformats.org/drawingml/2006/main" flipH="1" flipV="1">
          <a:off x="6141720" y="4091940"/>
          <a:ext cx="198120" cy="28956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00B0F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0.37483</cdr:x>
      <cdr:y>0.34679</cdr:y>
    </cdr:from>
    <cdr:to>
      <cdr:x>0.40848</cdr:x>
      <cdr:y>0.36975</cdr:y>
    </cdr:to>
    <cdr:cxnSp macro="">
      <cdr:nvCxnSpPr>
        <cdr:cNvPr id="16" name="Straight Arrow Connector 15">
          <a:extLst xmlns:a="http://schemas.openxmlformats.org/drawingml/2006/main">
            <a:ext uri="{FF2B5EF4-FFF2-40B4-BE49-F238E27FC236}">
              <a16:creationId xmlns:a16="http://schemas.microsoft.com/office/drawing/2014/main" id="{1FD5AF5B-3ED1-248F-ECF6-7C228C39CC9C}"/>
            </a:ext>
          </a:extLst>
        </cdr:cNvPr>
        <cdr:cNvCxnSpPr/>
      </cdr:nvCxnSpPr>
      <cdr:spPr>
        <a:xfrm xmlns:a="http://schemas.openxmlformats.org/drawingml/2006/main" flipH="1" flipV="1">
          <a:off x="4244340" y="3337560"/>
          <a:ext cx="381000" cy="22098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accent6">
              <a:lumMod val="50000"/>
            </a:schemeClr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0.61777</cdr:x>
      <cdr:y>0.24941</cdr:y>
    </cdr:from>
    <cdr:to>
      <cdr:x>0.62248</cdr:x>
      <cdr:y>0.29612</cdr:y>
    </cdr:to>
    <cdr:cxnSp macro="">
      <cdr:nvCxnSpPr>
        <cdr:cNvPr id="18" name="Straight Arrow Connector 17">
          <a:extLst xmlns:a="http://schemas.openxmlformats.org/drawingml/2006/main">
            <a:ext uri="{FF2B5EF4-FFF2-40B4-BE49-F238E27FC236}">
              <a16:creationId xmlns:a16="http://schemas.microsoft.com/office/drawing/2014/main" id="{EA1C2080-CCB4-329A-4505-6D093FEB1516}"/>
            </a:ext>
          </a:extLst>
        </cdr:cNvPr>
        <cdr:cNvCxnSpPr/>
      </cdr:nvCxnSpPr>
      <cdr:spPr>
        <a:xfrm xmlns:a="http://schemas.openxmlformats.org/drawingml/2006/main" flipV="1">
          <a:off x="6995160" y="2400300"/>
          <a:ext cx="53340" cy="44958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92D05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0.60633</cdr:x>
      <cdr:y>0.17102</cdr:y>
    </cdr:from>
    <cdr:to>
      <cdr:x>0.61911</cdr:x>
      <cdr:y>0.21694</cdr:y>
    </cdr:to>
    <cdr:cxnSp macro="">
      <cdr:nvCxnSpPr>
        <cdr:cNvPr id="20" name="Straight Arrow Connector 19">
          <a:extLst xmlns:a="http://schemas.openxmlformats.org/drawingml/2006/main">
            <a:ext uri="{FF2B5EF4-FFF2-40B4-BE49-F238E27FC236}">
              <a16:creationId xmlns:a16="http://schemas.microsoft.com/office/drawing/2014/main" id="{604FBCD8-DC86-B175-3A3B-6BCB649D7073}"/>
            </a:ext>
          </a:extLst>
        </cdr:cNvPr>
        <cdr:cNvCxnSpPr/>
      </cdr:nvCxnSpPr>
      <cdr:spPr>
        <a:xfrm xmlns:a="http://schemas.openxmlformats.org/drawingml/2006/main" flipH="1">
          <a:off x="6865620" y="1645920"/>
          <a:ext cx="144780" cy="44196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7030A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0.44549</cdr:x>
      <cdr:y>0.12906</cdr:y>
    </cdr:from>
    <cdr:to>
      <cdr:x>0.45357</cdr:x>
      <cdr:y>0.21694</cdr:y>
    </cdr:to>
    <cdr:cxnSp macro="">
      <cdr:nvCxnSpPr>
        <cdr:cNvPr id="21" name="Straight Arrow Connector 20">
          <a:extLst xmlns:a="http://schemas.openxmlformats.org/drawingml/2006/main">
            <a:ext uri="{FF2B5EF4-FFF2-40B4-BE49-F238E27FC236}">
              <a16:creationId xmlns:a16="http://schemas.microsoft.com/office/drawing/2014/main" id="{A4E4F236-DBEB-3EAE-2405-1AAEE7BABF07}"/>
            </a:ext>
          </a:extLst>
        </cdr:cNvPr>
        <cdr:cNvCxnSpPr/>
      </cdr:nvCxnSpPr>
      <cdr:spPr>
        <a:xfrm xmlns:a="http://schemas.openxmlformats.org/drawingml/2006/main" flipH="1">
          <a:off x="5044440" y="1242060"/>
          <a:ext cx="91440" cy="84582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accent2">
              <a:lumMod val="50000"/>
            </a:schemeClr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553</xdr:row>
      <xdr:rowOff>148590</xdr:rowOff>
    </xdr:from>
    <xdr:to>
      <xdr:col>15</xdr:col>
      <xdr:colOff>228600</xdr:colOff>
      <xdr:row>567</xdr:row>
      <xdr:rowOff>118110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B2AA65B5-C84B-14FB-4519-5EE6CC4792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0600" y="1101813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327660</xdr:colOff>
      <xdr:row>1</xdr:row>
      <xdr:rowOff>72390</xdr:rowOff>
    </xdr:from>
    <xdr:to>
      <xdr:col>16</xdr:col>
      <xdr:colOff>22860</xdr:colOff>
      <xdr:row>15</xdr:row>
      <xdr:rowOff>41910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5EAF2A8A-4548-070B-C743-DA671C35E25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04460" y="4686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30480</xdr:colOff>
      <xdr:row>0</xdr:row>
      <xdr:rowOff>167640</xdr:rowOff>
    </xdr:from>
    <xdr:to>
      <xdr:col>29</xdr:col>
      <xdr:colOff>335280</xdr:colOff>
      <xdr:row>11</xdr:row>
      <xdr:rowOff>137160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0A29037B-0618-4DB3-BA79-F515A46A21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799820" y="167640"/>
              <a:ext cx="4572000" cy="23469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68580</xdr:colOff>
      <xdr:row>12</xdr:row>
      <xdr:rowOff>49530</xdr:rowOff>
    </xdr:from>
    <xdr:to>
      <xdr:col>29</xdr:col>
      <xdr:colOff>373380</xdr:colOff>
      <xdr:row>26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D5DCC89C-923C-164D-4E64-D1CC228EBD5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837920" y="26250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396240</xdr:colOff>
      <xdr:row>0</xdr:row>
      <xdr:rowOff>209550</xdr:rowOff>
    </xdr:from>
    <xdr:to>
      <xdr:col>14</xdr:col>
      <xdr:colOff>441960</xdr:colOff>
      <xdr:row>21</xdr:row>
      <xdr:rowOff>106680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8A6B630-8B38-1BA1-E08F-71226B261E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24200" y="209550"/>
              <a:ext cx="6751320" cy="42557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51488" cy="627256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B6808F-48D9-619D-3313-6567B9BC80D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57</xdr:col>
      <xdr:colOff>137160</xdr:colOff>
      <xdr:row>0</xdr:row>
      <xdr:rowOff>777240</xdr:rowOff>
    </xdr:from>
    <xdr:to>
      <xdr:col>69</xdr:col>
      <xdr:colOff>106680</xdr:colOff>
      <xdr:row>25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6CA518-8434-4428-A40B-A4AD1DC6A9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38100</xdr:colOff>
      <xdr:row>1</xdr:row>
      <xdr:rowOff>121920</xdr:rowOff>
    </xdr:from>
    <xdr:to>
      <xdr:col>53</xdr:col>
      <xdr:colOff>76200</xdr:colOff>
      <xdr:row>24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75DA3B-4AE9-8583-C95A-295127A0E1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53</xdr:col>
      <xdr:colOff>312420</xdr:colOff>
      <xdr:row>1</xdr:row>
      <xdr:rowOff>114300</xdr:rowOff>
    </xdr:from>
    <xdr:to>
      <xdr:col>65</xdr:col>
      <xdr:colOff>350520</xdr:colOff>
      <xdr:row>24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BD989B-F9B8-6544-A99E-CAD4E9BB7B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678180</xdr:colOff>
      <xdr:row>4</xdr:row>
      <xdr:rowOff>49530</xdr:rowOff>
    </xdr:from>
    <xdr:to>
      <xdr:col>39</xdr:col>
      <xdr:colOff>922020</xdr:colOff>
      <xdr:row>18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BDCEE4-E898-A4E7-DD9A-FE16F26258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55</xdr:col>
      <xdr:colOff>100605</xdr:colOff>
      <xdr:row>7</xdr:row>
      <xdr:rowOff>243841</xdr:rowOff>
    </xdr:from>
    <xdr:to>
      <xdr:col>59</xdr:col>
      <xdr:colOff>492663</xdr:colOff>
      <xdr:row>20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AA62CB-9479-168A-BE54-9279322A3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899305" y="2651761"/>
          <a:ext cx="4720218" cy="4602479"/>
        </a:xfrm>
        <a:prstGeom prst="rect">
          <a:avLst/>
        </a:prstGeom>
      </xdr:spPr>
    </xdr:pic>
    <xdr:clientData/>
  </xdr:twoCellAnchor>
  <xdr:twoCellAnchor>
    <xdr:from>
      <xdr:col>56</xdr:col>
      <xdr:colOff>594360</xdr:colOff>
      <xdr:row>41</xdr:row>
      <xdr:rowOff>156210</xdr:rowOff>
    </xdr:from>
    <xdr:to>
      <xdr:col>62</xdr:col>
      <xdr:colOff>160020</xdr:colOff>
      <xdr:row>62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566294-B29A-CAC4-A1E7-0AAA052F49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419100</xdr:colOff>
      <xdr:row>0</xdr:row>
      <xdr:rowOff>434340</xdr:rowOff>
    </xdr:from>
    <xdr:to>
      <xdr:col>46</xdr:col>
      <xdr:colOff>792480</xdr:colOff>
      <xdr:row>33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39D40C-1BA0-4867-8B23-8C8163EA56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56</xdr:col>
      <xdr:colOff>0</xdr:colOff>
      <xdr:row>1</xdr:row>
      <xdr:rowOff>0</xdr:rowOff>
    </xdr:from>
    <xdr:to>
      <xdr:col>64</xdr:col>
      <xdr:colOff>807720</xdr:colOff>
      <xdr:row>34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2C8CBC-6B7A-466F-8FD6-5F4E333CBC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68580</xdr:colOff>
      <xdr:row>12</xdr:row>
      <xdr:rowOff>7620</xdr:rowOff>
    </xdr:from>
    <xdr:to>
      <xdr:col>41</xdr:col>
      <xdr:colOff>129540</xdr:colOff>
      <xdr:row>16</xdr:row>
      <xdr:rowOff>83820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768E23BA-E889-1A4E-8AB7-A26EA3C1DF8D}"/>
            </a:ext>
          </a:extLst>
        </xdr:cNvPr>
        <xdr:cNvCxnSpPr/>
      </xdr:nvCxnSpPr>
      <xdr:spPr>
        <a:xfrm>
          <a:off x="49804320" y="2796540"/>
          <a:ext cx="60960" cy="876300"/>
        </a:xfrm>
        <a:prstGeom prst="straightConnector1">
          <a:avLst/>
        </a:prstGeom>
        <a:ln w="19050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830580</xdr:colOff>
      <xdr:row>8</xdr:row>
      <xdr:rowOff>76200</xdr:rowOff>
    </xdr:from>
    <xdr:to>
      <xdr:col>41</xdr:col>
      <xdr:colOff>1097280</xdr:colOff>
      <xdr:row>13</xdr:row>
      <xdr:rowOff>91440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118159C6-BCF4-3F84-3A22-6B603532DE49}"/>
            </a:ext>
          </a:extLst>
        </xdr:cNvPr>
        <xdr:cNvCxnSpPr/>
      </xdr:nvCxnSpPr>
      <xdr:spPr>
        <a:xfrm flipH="1">
          <a:off x="50566320" y="2065020"/>
          <a:ext cx="266700" cy="1013460"/>
        </a:xfrm>
        <a:prstGeom prst="straightConnector1">
          <a:avLst/>
        </a:prstGeom>
        <a:ln w="1905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106680</xdr:colOff>
      <xdr:row>8</xdr:row>
      <xdr:rowOff>68580</xdr:rowOff>
    </xdr:from>
    <xdr:to>
      <xdr:col>44</xdr:col>
      <xdr:colOff>1051560</xdr:colOff>
      <xdr:row>11</xdr:row>
      <xdr:rowOff>175260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4DE66C8A-87DF-FE84-4DB5-C3EA57DBF5A4}"/>
            </a:ext>
          </a:extLst>
        </xdr:cNvPr>
        <xdr:cNvCxnSpPr/>
      </xdr:nvCxnSpPr>
      <xdr:spPr>
        <a:xfrm flipH="1">
          <a:off x="54604920" y="2057400"/>
          <a:ext cx="944880" cy="70866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807720</xdr:colOff>
      <xdr:row>5</xdr:row>
      <xdr:rowOff>137160</xdr:rowOff>
    </xdr:from>
    <xdr:to>
      <xdr:col>44</xdr:col>
      <xdr:colOff>495300</xdr:colOff>
      <xdr:row>6</xdr:row>
      <xdr:rowOff>182880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1EE83063-7C08-E63B-1E2A-E9DD64634DDF}"/>
            </a:ext>
          </a:extLst>
        </xdr:cNvPr>
        <xdr:cNvCxnSpPr/>
      </xdr:nvCxnSpPr>
      <xdr:spPr>
        <a:xfrm flipH="1">
          <a:off x="54223920" y="1524000"/>
          <a:ext cx="769620" cy="243840"/>
        </a:xfrm>
        <a:prstGeom prst="straightConnector1">
          <a:avLst/>
        </a:prstGeom>
        <a:ln w="19050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mana Adhikari" refreshedDate="45942.657745833334" createdVersion="8" refreshedVersion="8" minRefreshableVersion="3" recordCount="327" xr:uid="{7D60A169-4416-4B3A-BE4C-314B2E4199EC}">
  <cacheSource type="worksheet">
    <worksheetSource ref="A1:B328" sheet="Treatment_method_vs_RD"/>
  </cacheSource>
  <cacheFields count="2">
    <cacheField name="Relative Density (%)" numFmtId="0">
      <sharedItems containsSemiMixedTypes="0" containsString="0" containsNumber="1" minValue="20" maxValue="82"/>
    </cacheField>
    <cacheField name="Treatment Method" numFmtId="0">
      <sharedItems count="4">
        <s v="IMMERSION"/>
        <s v="INJECTION"/>
        <s v="MIX-COMPACT"/>
        <s v="PERCOLATI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7">
  <r>
    <n v="48.5"/>
    <x v="0"/>
  </r>
  <r>
    <n v="48.5"/>
    <x v="0"/>
  </r>
  <r>
    <n v="48.5"/>
    <x v="0"/>
  </r>
  <r>
    <n v="48.5"/>
    <x v="0"/>
  </r>
  <r>
    <n v="48.5"/>
    <x v="0"/>
  </r>
  <r>
    <n v="48.5"/>
    <x v="0"/>
  </r>
  <r>
    <n v="48.5"/>
    <x v="0"/>
  </r>
  <r>
    <n v="48.5"/>
    <x v="0"/>
  </r>
  <r>
    <n v="48.5"/>
    <x v="0"/>
  </r>
  <r>
    <n v="48.5"/>
    <x v="0"/>
  </r>
  <r>
    <n v="48.5"/>
    <x v="0"/>
  </r>
  <r>
    <n v="48.5"/>
    <x v="0"/>
  </r>
  <r>
    <n v="48.5"/>
    <x v="0"/>
  </r>
  <r>
    <n v="48.5"/>
    <x v="0"/>
  </r>
  <r>
    <n v="48.5"/>
    <x v="0"/>
  </r>
  <r>
    <n v="48.5"/>
    <x v="0"/>
  </r>
  <r>
    <n v="48.5"/>
    <x v="0"/>
  </r>
  <r>
    <n v="48.5"/>
    <x v="0"/>
  </r>
  <r>
    <n v="48.5"/>
    <x v="0"/>
  </r>
  <r>
    <n v="48.5"/>
    <x v="0"/>
  </r>
  <r>
    <n v="48.5"/>
    <x v="0"/>
  </r>
  <r>
    <n v="48.5"/>
    <x v="0"/>
  </r>
  <r>
    <n v="48.5"/>
    <x v="0"/>
  </r>
  <r>
    <n v="48.5"/>
    <x v="0"/>
  </r>
  <r>
    <n v="48.5"/>
    <x v="0"/>
  </r>
  <r>
    <n v="48.5"/>
    <x v="0"/>
  </r>
  <r>
    <n v="48.5"/>
    <x v="0"/>
  </r>
  <r>
    <n v="48.5"/>
    <x v="0"/>
  </r>
  <r>
    <n v="48.5"/>
    <x v="0"/>
  </r>
  <r>
    <n v="48.5"/>
    <x v="0"/>
  </r>
  <r>
    <n v="48.5"/>
    <x v="0"/>
  </r>
  <r>
    <n v="48.5"/>
    <x v="0"/>
  </r>
  <r>
    <n v="48.5"/>
    <x v="0"/>
  </r>
  <r>
    <n v="48.5"/>
    <x v="0"/>
  </r>
  <r>
    <n v="48.5"/>
    <x v="0"/>
  </r>
  <r>
    <n v="48.5"/>
    <x v="0"/>
  </r>
  <r>
    <n v="48.5"/>
    <x v="0"/>
  </r>
  <r>
    <n v="48.5"/>
    <x v="0"/>
  </r>
  <r>
    <n v="48.5"/>
    <x v="0"/>
  </r>
  <r>
    <n v="48.5"/>
    <x v="0"/>
  </r>
  <r>
    <n v="48.5"/>
    <x v="0"/>
  </r>
  <r>
    <n v="48.5"/>
    <x v="0"/>
  </r>
  <r>
    <n v="48.5"/>
    <x v="0"/>
  </r>
  <r>
    <n v="48.5"/>
    <x v="0"/>
  </r>
  <r>
    <n v="48.5"/>
    <x v="0"/>
  </r>
  <r>
    <n v="48.5"/>
    <x v="0"/>
  </r>
  <r>
    <n v="48.5"/>
    <x v="0"/>
  </r>
  <r>
    <n v="48.5"/>
    <x v="0"/>
  </r>
  <r>
    <n v="48.5"/>
    <x v="0"/>
  </r>
  <r>
    <n v="48.5"/>
    <x v="0"/>
  </r>
  <r>
    <n v="48.5"/>
    <x v="0"/>
  </r>
  <r>
    <n v="48.5"/>
    <x v="0"/>
  </r>
  <r>
    <n v="48.5"/>
    <x v="0"/>
  </r>
  <r>
    <n v="48.5"/>
    <x v="0"/>
  </r>
  <r>
    <n v="48.5"/>
    <x v="0"/>
  </r>
  <r>
    <n v="48.5"/>
    <x v="0"/>
  </r>
  <r>
    <n v="48.5"/>
    <x v="0"/>
  </r>
  <r>
    <n v="48.5"/>
    <x v="0"/>
  </r>
  <r>
    <n v="48.5"/>
    <x v="0"/>
  </r>
  <r>
    <n v="48.5"/>
    <x v="0"/>
  </r>
  <r>
    <n v="48.5"/>
    <x v="0"/>
  </r>
  <r>
    <n v="48.5"/>
    <x v="0"/>
  </r>
  <r>
    <n v="48.5"/>
    <x v="0"/>
  </r>
  <r>
    <n v="48.5"/>
    <x v="0"/>
  </r>
  <r>
    <n v="48.5"/>
    <x v="0"/>
  </r>
  <r>
    <n v="48.5"/>
    <x v="0"/>
  </r>
  <r>
    <n v="48.5"/>
    <x v="0"/>
  </r>
  <r>
    <n v="48.5"/>
    <x v="0"/>
  </r>
  <r>
    <n v="48.5"/>
    <x v="0"/>
  </r>
  <r>
    <n v="48.5"/>
    <x v="0"/>
  </r>
  <r>
    <n v="48.5"/>
    <x v="0"/>
  </r>
  <r>
    <n v="48.5"/>
    <x v="0"/>
  </r>
  <r>
    <n v="30"/>
    <x v="1"/>
  </r>
  <r>
    <n v="33"/>
    <x v="1"/>
  </r>
  <r>
    <n v="33"/>
    <x v="1"/>
  </r>
  <r>
    <n v="33"/>
    <x v="1"/>
  </r>
  <r>
    <n v="33"/>
    <x v="1"/>
  </r>
  <r>
    <n v="34.1"/>
    <x v="1"/>
  </r>
  <r>
    <n v="34.1"/>
    <x v="1"/>
  </r>
  <r>
    <n v="34.1"/>
    <x v="1"/>
  </r>
  <r>
    <n v="34.1"/>
    <x v="1"/>
  </r>
  <r>
    <n v="34.1"/>
    <x v="1"/>
  </r>
  <r>
    <n v="34.1"/>
    <x v="1"/>
  </r>
  <r>
    <n v="34.1"/>
    <x v="1"/>
  </r>
  <r>
    <n v="34.1"/>
    <x v="1"/>
  </r>
  <r>
    <n v="34.1"/>
    <x v="1"/>
  </r>
  <r>
    <n v="34.1"/>
    <x v="1"/>
  </r>
  <r>
    <n v="34.1"/>
    <x v="1"/>
  </r>
  <r>
    <n v="34.1"/>
    <x v="1"/>
  </r>
  <r>
    <n v="34.1"/>
    <x v="1"/>
  </r>
  <r>
    <n v="34.1"/>
    <x v="1"/>
  </r>
  <r>
    <n v="34.1"/>
    <x v="1"/>
  </r>
  <r>
    <n v="34.1"/>
    <x v="1"/>
  </r>
  <r>
    <n v="34.1"/>
    <x v="1"/>
  </r>
  <r>
    <n v="34.1"/>
    <x v="1"/>
  </r>
  <r>
    <n v="34.1"/>
    <x v="1"/>
  </r>
  <r>
    <n v="34.1"/>
    <x v="1"/>
  </r>
  <r>
    <n v="34.1"/>
    <x v="1"/>
  </r>
  <r>
    <n v="34.1"/>
    <x v="1"/>
  </r>
  <r>
    <n v="34.1"/>
    <x v="1"/>
  </r>
  <r>
    <n v="34.1"/>
    <x v="1"/>
  </r>
  <r>
    <n v="34.1"/>
    <x v="1"/>
  </r>
  <r>
    <n v="34.1"/>
    <x v="1"/>
  </r>
  <r>
    <n v="34.1"/>
    <x v="1"/>
  </r>
  <r>
    <n v="34.1"/>
    <x v="1"/>
  </r>
  <r>
    <n v="34.1"/>
    <x v="1"/>
  </r>
  <r>
    <n v="34.1"/>
    <x v="1"/>
  </r>
  <r>
    <n v="34.1"/>
    <x v="1"/>
  </r>
  <r>
    <n v="34.1"/>
    <x v="1"/>
  </r>
  <r>
    <n v="34.1"/>
    <x v="1"/>
  </r>
  <r>
    <n v="34.1"/>
    <x v="1"/>
  </r>
  <r>
    <n v="34.1"/>
    <x v="1"/>
  </r>
  <r>
    <n v="34.1"/>
    <x v="1"/>
  </r>
  <r>
    <n v="34.1"/>
    <x v="1"/>
  </r>
  <r>
    <n v="34.1"/>
    <x v="1"/>
  </r>
  <r>
    <n v="34.1"/>
    <x v="1"/>
  </r>
  <r>
    <n v="34.1"/>
    <x v="1"/>
  </r>
  <r>
    <n v="34.1"/>
    <x v="1"/>
  </r>
  <r>
    <n v="34.1"/>
    <x v="1"/>
  </r>
  <r>
    <n v="34.1"/>
    <x v="1"/>
  </r>
  <r>
    <n v="40"/>
    <x v="1"/>
  </r>
  <r>
    <n v="40"/>
    <x v="1"/>
  </r>
  <r>
    <n v="40"/>
    <x v="1"/>
  </r>
  <r>
    <n v="40"/>
    <x v="1"/>
  </r>
  <r>
    <n v="40"/>
    <x v="1"/>
  </r>
  <r>
    <n v="40"/>
    <x v="1"/>
  </r>
  <r>
    <n v="40"/>
    <x v="1"/>
  </r>
  <r>
    <n v="40"/>
    <x v="1"/>
  </r>
  <r>
    <n v="40"/>
    <x v="1"/>
  </r>
  <r>
    <n v="48"/>
    <x v="1"/>
  </r>
  <r>
    <n v="50"/>
    <x v="1"/>
  </r>
  <r>
    <n v="50"/>
    <x v="1"/>
  </r>
  <r>
    <n v="50"/>
    <x v="1"/>
  </r>
  <r>
    <n v="50"/>
    <x v="1"/>
  </r>
  <r>
    <n v="50"/>
    <x v="1"/>
  </r>
  <r>
    <n v="50"/>
    <x v="1"/>
  </r>
  <r>
    <n v="50"/>
    <x v="1"/>
  </r>
  <r>
    <n v="50"/>
    <x v="1"/>
  </r>
  <r>
    <n v="50"/>
    <x v="1"/>
  </r>
  <r>
    <n v="50"/>
    <x v="1"/>
  </r>
  <r>
    <n v="50"/>
    <x v="1"/>
  </r>
  <r>
    <n v="50"/>
    <x v="1"/>
  </r>
  <r>
    <n v="50"/>
    <x v="1"/>
  </r>
  <r>
    <n v="50"/>
    <x v="1"/>
  </r>
  <r>
    <n v="50"/>
    <x v="1"/>
  </r>
  <r>
    <n v="50"/>
    <x v="1"/>
  </r>
  <r>
    <n v="50"/>
    <x v="1"/>
  </r>
  <r>
    <n v="50"/>
    <x v="1"/>
  </r>
  <r>
    <n v="50"/>
    <x v="1"/>
  </r>
  <r>
    <n v="50"/>
    <x v="1"/>
  </r>
  <r>
    <n v="50"/>
    <x v="1"/>
  </r>
  <r>
    <n v="50"/>
    <x v="1"/>
  </r>
  <r>
    <n v="50"/>
    <x v="1"/>
  </r>
  <r>
    <n v="50"/>
    <x v="1"/>
  </r>
  <r>
    <n v="60"/>
    <x v="1"/>
  </r>
  <r>
    <n v="62.47"/>
    <x v="1"/>
  </r>
  <r>
    <n v="62.47"/>
    <x v="1"/>
  </r>
  <r>
    <n v="62.47"/>
    <x v="1"/>
  </r>
  <r>
    <n v="62.47"/>
    <x v="1"/>
  </r>
  <r>
    <n v="62.47"/>
    <x v="1"/>
  </r>
  <r>
    <n v="62.47"/>
    <x v="1"/>
  </r>
  <r>
    <n v="62.47"/>
    <x v="1"/>
  </r>
  <r>
    <n v="62.47"/>
    <x v="1"/>
  </r>
  <r>
    <n v="62.47"/>
    <x v="1"/>
  </r>
  <r>
    <n v="62.47"/>
    <x v="1"/>
  </r>
  <r>
    <n v="62.47"/>
    <x v="1"/>
  </r>
  <r>
    <n v="62.47"/>
    <x v="1"/>
  </r>
  <r>
    <n v="62.47"/>
    <x v="1"/>
  </r>
  <r>
    <n v="62.47"/>
    <x v="1"/>
  </r>
  <r>
    <n v="62.47"/>
    <x v="1"/>
  </r>
  <r>
    <n v="62.47"/>
    <x v="1"/>
  </r>
  <r>
    <n v="62.47"/>
    <x v="1"/>
  </r>
  <r>
    <n v="62.47"/>
    <x v="1"/>
  </r>
  <r>
    <n v="62.47"/>
    <x v="1"/>
  </r>
  <r>
    <n v="62.47"/>
    <x v="1"/>
  </r>
  <r>
    <n v="62.47"/>
    <x v="1"/>
  </r>
  <r>
    <n v="62.47"/>
    <x v="1"/>
  </r>
  <r>
    <n v="62.47"/>
    <x v="1"/>
  </r>
  <r>
    <n v="62.47"/>
    <x v="1"/>
  </r>
  <r>
    <n v="62.47"/>
    <x v="1"/>
  </r>
  <r>
    <n v="62.47"/>
    <x v="1"/>
  </r>
  <r>
    <n v="62.47"/>
    <x v="1"/>
  </r>
  <r>
    <n v="62.47"/>
    <x v="1"/>
  </r>
  <r>
    <n v="62.47"/>
    <x v="1"/>
  </r>
  <r>
    <n v="62.47"/>
    <x v="1"/>
  </r>
  <r>
    <n v="62.47"/>
    <x v="1"/>
  </r>
  <r>
    <n v="62.47"/>
    <x v="1"/>
  </r>
  <r>
    <n v="62.47"/>
    <x v="1"/>
  </r>
  <r>
    <n v="62.47"/>
    <x v="1"/>
  </r>
  <r>
    <n v="62.47"/>
    <x v="1"/>
  </r>
  <r>
    <n v="62.47"/>
    <x v="1"/>
  </r>
  <r>
    <n v="70"/>
    <x v="1"/>
  </r>
  <r>
    <n v="80"/>
    <x v="1"/>
  </r>
  <r>
    <n v="76"/>
    <x v="2"/>
  </r>
  <r>
    <n v="76"/>
    <x v="2"/>
  </r>
  <r>
    <n v="76"/>
    <x v="2"/>
  </r>
  <r>
    <n v="76"/>
    <x v="2"/>
  </r>
  <r>
    <n v="76"/>
    <x v="2"/>
  </r>
  <r>
    <n v="76"/>
    <x v="2"/>
  </r>
  <r>
    <n v="76"/>
    <x v="2"/>
  </r>
  <r>
    <n v="76"/>
    <x v="2"/>
  </r>
  <r>
    <n v="76"/>
    <x v="2"/>
  </r>
  <r>
    <n v="20"/>
    <x v="3"/>
  </r>
  <r>
    <n v="20"/>
    <x v="3"/>
  </r>
  <r>
    <n v="20"/>
    <x v="3"/>
  </r>
  <r>
    <n v="20"/>
    <x v="3"/>
  </r>
  <r>
    <n v="20"/>
    <x v="3"/>
  </r>
  <r>
    <n v="20"/>
    <x v="3"/>
  </r>
  <r>
    <n v="33"/>
    <x v="3"/>
  </r>
  <r>
    <n v="33"/>
    <x v="3"/>
  </r>
  <r>
    <n v="33"/>
    <x v="3"/>
  </r>
  <r>
    <n v="33"/>
    <x v="3"/>
  </r>
  <r>
    <n v="45"/>
    <x v="3"/>
  </r>
  <r>
    <n v="45"/>
    <x v="3"/>
  </r>
  <r>
    <n v="45"/>
    <x v="3"/>
  </r>
  <r>
    <n v="45"/>
    <x v="3"/>
  </r>
  <r>
    <n v="45"/>
    <x v="3"/>
  </r>
  <r>
    <n v="45"/>
    <x v="3"/>
  </r>
  <r>
    <n v="45"/>
    <x v="3"/>
  </r>
  <r>
    <n v="45"/>
    <x v="3"/>
  </r>
  <r>
    <n v="45"/>
    <x v="3"/>
  </r>
  <r>
    <n v="45"/>
    <x v="3"/>
  </r>
  <r>
    <n v="45"/>
    <x v="3"/>
  </r>
  <r>
    <n v="45"/>
    <x v="3"/>
  </r>
  <r>
    <n v="45"/>
    <x v="3"/>
  </r>
  <r>
    <n v="50"/>
    <x v="3"/>
  </r>
  <r>
    <n v="50"/>
    <x v="3"/>
  </r>
  <r>
    <n v="50"/>
    <x v="3"/>
  </r>
  <r>
    <n v="50"/>
    <x v="3"/>
  </r>
  <r>
    <n v="50"/>
    <x v="3"/>
  </r>
  <r>
    <n v="50"/>
    <x v="3"/>
  </r>
  <r>
    <n v="50"/>
    <x v="3"/>
  </r>
  <r>
    <n v="50"/>
    <x v="3"/>
  </r>
  <r>
    <n v="50"/>
    <x v="3"/>
  </r>
  <r>
    <n v="50"/>
    <x v="3"/>
  </r>
  <r>
    <n v="50"/>
    <x v="3"/>
  </r>
  <r>
    <n v="50"/>
    <x v="3"/>
  </r>
  <r>
    <n v="50"/>
    <x v="3"/>
  </r>
  <r>
    <n v="50"/>
    <x v="3"/>
  </r>
  <r>
    <n v="50"/>
    <x v="3"/>
  </r>
  <r>
    <n v="50"/>
    <x v="3"/>
  </r>
  <r>
    <n v="50"/>
    <x v="3"/>
  </r>
  <r>
    <n v="50"/>
    <x v="3"/>
  </r>
  <r>
    <n v="57"/>
    <x v="3"/>
  </r>
  <r>
    <n v="57"/>
    <x v="3"/>
  </r>
  <r>
    <n v="57"/>
    <x v="3"/>
  </r>
  <r>
    <n v="57"/>
    <x v="3"/>
  </r>
  <r>
    <n v="57"/>
    <x v="3"/>
  </r>
  <r>
    <n v="57"/>
    <x v="3"/>
  </r>
  <r>
    <n v="57"/>
    <x v="3"/>
  </r>
  <r>
    <n v="57"/>
    <x v="3"/>
  </r>
  <r>
    <n v="57"/>
    <x v="3"/>
  </r>
  <r>
    <n v="57"/>
    <x v="3"/>
  </r>
  <r>
    <n v="57"/>
    <x v="3"/>
  </r>
  <r>
    <n v="57"/>
    <x v="3"/>
  </r>
  <r>
    <n v="57"/>
    <x v="3"/>
  </r>
  <r>
    <n v="57"/>
    <x v="3"/>
  </r>
  <r>
    <n v="57"/>
    <x v="3"/>
  </r>
  <r>
    <n v="57"/>
    <x v="3"/>
  </r>
  <r>
    <n v="57"/>
    <x v="3"/>
  </r>
  <r>
    <n v="57"/>
    <x v="3"/>
  </r>
  <r>
    <n v="57"/>
    <x v="3"/>
  </r>
  <r>
    <n v="57"/>
    <x v="3"/>
  </r>
  <r>
    <n v="57"/>
    <x v="3"/>
  </r>
  <r>
    <n v="57"/>
    <x v="3"/>
  </r>
  <r>
    <n v="57"/>
    <x v="3"/>
  </r>
  <r>
    <n v="57"/>
    <x v="3"/>
  </r>
  <r>
    <n v="57"/>
    <x v="3"/>
  </r>
  <r>
    <n v="57"/>
    <x v="3"/>
  </r>
  <r>
    <n v="57"/>
    <x v="3"/>
  </r>
  <r>
    <n v="57"/>
    <x v="3"/>
  </r>
  <r>
    <n v="57"/>
    <x v="3"/>
  </r>
  <r>
    <n v="57"/>
    <x v="3"/>
  </r>
  <r>
    <n v="63.04"/>
    <x v="3"/>
  </r>
  <r>
    <n v="63.04"/>
    <x v="3"/>
  </r>
  <r>
    <n v="63.04"/>
    <x v="3"/>
  </r>
  <r>
    <n v="63.04"/>
    <x v="3"/>
  </r>
  <r>
    <n v="63.04"/>
    <x v="3"/>
  </r>
  <r>
    <n v="63.04"/>
    <x v="3"/>
  </r>
  <r>
    <n v="63.04"/>
    <x v="3"/>
  </r>
  <r>
    <n v="63.04"/>
    <x v="3"/>
  </r>
  <r>
    <n v="63.04"/>
    <x v="3"/>
  </r>
  <r>
    <n v="63.04"/>
    <x v="3"/>
  </r>
  <r>
    <n v="63.04"/>
    <x v="3"/>
  </r>
  <r>
    <n v="63.04"/>
    <x v="3"/>
  </r>
  <r>
    <n v="64.400000000000006"/>
    <x v="3"/>
  </r>
  <r>
    <n v="64.400000000000006"/>
    <x v="3"/>
  </r>
  <r>
    <n v="64.400000000000006"/>
    <x v="3"/>
  </r>
  <r>
    <n v="64.400000000000006"/>
    <x v="3"/>
  </r>
  <r>
    <n v="64.400000000000006"/>
    <x v="3"/>
  </r>
  <r>
    <n v="64.400000000000006"/>
    <x v="3"/>
  </r>
  <r>
    <n v="64.400000000000006"/>
    <x v="3"/>
  </r>
  <r>
    <n v="64.400000000000006"/>
    <x v="3"/>
  </r>
  <r>
    <n v="64.400000000000006"/>
    <x v="3"/>
  </r>
  <r>
    <n v="64.599999999999994"/>
    <x v="3"/>
  </r>
  <r>
    <n v="64.599999999999994"/>
    <x v="3"/>
  </r>
  <r>
    <n v="64.599999999999994"/>
    <x v="3"/>
  </r>
  <r>
    <n v="64.599999999999994"/>
    <x v="3"/>
  </r>
  <r>
    <n v="64.599999999999994"/>
    <x v="3"/>
  </r>
  <r>
    <n v="64.599999999999994"/>
    <x v="3"/>
  </r>
  <r>
    <n v="64.599999999999994"/>
    <x v="3"/>
  </r>
  <r>
    <n v="64.599999999999994"/>
    <x v="3"/>
  </r>
  <r>
    <n v="64.599999999999994"/>
    <x v="3"/>
  </r>
  <r>
    <n v="64.599999999999994"/>
    <x v="3"/>
  </r>
  <r>
    <n v="64.599999999999994"/>
    <x v="3"/>
  </r>
  <r>
    <n v="64.599999999999994"/>
    <x v="3"/>
  </r>
  <r>
    <n v="64.599999999999994"/>
    <x v="3"/>
  </r>
  <r>
    <n v="64.599999999999994"/>
    <x v="3"/>
  </r>
  <r>
    <n v="64.599999999999994"/>
    <x v="3"/>
  </r>
  <r>
    <n v="64.599999999999994"/>
    <x v="3"/>
  </r>
  <r>
    <n v="64.599999999999994"/>
    <x v="3"/>
  </r>
  <r>
    <n v="64.599999999999994"/>
    <x v="3"/>
  </r>
  <r>
    <n v="64.599999999999994"/>
    <x v="3"/>
  </r>
  <r>
    <n v="64.599999999999994"/>
    <x v="3"/>
  </r>
  <r>
    <n v="64.599999999999994"/>
    <x v="3"/>
  </r>
  <r>
    <n v="64.599999999999994"/>
    <x v="3"/>
  </r>
  <r>
    <n v="64.599999999999994"/>
    <x v="3"/>
  </r>
  <r>
    <n v="64.599999999999994"/>
    <x v="3"/>
  </r>
  <r>
    <n v="76"/>
    <x v="3"/>
  </r>
  <r>
    <n v="78"/>
    <x v="3"/>
  </r>
  <r>
    <n v="78"/>
    <x v="3"/>
  </r>
  <r>
    <n v="78"/>
    <x v="3"/>
  </r>
  <r>
    <n v="78"/>
    <x v="3"/>
  </r>
  <r>
    <n v="78"/>
    <x v="3"/>
  </r>
  <r>
    <n v="78"/>
    <x v="3"/>
  </r>
  <r>
    <n v="81"/>
    <x v="3"/>
  </r>
  <r>
    <n v="8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040D3F-9934-448F-BEFA-FE8CA4309679}" name="PivotTable7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7" firstHeaderRow="1" firstDataRow="1" firstDataCol="1"/>
  <pivotFields count="2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Relative Density (%)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937151B-CA56-46DD-9E67-7A9028CFFC89}">
  <we:reference id="wa200005271" version="2.6.0.0" store="en-US" storeType="OMEX"/>
  <we:alternateReferences>
    <we:reference id="wa200005271" version="2.6.0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575"/>
  <sheetViews>
    <sheetView topLeftCell="AE1" zoomScale="75" zoomScaleNormal="85" workbookViewId="0">
      <pane ySplit="1" topLeftCell="A546" activePane="bottomLeft" state="frozen"/>
      <selection pane="bottomLeft" sqref="A1:AK574"/>
    </sheetView>
  </sheetViews>
  <sheetFormatPr defaultColWidth="15.77734375" defaultRowHeight="15.6" x14ac:dyDescent="0.3"/>
  <cols>
    <col min="1" max="2" width="15.77734375" style="11"/>
    <col min="3" max="33" width="15.77734375" style="10"/>
    <col min="34" max="34" width="94.109375" style="10" bestFit="1" customWidth="1"/>
    <col min="35" max="37" width="15.77734375" style="2"/>
    <col min="39" max="40" width="15.77734375" style="2"/>
    <col min="41" max="41" width="26.33203125" style="2" customWidth="1"/>
    <col min="42" max="42" width="27.33203125" style="2" customWidth="1"/>
    <col min="43" max="16384" width="15.77734375" style="2"/>
  </cols>
  <sheetData>
    <row r="1" spans="1:71" s="1" customFormat="1" ht="46.8" x14ac:dyDescent="0.3">
      <c r="A1" s="16" t="s">
        <v>0</v>
      </c>
      <c r="B1" s="16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416</v>
      </c>
      <c r="O1" s="3" t="s">
        <v>14</v>
      </c>
      <c r="P1" s="3" t="s">
        <v>15</v>
      </c>
      <c r="Q1" s="3" t="s">
        <v>44</v>
      </c>
      <c r="R1" s="3" t="s">
        <v>30</v>
      </c>
      <c r="S1" s="3" t="s">
        <v>417</v>
      </c>
      <c r="T1" s="4" t="s">
        <v>17</v>
      </c>
      <c r="U1" s="4" t="s">
        <v>18</v>
      </c>
      <c r="V1" s="4" t="s">
        <v>19</v>
      </c>
      <c r="W1" s="4" t="s">
        <v>20</v>
      </c>
      <c r="X1" s="5" t="s">
        <v>21</v>
      </c>
      <c r="Y1" s="5" t="s">
        <v>22</v>
      </c>
      <c r="Z1" s="5" t="s">
        <v>23</v>
      </c>
      <c r="AA1" s="5" t="s">
        <v>415</v>
      </c>
      <c r="AB1" s="5" t="s">
        <v>52</v>
      </c>
      <c r="AC1" s="6" t="s">
        <v>26</v>
      </c>
      <c r="AD1" s="7" t="s">
        <v>31</v>
      </c>
      <c r="AE1" s="8" t="s">
        <v>25</v>
      </c>
      <c r="AF1" s="9" t="s">
        <v>27</v>
      </c>
      <c r="AG1" s="9" t="s">
        <v>28</v>
      </c>
      <c r="AH1" s="9" t="s">
        <v>29</v>
      </c>
      <c r="AI1" s="58" t="s">
        <v>376</v>
      </c>
      <c r="AJ1" s="58" t="s">
        <v>377</v>
      </c>
      <c r="AK1" s="58" t="s">
        <v>378</v>
      </c>
    </row>
    <row r="2" spans="1:71" x14ac:dyDescent="0.3">
      <c r="A2" s="11">
        <v>12.6</v>
      </c>
      <c r="B2" s="11">
        <v>700</v>
      </c>
      <c r="C2" s="10" t="s">
        <v>33</v>
      </c>
      <c r="D2" s="10" t="s">
        <v>35</v>
      </c>
      <c r="E2" s="10" t="s">
        <v>170</v>
      </c>
      <c r="F2" s="10" t="s">
        <v>34</v>
      </c>
      <c r="G2" s="20">
        <v>0.16600000000000001</v>
      </c>
      <c r="H2" s="10" t="s">
        <v>34</v>
      </c>
      <c r="I2" s="10" t="s">
        <v>34</v>
      </c>
      <c r="J2" s="10">
        <v>1.64</v>
      </c>
      <c r="K2" s="10" t="s">
        <v>34</v>
      </c>
      <c r="L2" s="10" t="s">
        <v>34</v>
      </c>
      <c r="M2" s="10" t="s">
        <v>34</v>
      </c>
      <c r="N2" s="20">
        <v>1560</v>
      </c>
      <c r="O2" s="10" t="s">
        <v>34</v>
      </c>
      <c r="P2" s="10" t="s">
        <v>34</v>
      </c>
      <c r="Q2" s="10" t="s">
        <v>34</v>
      </c>
      <c r="R2" s="10" t="s">
        <v>34</v>
      </c>
      <c r="S2" s="10" t="s">
        <v>34</v>
      </c>
      <c r="T2" s="10" t="s">
        <v>36</v>
      </c>
      <c r="U2" s="20" t="s">
        <v>37</v>
      </c>
      <c r="V2" s="20" t="s">
        <v>38</v>
      </c>
      <c r="W2" s="10">
        <v>10</v>
      </c>
      <c r="X2" s="10">
        <v>1</v>
      </c>
      <c r="Y2" s="10">
        <v>1</v>
      </c>
      <c r="Z2" s="10" t="s">
        <v>39</v>
      </c>
      <c r="AA2" s="10">
        <v>1.1000000000000001</v>
      </c>
      <c r="AC2" s="10" t="s">
        <v>40</v>
      </c>
      <c r="AD2" s="10" t="s">
        <v>32</v>
      </c>
      <c r="AE2" s="20">
        <f>0.5776</f>
        <v>0.5776</v>
      </c>
      <c r="AF2" s="10" t="s">
        <v>41</v>
      </c>
      <c r="AG2" s="10">
        <v>2010</v>
      </c>
      <c r="AH2" s="21" t="s">
        <v>42</v>
      </c>
      <c r="AI2" s="2">
        <v>49.33</v>
      </c>
      <c r="AJ2" s="2">
        <v>2.19</v>
      </c>
      <c r="AK2" s="2">
        <v>0.1</v>
      </c>
    </row>
    <row r="3" spans="1:71" x14ac:dyDescent="0.3">
      <c r="A3" s="11">
        <v>13.2</v>
      </c>
      <c r="B3" s="11">
        <v>900</v>
      </c>
      <c r="C3" s="10" t="s">
        <v>33</v>
      </c>
      <c r="D3" s="10" t="s">
        <v>35</v>
      </c>
      <c r="E3" s="10" t="s">
        <v>170</v>
      </c>
      <c r="F3" s="10" t="s">
        <v>34</v>
      </c>
      <c r="G3" s="20">
        <v>0.16600000000000001</v>
      </c>
      <c r="H3" s="10" t="s">
        <v>34</v>
      </c>
      <c r="I3" s="10" t="s">
        <v>34</v>
      </c>
      <c r="J3" s="10">
        <v>1.64</v>
      </c>
      <c r="K3" s="10" t="s">
        <v>34</v>
      </c>
      <c r="L3" s="10" t="s">
        <v>34</v>
      </c>
      <c r="M3" s="10" t="s">
        <v>34</v>
      </c>
      <c r="N3" s="20">
        <v>1560</v>
      </c>
      <c r="O3" s="10" t="s">
        <v>34</v>
      </c>
      <c r="P3" s="10" t="s">
        <v>34</v>
      </c>
      <c r="Q3" s="10" t="s">
        <v>34</v>
      </c>
      <c r="R3" s="10" t="s">
        <v>34</v>
      </c>
      <c r="S3" s="10" t="s">
        <v>34</v>
      </c>
      <c r="T3" s="10" t="s">
        <v>36</v>
      </c>
      <c r="U3" s="20" t="s">
        <v>37</v>
      </c>
      <c r="V3" s="20" t="s">
        <v>38</v>
      </c>
      <c r="W3" s="10">
        <v>10</v>
      </c>
      <c r="X3" s="10">
        <v>1</v>
      </c>
      <c r="Y3" s="10">
        <v>1</v>
      </c>
      <c r="Z3" s="10" t="s">
        <v>39</v>
      </c>
      <c r="AA3" s="10">
        <v>1.1000000000000001</v>
      </c>
      <c r="AC3" s="10" t="s">
        <v>40</v>
      </c>
      <c r="AD3" s="10" t="s">
        <v>32</v>
      </c>
      <c r="AE3" s="20">
        <f t="shared" ref="AE3:AE40" si="0">0.5776</f>
        <v>0.5776</v>
      </c>
      <c r="AF3" s="10" t="s">
        <v>41</v>
      </c>
      <c r="AG3" s="10">
        <v>2010</v>
      </c>
      <c r="AH3" s="21" t="s">
        <v>42</v>
      </c>
      <c r="AI3" s="2">
        <v>49.33</v>
      </c>
      <c r="AJ3" s="2">
        <v>2.19</v>
      </c>
      <c r="AK3" s="2">
        <v>0.1</v>
      </c>
      <c r="AP3" s="91"/>
    </row>
    <row r="4" spans="1:71" x14ac:dyDescent="0.3">
      <c r="A4" s="11">
        <v>13.8</v>
      </c>
      <c r="B4" s="11">
        <v>2100</v>
      </c>
      <c r="C4" s="10" t="s">
        <v>33</v>
      </c>
      <c r="D4" s="10" t="s">
        <v>35</v>
      </c>
      <c r="E4" s="10" t="s">
        <v>170</v>
      </c>
      <c r="F4" s="10" t="s">
        <v>34</v>
      </c>
      <c r="G4" s="20">
        <v>0.16600000000000001</v>
      </c>
      <c r="H4" s="10" t="s">
        <v>34</v>
      </c>
      <c r="I4" s="10" t="s">
        <v>34</v>
      </c>
      <c r="J4" s="10">
        <v>1.64</v>
      </c>
      <c r="K4" s="10" t="s">
        <v>34</v>
      </c>
      <c r="L4" s="10" t="s">
        <v>34</v>
      </c>
      <c r="M4" s="10" t="s">
        <v>34</v>
      </c>
      <c r="N4" s="20">
        <v>1560</v>
      </c>
      <c r="O4" s="10" t="s">
        <v>34</v>
      </c>
      <c r="P4" s="10" t="s">
        <v>34</v>
      </c>
      <c r="Q4" s="10" t="s">
        <v>34</v>
      </c>
      <c r="R4" s="10" t="s">
        <v>34</v>
      </c>
      <c r="S4" s="10" t="s">
        <v>34</v>
      </c>
      <c r="T4" s="10" t="s">
        <v>36</v>
      </c>
      <c r="U4" s="20" t="s">
        <v>37</v>
      </c>
      <c r="V4" s="20" t="s">
        <v>38</v>
      </c>
      <c r="W4" s="10">
        <v>10</v>
      </c>
      <c r="X4" s="10">
        <v>1</v>
      </c>
      <c r="Y4" s="10">
        <v>1</v>
      </c>
      <c r="Z4" s="10" t="s">
        <v>39</v>
      </c>
      <c r="AA4" s="10">
        <v>1.1000000000000001</v>
      </c>
      <c r="AC4" s="10" t="s">
        <v>40</v>
      </c>
      <c r="AD4" s="10" t="s">
        <v>32</v>
      </c>
      <c r="AE4" s="20">
        <f t="shared" si="0"/>
        <v>0.5776</v>
      </c>
      <c r="AF4" s="10" t="s">
        <v>41</v>
      </c>
      <c r="AG4" s="10">
        <v>2010</v>
      </c>
      <c r="AH4" s="21" t="s">
        <v>42</v>
      </c>
      <c r="AI4" s="2">
        <v>49.33</v>
      </c>
      <c r="AJ4" s="2">
        <v>2.19</v>
      </c>
      <c r="AK4" s="2">
        <v>0.1</v>
      </c>
      <c r="AP4" s="91"/>
    </row>
    <row r="5" spans="1:71" x14ac:dyDescent="0.3">
      <c r="A5" s="11">
        <v>14</v>
      </c>
      <c r="B5" s="11">
        <v>1200</v>
      </c>
      <c r="C5" s="10" t="s">
        <v>33</v>
      </c>
      <c r="D5" s="10" t="s">
        <v>35</v>
      </c>
      <c r="E5" s="10" t="s">
        <v>170</v>
      </c>
      <c r="F5" s="10" t="s">
        <v>34</v>
      </c>
      <c r="G5" s="20">
        <v>0.16600000000000001</v>
      </c>
      <c r="H5" s="10" t="s">
        <v>34</v>
      </c>
      <c r="I5" s="10" t="s">
        <v>34</v>
      </c>
      <c r="J5" s="10">
        <v>1.64</v>
      </c>
      <c r="K5" s="10" t="s">
        <v>34</v>
      </c>
      <c r="L5" s="10" t="s">
        <v>34</v>
      </c>
      <c r="M5" s="10" t="s">
        <v>34</v>
      </c>
      <c r="N5" s="20">
        <v>1560</v>
      </c>
      <c r="O5" s="10" t="s">
        <v>34</v>
      </c>
      <c r="P5" s="10" t="s">
        <v>34</v>
      </c>
      <c r="Q5" s="10" t="s">
        <v>34</v>
      </c>
      <c r="R5" s="10" t="s">
        <v>34</v>
      </c>
      <c r="S5" s="10" t="s">
        <v>34</v>
      </c>
      <c r="T5" s="10" t="s">
        <v>36</v>
      </c>
      <c r="U5" s="20" t="s">
        <v>37</v>
      </c>
      <c r="V5" s="20" t="s">
        <v>38</v>
      </c>
      <c r="W5" s="10">
        <v>10</v>
      </c>
      <c r="X5" s="10">
        <v>1</v>
      </c>
      <c r="Y5" s="10">
        <v>1</v>
      </c>
      <c r="Z5" s="10" t="s">
        <v>39</v>
      </c>
      <c r="AA5" s="10">
        <v>1.1000000000000001</v>
      </c>
      <c r="AC5" s="10" t="s">
        <v>40</v>
      </c>
      <c r="AD5" s="10" t="s">
        <v>32</v>
      </c>
      <c r="AE5" s="20">
        <f t="shared" si="0"/>
        <v>0.5776</v>
      </c>
      <c r="AF5" s="10" t="s">
        <v>41</v>
      </c>
      <c r="AG5" s="10">
        <v>2010</v>
      </c>
      <c r="AH5" s="21" t="s">
        <v>42</v>
      </c>
      <c r="AI5" s="2">
        <v>49.33</v>
      </c>
      <c r="AJ5" s="2">
        <v>2.19</v>
      </c>
      <c r="AK5" s="2">
        <v>0.1</v>
      </c>
      <c r="AP5" s="91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</row>
    <row r="6" spans="1:71" x14ac:dyDescent="0.3">
      <c r="A6" s="11">
        <v>14.6</v>
      </c>
      <c r="B6" s="11">
        <v>1500</v>
      </c>
      <c r="C6" s="10" t="s">
        <v>33</v>
      </c>
      <c r="D6" s="10" t="s">
        <v>35</v>
      </c>
      <c r="E6" s="10" t="s">
        <v>170</v>
      </c>
      <c r="F6" s="10" t="s">
        <v>34</v>
      </c>
      <c r="G6" s="20">
        <v>0.16600000000000001</v>
      </c>
      <c r="H6" s="10" t="s">
        <v>34</v>
      </c>
      <c r="I6" s="10" t="s">
        <v>34</v>
      </c>
      <c r="J6" s="10">
        <v>1.64</v>
      </c>
      <c r="K6" s="10" t="s">
        <v>34</v>
      </c>
      <c r="L6" s="10" t="s">
        <v>34</v>
      </c>
      <c r="M6" s="10" t="s">
        <v>34</v>
      </c>
      <c r="N6" s="20">
        <v>1560</v>
      </c>
      <c r="O6" s="10" t="s">
        <v>34</v>
      </c>
      <c r="P6" s="10" t="s">
        <v>34</v>
      </c>
      <c r="Q6" s="10" t="s">
        <v>34</v>
      </c>
      <c r="R6" s="10" t="s">
        <v>34</v>
      </c>
      <c r="S6" s="10" t="s">
        <v>34</v>
      </c>
      <c r="T6" s="10" t="s">
        <v>36</v>
      </c>
      <c r="U6" s="20" t="s">
        <v>37</v>
      </c>
      <c r="V6" s="20" t="s">
        <v>38</v>
      </c>
      <c r="W6" s="10">
        <v>10</v>
      </c>
      <c r="X6" s="10">
        <v>1</v>
      </c>
      <c r="Y6" s="10">
        <v>1</v>
      </c>
      <c r="Z6" s="10" t="s">
        <v>39</v>
      </c>
      <c r="AA6" s="10">
        <v>1.1000000000000001</v>
      </c>
      <c r="AC6" s="10" t="s">
        <v>40</v>
      </c>
      <c r="AD6" s="10" t="s">
        <v>32</v>
      </c>
      <c r="AE6" s="20">
        <f t="shared" si="0"/>
        <v>0.5776</v>
      </c>
      <c r="AF6" s="10" t="s">
        <v>41</v>
      </c>
      <c r="AG6" s="10">
        <v>2010</v>
      </c>
      <c r="AH6" s="21" t="s">
        <v>42</v>
      </c>
      <c r="AI6" s="2">
        <v>49.33</v>
      </c>
      <c r="AJ6" s="2">
        <v>2.19</v>
      </c>
      <c r="AK6" s="2">
        <v>0.1</v>
      </c>
      <c r="AP6" s="91"/>
    </row>
    <row r="7" spans="1:71" x14ac:dyDescent="0.3">
      <c r="A7" s="11">
        <v>14</v>
      </c>
      <c r="B7" s="11">
        <v>1700</v>
      </c>
      <c r="C7" s="10" t="s">
        <v>33</v>
      </c>
      <c r="D7" s="10" t="s">
        <v>35</v>
      </c>
      <c r="E7" s="10" t="s">
        <v>170</v>
      </c>
      <c r="F7" s="10" t="s">
        <v>34</v>
      </c>
      <c r="G7" s="20">
        <v>0.16600000000000001</v>
      </c>
      <c r="H7" s="10" t="s">
        <v>34</v>
      </c>
      <c r="I7" s="10" t="s">
        <v>34</v>
      </c>
      <c r="J7" s="10">
        <v>1.64</v>
      </c>
      <c r="K7" s="10" t="s">
        <v>34</v>
      </c>
      <c r="L7" s="10" t="s">
        <v>34</v>
      </c>
      <c r="M7" s="10" t="s">
        <v>34</v>
      </c>
      <c r="N7" s="20">
        <v>1560</v>
      </c>
      <c r="O7" s="10" t="s">
        <v>34</v>
      </c>
      <c r="P7" s="10" t="s">
        <v>34</v>
      </c>
      <c r="Q7" s="10" t="s">
        <v>34</v>
      </c>
      <c r="R7" s="10" t="s">
        <v>34</v>
      </c>
      <c r="S7" s="10" t="s">
        <v>34</v>
      </c>
      <c r="T7" s="10" t="s">
        <v>36</v>
      </c>
      <c r="U7" s="20" t="s">
        <v>37</v>
      </c>
      <c r="V7" s="20" t="s">
        <v>38</v>
      </c>
      <c r="W7" s="10">
        <v>10</v>
      </c>
      <c r="X7" s="10">
        <v>1</v>
      </c>
      <c r="Y7" s="10">
        <v>1</v>
      </c>
      <c r="Z7" s="10" t="s">
        <v>39</v>
      </c>
      <c r="AA7" s="10">
        <v>1.1000000000000001</v>
      </c>
      <c r="AC7" s="10" t="s">
        <v>40</v>
      </c>
      <c r="AD7" s="10" t="s">
        <v>32</v>
      </c>
      <c r="AE7" s="20">
        <f t="shared" si="0"/>
        <v>0.5776</v>
      </c>
      <c r="AF7" s="10" t="s">
        <v>41</v>
      </c>
      <c r="AG7" s="10">
        <v>2010</v>
      </c>
      <c r="AH7" s="21" t="s">
        <v>42</v>
      </c>
      <c r="AI7" s="2">
        <v>49.33</v>
      </c>
      <c r="AJ7" s="2">
        <v>2.19</v>
      </c>
      <c r="AK7" s="2">
        <v>0.1</v>
      </c>
      <c r="AP7" s="91"/>
    </row>
    <row r="8" spans="1:71" x14ac:dyDescent="0.3">
      <c r="A8" s="11">
        <v>14.5</v>
      </c>
      <c r="B8" s="11">
        <v>1000</v>
      </c>
      <c r="C8" s="10" t="s">
        <v>33</v>
      </c>
      <c r="D8" s="10" t="s">
        <v>35</v>
      </c>
      <c r="E8" s="10" t="s">
        <v>170</v>
      </c>
      <c r="F8" s="10" t="s">
        <v>34</v>
      </c>
      <c r="G8" s="20">
        <v>0.16600000000000001</v>
      </c>
      <c r="H8" s="10" t="s">
        <v>34</v>
      </c>
      <c r="I8" s="10" t="s">
        <v>34</v>
      </c>
      <c r="J8" s="10">
        <v>1.64</v>
      </c>
      <c r="K8" s="10" t="s">
        <v>34</v>
      </c>
      <c r="L8" s="10" t="s">
        <v>34</v>
      </c>
      <c r="M8" s="10" t="s">
        <v>34</v>
      </c>
      <c r="N8" s="20">
        <v>1560</v>
      </c>
      <c r="O8" s="10" t="s">
        <v>34</v>
      </c>
      <c r="P8" s="10" t="s">
        <v>34</v>
      </c>
      <c r="Q8" s="10" t="s">
        <v>34</v>
      </c>
      <c r="R8" s="10" t="s">
        <v>34</v>
      </c>
      <c r="S8" s="10" t="s">
        <v>34</v>
      </c>
      <c r="T8" s="10" t="s">
        <v>36</v>
      </c>
      <c r="U8" s="20" t="s">
        <v>37</v>
      </c>
      <c r="V8" s="20" t="s">
        <v>38</v>
      </c>
      <c r="W8" s="10">
        <v>10</v>
      </c>
      <c r="X8" s="10">
        <v>1</v>
      </c>
      <c r="Y8" s="10">
        <v>1</v>
      </c>
      <c r="Z8" s="10" t="s">
        <v>39</v>
      </c>
      <c r="AA8" s="10">
        <v>1.1000000000000001</v>
      </c>
      <c r="AC8" s="10" t="s">
        <v>40</v>
      </c>
      <c r="AD8" s="10" t="s">
        <v>32</v>
      </c>
      <c r="AE8" s="20">
        <f t="shared" si="0"/>
        <v>0.5776</v>
      </c>
      <c r="AF8" s="10" t="s">
        <v>41</v>
      </c>
      <c r="AG8" s="10">
        <v>2010</v>
      </c>
      <c r="AH8" s="21" t="s">
        <v>42</v>
      </c>
      <c r="AI8" s="2">
        <v>49.33</v>
      </c>
      <c r="AJ8" s="2">
        <v>2.19</v>
      </c>
      <c r="AK8" s="2">
        <v>0.1</v>
      </c>
      <c r="AP8" s="91"/>
    </row>
    <row r="9" spans="1:71" x14ac:dyDescent="0.3">
      <c r="A9" s="11">
        <v>14.5</v>
      </c>
      <c r="B9" s="11">
        <v>1300</v>
      </c>
      <c r="C9" s="10" t="s">
        <v>33</v>
      </c>
      <c r="D9" s="10" t="s">
        <v>35</v>
      </c>
      <c r="E9" s="10" t="s">
        <v>170</v>
      </c>
      <c r="F9" s="10" t="s">
        <v>34</v>
      </c>
      <c r="G9" s="20">
        <v>0.16600000000000001</v>
      </c>
      <c r="H9" s="10" t="s">
        <v>34</v>
      </c>
      <c r="I9" s="10" t="s">
        <v>34</v>
      </c>
      <c r="J9" s="10">
        <v>1.64</v>
      </c>
      <c r="K9" s="10" t="s">
        <v>34</v>
      </c>
      <c r="L9" s="10" t="s">
        <v>34</v>
      </c>
      <c r="M9" s="10" t="s">
        <v>34</v>
      </c>
      <c r="N9" s="20">
        <v>1560</v>
      </c>
      <c r="O9" s="10" t="s">
        <v>34</v>
      </c>
      <c r="P9" s="10" t="s">
        <v>34</v>
      </c>
      <c r="Q9" s="10" t="s">
        <v>34</v>
      </c>
      <c r="R9" s="10" t="s">
        <v>34</v>
      </c>
      <c r="S9" s="10" t="s">
        <v>34</v>
      </c>
      <c r="T9" s="10" t="s">
        <v>36</v>
      </c>
      <c r="U9" s="20" t="s">
        <v>37</v>
      </c>
      <c r="V9" s="20" t="s">
        <v>38</v>
      </c>
      <c r="W9" s="10">
        <v>10</v>
      </c>
      <c r="X9" s="10">
        <v>1</v>
      </c>
      <c r="Y9" s="10">
        <v>1</v>
      </c>
      <c r="Z9" s="10" t="s">
        <v>39</v>
      </c>
      <c r="AA9" s="10">
        <v>1.1000000000000001</v>
      </c>
      <c r="AC9" s="10" t="s">
        <v>40</v>
      </c>
      <c r="AD9" s="10" t="s">
        <v>32</v>
      </c>
      <c r="AE9" s="20">
        <f t="shared" si="0"/>
        <v>0.5776</v>
      </c>
      <c r="AF9" s="10" t="s">
        <v>41</v>
      </c>
      <c r="AG9" s="10">
        <v>2010</v>
      </c>
      <c r="AH9" s="21" t="s">
        <v>42</v>
      </c>
      <c r="AI9" s="2">
        <v>49.33</v>
      </c>
      <c r="AJ9" s="2">
        <v>2.19</v>
      </c>
      <c r="AK9" s="2">
        <v>0.1</v>
      </c>
      <c r="AP9" s="91"/>
    </row>
    <row r="10" spans="1:71" x14ac:dyDescent="0.3">
      <c r="A10" s="11">
        <v>14.5</v>
      </c>
      <c r="B10" s="11">
        <v>2200</v>
      </c>
      <c r="C10" s="10" t="s">
        <v>33</v>
      </c>
      <c r="D10" s="10" t="s">
        <v>35</v>
      </c>
      <c r="E10" s="10" t="s">
        <v>170</v>
      </c>
      <c r="F10" s="10" t="s">
        <v>34</v>
      </c>
      <c r="G10" s="20">
        <v>0.16600000000000001</v>
      </c>
      <c r="H10" s="10" t="s">
        <v>34</v>
      </c>
      <c r="I10" s="10" t="s">
        <v>34</v>
      </c>
      <c r="J10" s="10">
        <v>1.64</v>
      </c>
      <c r="K10" s="10" t="s">
        <v>34</v>
      </c>
      <c r="L10" s="10" t="s">
        <v>34</v>
      </c>
      <c r="M10" s="10" t="s">
        <v>34</v>
      </c>
      <c r="N10" s="20">
        <v>1560</v>
      </c>
      <c r="O10" s="10" t="s">
        <v>34</v>
      </c>
      <c r="P10" s="10" t="s">
        <v>34</v>
      </c>
      <c r="Q10" s="10" t="s">
        <v>34</v>
      </c>
      <c r="R10" s="10" t="s">
        <v>34</v>
      </c>
      <c r="S10" s="10" t="s">
        <v>34</v>
      </c>
      <c r="T10" s="10" t="s">
        <v>36</v>
      </c>
      <c r="U10" s="20" t="s">
        <v>37</v>
      </c>
      <c r="V10" s="20" t="s">
        <v>38</v>
      </c>
      <c r="W10" s="10">
        <v>10</v>
      </c>
      <c r="X10" s="10">
        <v>1</v>
      </c>
      <c r="Y10" s="10">
        <v>1</v>
      </c>
      <c r="Z10" s="10" t="s">
        <v>39</v>
      </c>
      <c r="AA10" s="10">
        <v>1.1000000000000001</v>
      </c>
      <c r="AC10" s="10" t="s">
        <v>40</v>
      </c>
      <c r="AD10" s="10" t="s">
        <v>32</v>
      </c>
      <c r="AE10" s="20">
        <f t="shared" si="0"/>
        <v>0.5776</v>
      </c>
      <c r="AF10" s="10" t="s">
        <v>41</v>
      </c>
      <c r="AG10" s="10">
        <v>2010</v>
      </c>
      <c r="AH10" s="21" t="s">
        <v>42</v>
      </c>
      <c r="AI10" s="2">
        <v>49.33</v>
      </c>
      <c r="AJ10" s="2">
        <v>2.19</v>
      </c>
      <c r="AK10" s="2">
        <v>0.1</v>
      </c>
      <c r="AP10" s="91"/>
    </row>
    <row r="11" spans="1:71" x14ac:dyDescent="0.3">
      <c r="A11" s="11">
        <v>14.8</v>
      </c>
      <c r="B11" s="11">
        <v>2300</v>
      </c>
      <c r="C11" s="10" t="s">
        <v>33</v>
      </c>
      <c r="D11" s="10" t="s">
        <v>35</v>
      </c>
      <c r="E11" s="10" t="s">
        <v>170</v>
      </c>
      <c r="F11" s="10" t="s">
        <v>34</v>
      </c>
      <c r="G11" s="20">
        <v>0.16600000000000001</v>
      </c>
      <c r="H11" s="10" t="s">
        <v>34</v>
      </c>
      <c r="I11" s="10" t="s">
        <v>34</v>
      </c>
      <c r="J11" s="10">
        <v>1.64</v>
      </c>
      <c r="K11" s="10" t="s">
        <v>34</v>
      </c>
      <c r="L11" s="10" t="s">
        <v>34</v>
      </c>
      <c r="M11" s="10" t="s">
        <v>34</v>
      </c>
      <c r="N11" s="20">
        <v>1560</v>
      </c>
      <c r="O11" s="10" t="s">
        <v>34</v>
      </c>
      <c r="P11" s="10" t="s">
        <v>34</v>
      </c>
      <c r="Q11" s="10" t="s">
        <v>34</v>
      </c>
      <c r="R11" s="10" t="s">
        <v>34</v>
      </c>
      <c r="S11" s="10" t="s">
        <v>34</v>
      </c>
      <c r="T11" s="10" t="s">
        <v>36</v>
      </c>
      <c r="U11" s="20" t="s">
        <v>37</v>
      </c>
      <c r="V11" s="20" t="s">
        <v>38</v>
      </c>
      <c r="W11" s="10">
        <v>10</v>
      </c>
      <c r="X11" s="10">
        <v>1</v>
      </c>
      <c r="Y11" s="10">
        <v>1</v>
      </c>
      <c r="Z11" s="10" t="s">
        <v>39</v>
      </c>
      <c r="AA11" s="10">
        <v>1.1000000000000001</v>
      </c>
      <c r="AC11" s="10" t="s">
        <v>40</v>
      </c>
      <c r="AD11" s="10" t="s">
        <v>32</v>
      </c>
      <c r="AE11" s="20">
        <f t="shared" si="0"/>
        <v>0.5776</v>
      </c>
      <c r="AF11" s="10" t="s">
        <v>41</v>
      </c>
      <c r="AG11" s="10">
        <v>2010</v>
      </c>
      <c r="AH11" s="21" t="s">
        <v>42</v>
      </c>
      <c r="AI11" s="2">
        <v>49.33</v>
      </c>
      <c r="AJ11" s="2">
        <v>2.19</v>
      </c>
      <c r="AK11" s="2">
        <v>0.1</v>
      </c>
      <c r="AP11" s="91"/>
    </row>
    <row r="12" spans="1:71" x14ac:dyDescent="0.3">
      <c r="A12" s="11">
        <v>15.5</v>
      </c>
      <c r="B12" s="11">
        <v>900</v>
      </c>
      <c r="C12" s="10" t="s">
        <v>33</v>
      </c>
      <c r="D12" s="10" t="s">
        <v>35</v>
      </c>
      <c r="E12" s="10" t="s">
        <v>170</v>
      </c>
      <c r="F12" s="10" t="s">
        <v>34</v>
      </c>
      <c r="G12" s="20">
        <v>0.16600000000000001</v>
      </c>
      <c r="H12" s="10" t="s">
        <v>34</v>
      </c>
      <c r="I12" s="10" t="s">
        <v>34</v>
      </c>
      <c r="J12" s="10">
        <v>1.64</v>
      </c>
      <c r="K12" s="10" t="s">
        <v>34</v>
      </c>
      <c r="L12" s="10" t="s">
        <v>34</v>
      </c>
      <c r="M12" s="10" t="s">
        <v>34</v>
      </c>
      <c r="N12" s="20">
        <v>1560</v>
      </c>
      <c r="O12" s="10" t="s">
        <v>34</v>
      </c>
      <c r="P12" s="10" t="s">
        <v>34</v>
      </c>
      <c r="Q12" s="10" t="s">
        <v>34</v>
      </c>
      <c r="R12" s="10" t="s">
        <v>34</v>
      </c>
      <c r="S12" s="10" t="s">
        <v>34</v>
      </c>
      <c r="T12" s="10" t="s">
        <v>36</v>
      </c>
      <c r="U12" s="20" t="s">
        <v>37</v>
      </c>
      <c r="V12" s="20" t="s">
        <v>38</v>
      </c>
      <c r="W12" s="10">
        <v>10</v>
      </c>
      <c r="X12" s="10">
        <v>1</v>
      </c>
      <c r="Y12" s="10">
        <v>1</v>
      </c>
      <c r="Z12" s="10" t="s">
        <v>39</v>
      </c>
      <c r="AA12" s="10">
        <v>1.1000000000000001</v>
      </c>
      <c r="AC12" s="10" t="s">
        <v>40</v>
      </c>
      <c r="AD12" s="10" t="s">
        <v>32</v>
      </c>
      <c r="AE12" s="20">
        <f t="shared" si="0"/>
        <v>0.5776</v>
      </c>
      <c r="AF12" s="10" t="s">
        <v>41</v>
      </c>
      <c r="AG12" s="10">
        <v>2010</v>
      </c>
      <c r="AH12" s="21" t="s">
        <v>42</v>
      </c>
      <c r="AI12" s="2">
        <v>49.33</v>
      </c>
      <c r="AJ12" s="2">
        <v>2.19</v>
      </c>
      <c r="AK12" s="2">
        <v>0.1</v>
      </c>
      <c r="AP12" s="91"/>
    </row>
    <row r="13" spans="1:71" x14ac:dyDescent="0.3">
      <c r="A13" s="11">
        <v>15.8</v>
      </c>
      <c r="B13" s="11">
        <v>1300</v>
      </c>
      <c r="C13" s="10" t="s">
        <v>33</v>
      </c>
      <c r="D13" s="10" t="s">
        <v>35</v>
      </c>
      <c r="E13" s="10" t="s">
        <v>170</v>
      </c>
      <c r="F13" s="10" t="s">
        <v>34</v>
      </c>
      <c r="G13" s="20">
        <v>0.16600000000000001</v>
      </c>
      <c r="H13" s="10" t="s">
        <v>34</v>
      </c>
      <c r="I13" s="10" t="s">
        <v>34</v>
      </c>
      <c r="J13" s="10">
        <v>1.64</v>
      </c>
      <c r="K13" s="10" t="s">
        <v>34</v>
      </c>
      <c r="L13" s="10" t="s">
        <v>34</v>
      </c>
      <c r="M13" s="10" t="s">
        <v>34</v>
      </c>
      <c r="N13" s="20">
        <v>1560</v>
      </c>
      <c r="O13" s="10" t="s">
        <v>34</v>
      </c>
      <c r="P13" s="10" t="s">
        <v>34</v>
      </c>
      <c r="Q13" s="10" t="s">
        <v>34</v>
      </c>
      <c r="R13" s="10" t="s">
        <v>34</v>
      </c>
      <c r="S13" s="10" t="s">
        <v>34</v>
      </c>
      <c r="T13" s="10" t="s">
        <v>36</v>
      </c>
      <c r="U13" s="20" t="s">
        <v>37</v>
      </c>
      <c r="V13" s="20" t="s">
        <v>38</v>
      </c>
      <c r="W13" s="10">
        <v>10</v>
      </c>
      <c r="X13" s="10">
        <v>1</v>
      </c>
      <c r="Y13" s="10">
        <v>1</v>
      </c>
      <c r="Z13" s="10" t="s">
        <v>39</v>
      </c>
      <c r="AA13" s="10">
        <v>1.1000000000000001</v>
      </c>
      <c r="AC13" s="10" t="s">
        <v>40</v>
      </c>
      <c r="AD13" s="10" t="s">
        <v>32</v>
      </c>
      <c r="AE13" s="20">
        <f t="shared" si="0"/>
        <v>0.5776</v>
      </c>
      <c r="AF13" s="10" t="s">
        <v>41</v>
      </c>
      <c r="AG13" s="10">
        <v>2010</v>
      </c>
      <c r="AH13" s="21" t="s">
        <v>42</v>
      </c>
      <c r="AI13" s="2">
        <v>49.33</v>
      </c>
      <c r="AJ13" s="2">
        <v>2.19</v>
      </c>
      <c r="AK13" s="2">
        <v>0.1</v>
      </c>
      <c r="AP13" s="91"/>
    </row>
    <row r="14" spans="1:71" x14ac:dyDescent="0.3">
      <c r="A14" s="11">
        <v>16.3</v>
      </c>
      <c r="B14" s="11">
        <v>2300</v>
      </c>
      <c r="C14" s="10" t="s">
        <v>33</v>
      </c>
      <c r="D14" s="10" t="s">
        <v>35</v>
      </c>
      <c r="E14" s="10" t="s">
        <v>170</v>
      </c>
      <c r="F14" s="10" t="s">
        <v>34</v>
      </c>
      <c r="G14" s="20">
        <v>0.16600000000000001</v>
      </c>
      <c r="H14" s="10" t="s">
        <v>34</v>
      </c>
      <c r="I14" s="10" t="s">
        <v>34</v>
      </c>
      <c r="J14" s="10">
        <v>1.64</v>
      </c>
      <c r="K14" s="10" t="s">
        <v>34</v>
      </c>
      <c r="L14" s="10" t="s">
        <v>34</v>
      </c>
      <c r="M14" s="10" t="s">
        <v>34</v>
      </c>
      <c r="N14" s="20">
        <v>1560</v>
      </c>
      <c r="O14" s="10" t="s">
        <v>34</v>
      </c>
      <c r="P14" s="10" t="s">
        <v>34</v>
      </c>
      <c r="Q14" s="10" t="s">
        <v>34</v>
      </c>
      <c r="R14" s="10" t="s">
        <v>34</v>
      </c>
      <c r="S14" s="10" t="s">
        <v>34</v>
      </c>
      <c r="T14" s="10" t="s">
        <v>36</v>
      </c>
      <c r="U14" s="20" t="s">
        <v>37</v>
      </c>
      <c r="V14" s="20" t="s">
        <v>38</v>
      </c>
      <c r="W14" s="10">
        <v>10</v>
      </c>
      <c r="X14" s="10">
        <v>1</v>
      </c>
      <c r="Y14" s="10">
        <v>1</v>
      </c>
      <c r="Z14" s="10" t="s">
        <v>39</v>
      </c>
      <c r="AA14" s="10">
        <v>1.1000000000000001</v>
      </c>
      <c r="AC14" s="10" t="s">
        <v>40</v>
      </c>
      <c r="AD14" s="10" t="s">
        <v>32</v>
      </c>
      <c r="AE14" s="20">
        <f t="shared" si="0"/>
        <v>0.5776</v>
      </c>
      <c r="AF14" s="10" t="s">
        <v>41</v>
      </c>
      <c r="AG14" s="10">
        <v>2010</v>
      </c>
      <c r="AH14" s="21" t="s">
        <v>42</v>
      </c>
      <c r="AI14" s="2">
        <v>49.33</v>
      </c>
      <c r="AJ14" s="2">
        <v>2.19</v>
      </c>
      <c r="AK14" s="2">
        <v>0.1</v>
      </c>
      <c r="AP14" s="91"/>
    </row>
    <row r="15" spans="1:71" x14ac:dyDescent="0.3">
      <c r="A15" s="11">
        <v>16.8</v>
      </c>
      <c r="B15" s="11">
        <v>1600</v>
      </c>
      <c r="C15" s="10" t="s">
        <v>33</v>
      </c>
      <c r="D15" s="10" t="s">
        <v>35</v>
      </c>
      <c r="E15" s="10" t="s">
        <v>170</v>
      </c>
      <c r="F15" s="10" t="s">
        <v>34</v>
      </c>
      <c r="G15" s="20">
        <v>0.16600000000000001</v>
      </c>
      <c r="H15" s="10" t="s">
        <v>34</v>
      </c>
      <c r="I15" s="10" t="s">
        <v>34</v>
      </c>
      <c r="J15" s="10">
        <v>1.64</v>
      </c>
      <c r="K15" s="10" t="s">
        <v>34</v>
      </c>
      <c r="L15" s="10" t="s">
        <v>34</v>
      </c>
      <c r="M15" s="10" t="s">
        <v>34</v>
      </c>
      <c r="N15" s="20">
        <v>1560</v>
      </c>
      <c r="O15" s="10" t="s">
        <v>34</v>
      </c>
      <c r="P15" s="10" t="s">
        <v>34</v>
      </c>
      <c r="Q15" s="10" t="s">
        <v>34</v>
      </c>
      <c r="R15" s="10" t="s">
        <v>34</v>
      </c>
      <c r="S15" s="10" t="s">
        <v>34</v>
      </c>
      <c r="T15" s="10" t="s">
        <v>36</v>
      </c>
      <c r="U15" s="20" t="s">
        <v>37</v>
      </c>
      <c r="V15" s="20" t="s">
        <v>38</v>
      </c>
      <c r="W15" s="10">
        <v>10</v>
      </c>
      <c r="X15" s="10">
        <v>1</v>
      </c>
      <c r="Y15" s="10">
        <v>1</v>
      </c>
      <c r="Z15" s="10" t="s">
        <v>39</v>
      </c>
      <c r="AA15" s="10">
        <v>1.1000000000000001</v>
      </c>
      <c r="AC15" s="10" t="s">
        <v>40</v>
      </c>
      <c r="AD15" s="10" t="s">
        <v>32</v>
      </c>
      <c r="AE15" s="20">
        <f t="shared" si="0"/>
        <v>0.5776</v>
      </c>
      <c r="AF15" s="10" t="s">
        <v>41</v>
      </c>
      <c r="AG15" s="10">
        <v>2010</v>
      </c>
      <c r="AH15" s="21" t="s">
        <v>42</v>
      </c>
      <c r="AI15" s="2">
        <v>49.33</v>
      </c>
      <c r="AJ15" s="2">
        <v>2.19</v>
      </c>
      <c r="AK15" s="2">
        <v>0.1</v>
      </c>
      <c r="AP15" s="91"/>
    </row>
    <row r="16" spans="1:71" x14ac:dyDescent="0.3">
      <c r="A16" s="11">
        <v>16.8</v>
      </c>
      <c r="B16" s="11">
        <v>1900</v>
      </c>
      <c r="C16" s="10" t="s">
        <v>33</v>
      </c>
      <c r="D16" s="10" t="s">
        <v>35</v>
      </c>
      <c r="E16" s="10" t="s">
        <v>170</v>
      </c>
      <c r="F16" s="10" t="s">
        <v>34</v>
      </c>
      <c r="G16" s="20">
        <v>0.16600000000000001</v>
      </c>
      <c r="H16" s="10" t="s">
        <v>34</v>
      </c>
      <c r="I16" s="10" t="s">
        <v>34</v>
      </c>
      <c r="J16" s="10">
        <v>1.64</v>
      </c>
      <c r="K16" s="10" t="s">
        <v>34</v>
      </c>
      <c r="L16" s="10" t="s">
        <v>34</v>
      </c>
      <c r="M16" s="10" t="s">
        <v>34</v>
      </c>
      <c r="N16" s="20">
        <v>1560</v>
      </c>
      <c r="O16" s="10" t="s">
        <v>34</v>
      </c>
      <c r="P16" s="10" t="s">
        <v>34</v>
      </c>
      <c r="Q16" s="10" t="s">
        <v>34</v>
      </c>
      <c r="R16" s="10" t="s">
        <v>34</v>
      </c>
      <c r="S16" s="10" t="s">
        <v>34</v>
      </c>
      <c r="T16" s="10" t="s">
        <v>36</v>
      </c>
      <c r="U16" s="20" t="s">
        <v>37</v>
      </c>
      <c r="V16" s="20" t="s">
        <v>38</v>
      </c>
      <c r="W16" s="10">
        <v>10</v>
      </c>
      <c r="X16" s="10">
        <v>1</v>
      </c>
      <c r="Y16" s="10">
        <v>1</v>
      </c>
      <c r="Z16" s="10" t="s">
        <v>39</v>
      </c>
      <c r="AA16" s="10">
        <v>1.1000000000000001</v>
      </c>
      <c r="AC16" s="10" t="s">
        <v>40</v>
      </c>
      <c r="AD16" s="10" t="s">
        <v>32</v>
      </c>
      <c r="AE16" s="20">
        <f t="shared" si="0"/>
        <v>0.5776</v>
      </c>
      <c r="AF16" s="10" t="s">
        <v>41</v>
      </c>
      <c r="AG16" s="10">
        <v>2010</v>
      </c>
      <c r="AH16" s="21" t="s">
        <v>42</v>
      </c>
      <c r="AI16" s="2">
        <v>49.33</v>
      </c>
      <c r="AJ16" s="2">
        <v>2.19</v>
      </c>
      <c r="AK16" s="2">
        <v>0.1</v>
      </c>
      <c r="AP16" s="91"/>
    </row>
    <row r="17" spans="1:42" x14ac:dyDescent="0.3">
      <c r="A17" s="11">
        <v>17.5</v>
      </c>
      <c r="B17" s="11">
        <v>1700</v>
      </c>
      <c r="C17" s="10" t="s">
        <v>33</v>
      </c>
      <c r="D17" s="10" t="s">
        <v>35</v>
      </c>
      <c r="E17" s="10" t="s">
        <v>170</v>
      </c>
      <c r="F17" s="10" t="s">
        <v>34</v>
      </c>
      <c r="G17" s="20">
        <v>0.16600000000000001</v>
      </c>
      <c r="H17" s="10" t="s">
        <v>34</v>
      </c>
      <c r="I17" s="10" t="s">
        <v>34</v>
      </c>
      <c r="J17" s="10">
        <v>1.64</v>
      </c>
      <c r="K17" s="10" t="s">
        <v>34</v>
      </c>
      <c r="L17" s="10" t="s">
        <v>34</v>
      </c>
      <c r="M17" s="10" t="s">
        <v>34</v>
      </c>
      <c r="N17" s="20">
        <v>1560</v>
      </c>
      <c r="O17" s="10" t="s">
        <v>34</v>
      </c>
      <c r="P17" s="10" t="s">
        <v>34</v>
      </c>
      <c r="Q17" s="10" t="s">
        <v>34</v>
      </c>
      <c r="R17" s="10" t="s">
        <v>34</v>
      </c>
      <c r="S17" s="10" t="s">
        <v>34</v>
      </c>
      <c r="T17" s="10" t="s">
        <v>36</v>
      </c>
      <c r="U17" s="20" t="s">
        <v>37</v>
      </c>
      <c r="V17" s="20" t="s">
        <v>38</v>
      </c>
      <c r="W17" s="10">
        <v>10</v>
      </c>
      <c r="X17" s="10">
        <v>1</v>
      </c>
      <c r="Y17" s="10">
        <v>1</v>
      </c>
      <c r="Z17" s="10" t="s">
        <v>39</v>
      </c>
      <c r="AA17" s="10">
        <v>1.1000000000000001</v>
      </c>
      <c r="AC17" s="10" t="s">
        <v>40</v>
      </c>
      <c r="AD17" s="10" t="s">
        <v>32</v>
      </c>
      <c r="AE17" s="20">
        <f t="shared" si="0"/>
        <v>0.5776</v>
      </c>
      <c r="AF17" s="10" t="s">
        <v>41</v>
      </c>
      <c r="AG17" s="10">
        <v>2010</v>
      </c>
      <c r="AH17" s="21" t="s">
        <v>42</v>
      </c>
      <c r="AI17" s="2">
        <v>49.33</v>
      </c>
      <c r="AJ17" s="2">
        <v>2.19</v>
      </c>
      <c r="AK17" s="2">
        <v>0.1</v>
      </c>
      <c r="AP17" s="91"/>
    </row>
    <row r="18" spans="1:42" x14ac:dyDescent="0.3">
      <c r="A18" s="11">
        <v>17.5</v>
      </c>
      <c r="B18" s="11">
        <v>4200</v>
      </c>
      <c r="C18" s="10" t="s">
        <v>33</v>
      </c>
      <c r="D18" s="10" t="s">
        <v>35</v>
      </c>
      <c r="E18" s="10" t="s">
        <v>170</v>
      </c>
      <c r="F18" s="10" t="s">
        <v>34</v>
      </c>
      <c r="G18" s="20">
        <v>0.16600000000000001</v>
      </c>
      <c r="H18" s="10" t="s">
        <v>34</v>
      </c>
      <c r="I18" s="10" t="s">
        <v>34</v>
      </c>
      <c r="J18" s="10">
        <v>1.64</v>
      </c>
      <c r="K18" s="10" t="s">
        <v>34</v>
      </c>
      <c r="L18" s="10" t="s">
        <v>34</v>
      </c>
      <c r="M18" s="10" t="s">
        <v>34</v>
      </c>
      <c r="N18" s="20">
        <v>1560</v>
      </c>
      <c r="O18" s="10" t="s">
        <v>34</v>
      </c>
      <c r="P18" s="10" t="s">
        <v>34</v>
      </c>
      <c r="Q18" s="10" t="s">
        <v>34</v>
      </c>
      <c r="R18" s="10" t="s">
        <v>34</v>
      </c>
      <c r="S18" s="10" t="s">
        <v>34</v>
      </c>
      <c r="T18" s="10" t="s">
        <v>36</v>
      </c>
      <c r="U18" s="20" t="s">
        <v>37</v>
      </c>
      <c r="V18" s="20" t="s">
        <v>38</v>
      </c>
      <c r="W18" s="10">
        <v>10</v>
      </c>
      <c r="X18" s="10">
        <v>1</v>
      </c>
      <c r="Y18" s="10">
        <v>1</v>
      </c>
      <c r="Z18" s="10" t="s">
        <v>39</v>
      </c>
      <c r="AA18" s="10">
        <v>1.1000000000000001</v>
      </c>
      <c r="AC18" s="10" t="s">
        <v>40</v>
      </c>
      <c r="AD18" s="10" t="s">
        <v>32</v>
      </c>
      <c r="AE18" s="20">
        <f t="shared" si="0"/>
        <v>0.5776</v>
      </c>
      <c r="AF18" s="10" t="s">
        <v>41</v>
      </c>
      <c r="AG18" s="10">
        <v>2010</v>
      </c>
      <c r="AH18" s="21" t="s">
        <v>42</v>
      </c>
      <c r="AI18" s="2">
        <v>49.33</v>
      </c>
      <c r="AJ18" s="2">
        <v>2.19</v>
      </c>
      <c r="AK18" s="2">
        <v>0.1</v>
      </c>
      <c r="AP18" s="91"/>
    </row>
    <row r="19" spans="1:42" x14ac:dyDescent="0.3">
      <c r="A19" s="11">
        <v>18.600000000000001</v>
      </c>
      <c r="B19" s="11">
        <v>1700</v>
      </c>
      <c r="C19" s="10" t="s">
        <v>33</v>
      </c>
      <c r="D19" s="10" t="s">
        <v>35</v>
      </c>
      <c r="E19" s="10" t="s">
        <v>170</v>
      </c>
      <c r="F19" s="10" t="s">
        <v>34</v>
      </c>
      <c r="G19" s="20">
        <v>0.16600000000000001</v>
      </c>
      <c r="H19" s="10" t="s">
        <v>34</v>
      </c>
      <c r="I19" s="10" t="s">
        <v>34</v>
      </c>
      <c r="J19" s="10">
        <v>1.64</v>
      </c>
      <c r="K19" s="10" t="s">
        <v>34</v>
      </c>
      <c r="L19" s="10" t="s">
        <v>34</v>
      </c>
      <c r="M19" s="10" t="s">
        <v>34</v>
      </c>
      <c r="N19" s="20">
        <v>1560</v>
      </c>
      <c r="O19" s="10" t="s">
        <v>34</v>
      </c>
      <c r="P19" s="10" t="s">
        <v>34</v>
      </c>
      <c r="Q19" s="10" t="s">
        <v>34</v>
      </c>
      <c r="R19" s="10" t="s">
        <v>34</v>
      </c>
      <c r="S19" s="10" t="s">
        <v>34</v>
      </c>
      <c r="T19" s="10" t="s">
        <v>36</v>
      </c>
      <c r="U19" s="20" t="s">
        <v>37</v>
      </c>
      <c r="V19" s="20" t="s">
        <v>38</v>
      </c>
      <c r="W19" s="10">
        <v>10</v>
      </c>
      <c r="X19" s="10">
        <v>1</v>
      </c>
      <c r="Y19" s="10">
        <v>1</v>
      </c>
      <c r="Z19" s="10" t="s">
        <v>39</v>
      </c>
      <c r="AA19" s="10">
        <v>1.1000000000000001</v>
      </c>
      <c r="AC19" s="10" t="s">
        <v>40</v>
      </c>
      <c r="AD19" s="10" t="s">
        <v>32</v>
      </c>
      <c r="AE19" s="20">
        <f t="shared" si="0"/>
        <v>0.5776</v>
      </c>
      <c r="AF19" s="10" t="s">
        <v>41</v>
      </c>
      <c r="AG19" s="10">
        <v>2010</v>
      </c>
      <c r="AH19" s="21" t="s">
        <v>42</v>
      </c>
      <c r="AI19" s="2">
        <v>49.33</v>
      </c>
      <c r="AJ19" s="2">
        <v>2.19</v>
      </c>
      <c r="AK19" s="2">
        <v>0.1</v>
      </c>
      <c r="AP19" s="91"/>
    </row>
    <row r="20" spans="1:42" x14ac:dyDescent="0.3">
      <c r="A20" s="11">
        <v>19.100000000000001</v>
      </c>
      <c r="B20" s="11">
        <v>2300</v>
      </c>
      <c r="C20" s="10" t="s">
        <v>33</v>
      </c>
      <c r="D20" s="10" t="s">
        <v>35</v>
      </c>
      <c r="E20" s="10" t="s">
        <v>170</v>
      </c>
      <c r="F20" s="10" t="s">
        <v>34</v>
      </c>
      <c r="G20" s="20">
        <v>0.16600000000000001</v>
      </c>
      <c r="H20" s="10" t="s">
        <v>34</v>
      </c>
      <c r="I20" s="10" t="s">
        <v>34</v>
      </c>
      <c r="J20" s="10">
        <v>1.64</v>
      </c>
      <c r="K20" s="10" t="s">
        <v>34</v>
      </c>
      <c r="L20" s="10" t="s">
        <v>34</v>
      </c>
      <c r="M20" s="10" t="s">
        <v>34</v>
      </c>
      <c r="N20" s="20">
        <v>1560</v>
      </c>
      <c r="O20" s="10" t="s">
        <v>34</v>
      </c>
      <c r="P20" s="10" t="s">
        <v>34</v>
      </c>
      <c r="Q20" s="10" t="s">
        <v>34</v>
      </c>
      <c r="R20" s="10" t="s">
        <v>34</v>
      </c>
      <c r="S20" s="10" t="s">
        <v>34</v>
      </c>
      <c r="T20" s="10" t="s">
        <v>36</v>
      </c>
      <c r="U20" s="20" t="s">
        <v>37</v>
      </c>
      <c r="V20" s="20" t="s">
        <v>38</v>
      </c>
      <c r="W20" s="10">
        <v>10</v>
      </c>
      <c r="X20" s="10">
        <v>1</v>
      </c>
      <c r="Y20" s="10">
        <v>1</v>
      </c>
      <c r="Z20" s="10" t="s">
        <v>39</v>
      </c>
      <c r="AA20" s="10">
        <v>1.1000000000000001</v>
      </c>
      <c r="AC20" s="10" t="s">
        <v>40</v>
      </c>
      <c r="AD20" s="10" t="s">
        <v>32</v>
      </c>
      <c r="AE20" s="20">
        <f t="shared" si="0"/>
        <v>0.5776</v>
      </c>
      <c r="AF20" s="10" t="s">
        <v>41</v>
      </c>
      <c r="AG20" s="10">
        <v>2010</v>
      </c>
      <c r="AH20" s="21" t="s">
        <v>42</v>
      </c>
      <c r="AI20" s="2">
        <v>49.33</v>
      </c>
      <c r="AJ20" s="2">
        <v>2.19</v>
      </c>
      <c r="AK20" s="2">
        <v>0.1</v>
      </c>
      <c r="AP20" s="91"/>
    </row>
    <row r="21" spans="1:42" x14ac:dyDescent="0.3">
      <c r="A21" s="11">
        <v>20.3</v>
      </c>
      <c r="B21" s="11">
        <v>2000</v>
      </c>
      <c r="C21" s="10" t="s">
        <v>33</v>
      </c>
      <c r="D21" s="10" t="s">
        <v>35</v>
      </c>
      <c r="E21" s="10" t="s">
        <v>170</v>
      </c>
      <c r="F21" s="10" t="s">
        <v>34</v>
      </c>
      <c r="G21" s="20">
        <v>0.16600000000000001</v>
      </c>
      <c r="H21" s="10" t="s">
        <v>34</v>
      </c>
      <c r="I21" s="10" t="s">
        <v>34</v>
      </c>
      <c r="J21" s="10">
        <v>1.64</v>
      </c>
      <c r="K21" s="10" t="s">
        <v>34</v>
      </c>
      <c r="L21" s="10" t="s">
        <v>34</v>
      </c>
      <c r="M21" s="10" t="s">
        <v>34</v>
      </c>
      <c r="N21" s="20">
        <v>1560</v>
      </c>
      <c r="O21" s="10" t="s">
        <v>34</v>
      </c>
      <c r="P21" s="10" t="s">
        <v>34</v>
      </c>
      <c r="Q21" s="10" t="s">
        <v>34</v>
      </c>
      <c r="R21" s="10" t="s">
        <v>34</v>
      </c>
      <c r="S21" s="10" t="s">
        <v>34</v>
      </c>
      <c r="T21" s="10" t="s">
        <v>36</v>
      </c>
      <c r="U21" s="20" t="s">
        <v>37</v>
      </c>
      <c r="V21" s="20" t="s">
        <v>38</v>
      </c>
      <c r="W21" s="10">
        <v>10</v>
      </c>
      <c r="X21" s="10">
        <v>1</v>
      </c>
      <c r="Y21" s="10">
        <v>1</v>
      </c>
      <c r="Z21" s="10" t="s">
        <v>39</v>
      </c>
      <c r="AA21" s="10">
        <v>1.1000000000000001</v>
      </c>
      <c r="AC21" s="10" t="s">
        <v>40</v>
      </c>
      <c r="AD21" s="10" t="s">
        <v>32</v>
      </c>
      <c r="AE21" s="20">
        <f t="shared" si="0"/>
        <v>0.5776</v>
      </c>
      <c r="AF21" s="10" t="s">
        <v>41</v>
      </c>
      <c r="AG21" s="10">
        <v>2010</v>
      </c>
      <c r="AH21" s="21" t="s">
        <v>42</v>
      </c>
      <c r="AI21" s="2">
        <v>49.33</v>
      </c>
      <c r="AJ21" s="2">
        <v>2.19</v>
      </c>
      <c r="AK21" s="2">
        <v>0.1</v>
      </c>
      <c r="AP21" s="91"/>
    </row>
    <row r="22" spans="1:42" x14ac:dyDescent="0.3">
      <c r="A22" s="11">
        <v>20.3</v>
      </c>
      <c r="B22" s="11">
        <v>2700</v>
      </c>
      <c r="C22" s="10" t="s">
        <v>33</v>
      </c>
      <c r="D22" s="10" t="s">
        <v>35</v>
      </c>
      <c r="E22" s="10" t="s">
        <v>170</v>
      </c>
      <c r="F22" s="10" t="s">
        <v>34</v>
      </c>
      <c r="G22" s="20">
        <v>0.16600000000000001</v>
      </c>
      <c r="H22" s="10" t="s">
        <v>34</v>
      </c>
      <c r="I22" s="10" t="s">
        <v>34</v>
      </c>
      <c r="J22" s="10">
        <v>1.64</v>
      </c>
      <c r="K22" s="10" t="s">
        <v>34</v>
      </c>
      <c r="L22" s="10" t="s">
        <v>34</v>
      </c>
      <c r="M22" s="10" t="s">
        <v>34</v>
      </c>
      <c r="N22" s="20">
        <v>1560</v>
      </c>
      <c r="O22" s="10" t="s">
        <v>34</v>
      </c>
      <c r="P22" s="10" t="s">
        <v>34</v>
      </c>
      <c r="Q22" s="10" t="s">
        <v>34</v>
      </c>
      <c r="R22" s="10" t="s">
        <v>34</v>
      </c>
      <c r="S22" s="10" t="s">
        <v>34</v>
      </c>
      <c r="T22" s="10" t="s">
        <v>36</v>
      </c>
      <c r="U22" s="20" t="s">
        <v>37</v>
      </c>
      <c r="V22" s="20" t="s">
        <v>38</v>
      </c>
      <c r="W22" s="10">
        <v>10</v>
      </c>
      <c r="X22" s="10">
        <v>1</v>
      </c>
      <c r="Y22" s="10">
        <v>1</v>
      </c>
      <c r="Z22" s="10" t="s">
        <v>39</v>
      </c>
      <c r="AA22" s="10">
        <v>1.1000000000000001</v>
      </c>
      <c r="AC22" s="10" t="s">
        <v>40</v>
      </c>
      <c r="AD22" s="10" t="s">
        <v>32</v>
      </c>
      <c r="AE22" s="20">
        <f t="shared" si="0"/>
        <v>0.5776</v>
      </c>
      <c r="AF22" s="10" t="s">
        <v>41</v>
      </c>
      <c r="AG22" s="10">
        <v>2010</v>
      </c>
      <c r="AH22" s="21" t="s">
        <v>42</v>
      </c>
      <c r="AI22" s="2">
        <v>49.33</v>
      </c>
      <c r="AJ22" s="2">
        <v>2.19</v>
      </c>
      <c r="AK22" s="2">
        <v>0.1</v>
      </c>
      <c r="AP22" s="91"/>
    </row>
    <row r="23" spans="1:42" x14ac:dyDescent="0.3">
      <c r="A23" s="11">
        <v>20</v>
      </c>
      <c r="B23" s="11">
        <v>3800</v>
      </c>
      <c r="C23" s="10" t="s">
        <v>33</v>
      </c>
      <c r="D23" s="10" t="s">
        <v>35</v>
      </c>
      <c r="E23" s="10" t="s">
        <v>170</v>
      </c>
      <c r="F23" s="10" t="s">
        <v>34</v>
      </c>
      <c r="G23" s="20">
        <v>0.16600000000000001</v>
      </c>
      <c r="H23" s="10" t="s">
        <v>34</v>
      </c>
      <c r="I23" s="10" t="s">
        <v>34</v>
      </c>
      <c r="J23" s="10">
        <v>1.64</v>
      </c>
      <c r="K23" s="10" t="s">
        <v>34</v>
      </c>
      <c r="L23" s="10" t="s">
        <v>34</v>
      </c>
      <c r="M23" s="10" t="s">
        <v>34</v>
      </c>
      <c r="N23" s="20">
        <v>1560</v>
      </c>
      <c r="O23" s="10" t="s">
        <v>34</v>
      </c>
      <c r="P23" s="10" t="s">
        <v>34</v>
      </c>
      <c r="Q23" s="10" t="s">
        <v>34</v>
      </c>
      <c r="R23" s="10" t="s">
        <v>34</v>
      </c>
      <c r="S23" s="10" t="s">
        <v>34</v>
      </c>
      <c r="T23" s="10" t="s">
        <v>36</v>
      </c>
      <c r="U23" s="20" t="s">
        <v>37</v>
      </c>
      <c r="V23" s="20" t="s">
        <v>38</v>
      </c>
      <c r="W23" s="10">
        <v>10</v>
      </c>
      <c r="X23" s="10">
        <v>1</v>
      </c>
      <c r="Y23" s="10">
        <v>1</v>
      </c>
      <c r="Z23" s="10" t="s">
        <v>39</v>
      </c>
      <c r="AA23" s="10">
        <v>1.1000000000000001</v>
      </c>
      <c r="AC23" s="10" t="s">
        <v>40</v>
      </c>
      <c r="AD23" s="10" t="s">
        <v>32</v>
      </c>
      <c r="AE23" s="20">
        <f t="shared" si="0"/>
        <v>0.5776</v>
      </c>
      <c r="AF23" s="10" t="s">
        <v>41</v>
      </c>
      <c r="AG23" s="10">
        <v>2010</v>
      </c>
      <c r="AH23" s="21" t="s">
        <v>42</v>
      </c>
      <c r="AI23" s="2">
        <v>49.33</v>
      </c>
      <c r="AJ23" s="2">
        <v>2.19</v>
      </c>
      <c r="AK23" s="2">
        <v>0.1</v>
      </c>
      <c r="AP23" s="91"/>
    </row>
    <row r="24" spans="1:42" x14ac:dyDescent="0.3">
      <c r="A24" s="11">
        <v>20.3</v>
      </c>
      <c r="B24" s="11">
        <v>4000</v>
      </c>
      <c r="C24" s="10" t="s">
        <v>33</v>
      </c>
      <c r="D24" s="10" t="s">
        <v>35</v>
      </c>
      <c r="E24" s="10" t="s">
        <v>170</v>
      </c>
      <c r="F24" s="10" t="s">
        <v>34</v>
      </c>
      <c r="G24" s="20">
        <v>0.16600000000000001</v>
      </c>
      <c r="H24" s="10" t="s">
        <v>34</v>
      </c>
      <c r="I24" s="10" t="s">
        <v>34</v>
      </c>
      <c r="J24" s="10">
        <v>1.64</v>
      </c>
      <c r="K24" s="10" t="s">
        <v>34</v>
      </c>
      <c r="L24" s="10" t="s">
        <v>34</v>
      </c>
      <c r="M24" s="10" t="s">
        <v>34</v>
      </c>
      <c r="N24" s="20">
        <v>1560</v>
      </c>
      <c r="O24" s="10" t="s">
        <v>34</v>
      </c>
      <c r="P24" s="10" t="s">
        <v>34</v>
      </c>
      <c r="Q24" s="10" t="s">
        <v>34</v>
      </c>
      <c r="R24" s="10" t="s">
        <v>34</v>
      </c>
      <c r="S24" s="10" t="s">
        <v>34</v>
      </c>
      <c r="T24" s="10" t="s">
        <v>36</v>
      </c>
      <c r="U24" s="20" t="s">
        <v>37</v>
      </c>
      <c r="V24" s="20" t="s">
        <v>38</v>
      </c>
      <c r="W24" s="10">
        <v>10</v>
      </c>
      <c r="X24" s="10">
        <v>1</v>
      </c>
      <c r="Y24" s="10">
        <v>1</v>
      </c>
      <c r="Z24" s="10" t="s">
        <v>39</v>
      </c>
      <c r="AA24" s="10">
        <v>1.1000000000000001</v>
      </c>
      <c r="AC24" s="10" t="s">
        <v>40</v>
      </c>
      <c r="AD24" s="10" t="s">
        <v>32</v>
      </c>
      <c r="AE24" s="20">
        <f t="shared" si="0"/>
        <v>0.5776</v>
      </c>
      <c r="AF24" s="10" t="s">
        <v>41</v>
      </c>
      <c r="AG24" s="10">
        <v>2010</v>
      </c>
      <c r="AH24" s="21" t="s">
        <v>42</v>
      </c>
      <c r="AI24" s="2">
        <v>49.33</v>
      </c>
      <c r="AJ24" s="2">
        <v>2.19</v>
      </c>
      <c r="AK24" s="2">
        <v>0.1</v>
      </c>
      <c r="AP24" s="91"/>
    </row>
    <row r="25" spans="1:42" x14ac:dyDescent="0.3">
      <c r="A25" s="11">
        <v>20.5</v>
      </c>
      <c r="B25" s="11">
        <v>2900</v>
      </c>
      <c r="C25" s="10" t="s">
        <v>33</v>
      </c>
      <c r="D25" s="10" t="s">
        <v>35</v>
      </c>
      <c r="E25" s="10" t="s">
        <v>170</v>
      </c>
      <c r="F25" s="10" t="s">
        <v>34</v>
      </c>
      <c r="G25" s="20">
        <v>0.16600000000000001</v>
      </c>
      <c r="H25" s="10" t="s">
        <v>34</v>
      </c>
      <c r="I25" s="10" t="s">
        <v>34</v>
      </c>
      <c r="J25" s="10">
        <v>1.64</v>
      </c>
      <c r="K25" s="10" t="s">
        <v>34</v>
      </c>
      <c r="L25" s="10" t="s">
        <v>34</v>
      </c>
      <c r="M25" s="10" t="s">
        <v>34</v>
      </c>
      <c r="N25" s="20">
        <v>1560</v>
      </c>
      <c r="O25" s="10" t="s">
        <v>34</v>
      </c>
      <c r="P25" s="10" t="s">
        <v>34</v>
      </c>
      <c r="Q25" s="10" t="s">
        <v>34</v>
      </c>
      <c r="R25" s="10" t="s">
        <v>34</v>
      </c>
      <c r="S25" s="10" t="s">
        <v>34</v>
      </c>
      <c r="T25" s="10" t="s">
        <v>36</v>
      </c>
      <c r="U25" s="20" t="s">
        <v>37</v>
      </c>
      <c r="V25" s="20" t="s">
        <v>38</v>
      </c>
      <c r="W25" s="10">
        <v>10</v>
      </c>
      <c r="X25" s="10">
        <v>1</v>
      </c>
      <c r="Y25" s="10">
        <v>1</v>
      </c>
      <c r="Z25" s="10" t="s">
        <v>39</v>
      </c>
      <c r="AA25" s="10">
        <v>1.1000000000000001</v>
      </c>
      <c r="AC25" s="10" t="s">
        <v>40</v>
      </c>
      <c r="AD25" s="10" t="s">
        <v>32</v>
      </c>
      <c r="AE25" s="20">
        <f t="shared" si="0"/>
        <v>0.5776</v>
      </c>
      <c r="AF25" s="10" t="s">
        <v>41</v>
      </c>
      <c r="AG25" s="10">
        <v>2010</v>
      </c>
      <c r="AH25" s="21" t="s">
        <v>42</v>
      </c>
      <c r="AI25" s="2">
        <v>49.33</v>
      </c>
      <c r="AJ25" s="2">
        <v>2.19</v>
      </c>
      <c r="AK25" s="2">
        <v>0.1</v>
      </c>
      <c r="AP25" s="91"/>
    </row>
    <row r="26" spans="1:42" x14ac:dyDescent="0.3">
      <c r="A26" s="11">
        <v>21.4</v>
      </c>
      <c r="B26" s="11">
        <v>3800</v>
      </c>
      <c r="C26" s="10" t="s">
        <v>33</v>
      </c>
      <c r="D26" s="10" t="s">
        <v>35</v>
      </c>
      <c r="E26" s="10" t="s">
        <v>170</v>
      </c>
      <c r="F26" s="10" t="s">
        <v>34</v>
      </c>
      <c r="G26" s="20">
        <v>0.16600000000000001</v>
      </c>
      <c r="H26" s="10" t="s">
        <v>34</v>
      </c>
      <c r="I26" s="10" t="s">
        <v>34</v>
      </c>
      <c r="J26" s="10">
        <v>1.64</v>
      </c>
      <c r="K26" s="10" t="s">
        <v>34</v>
      </c>
      <c r="L26" s="10" t="s">
        <v>34</v>
      </c>
      <c r="M26" s="10" t="s">
        <v>34</v>
      </c>
      <c r="N26" s="20">
        <v>1560</v>
      </c>
      <c r="O26" s="10" t="s">
        <v>34</v>
      </c>
      <c r="P26" s="10" t="s">
        <v>34</v>
      </c>
      <c r="Q26" s="10" t="s">
        <v>34</v>
      </c>
      <c r="R26" s="10" t="s">
        <v>34</v>
      </c>
      <c r="S26" s="10" t="s">
        <v>34</v>
      </c>
      <c r="T26" s="10" t="s">
        <v>36</v>
      </c>
      <c r="U26" s="20" t="s">
        <v>37</v>
      </c>
      <c r="V26" s="20" t="s">
        <v>38</v>
      </c>
      <c r="W26" s="10">
        <v>10</v>
      </c>
      <c r="X26" s="10">
        <v>1</v>
      </c>
      <c r="Y26" s="10">
        <v>1</v>
      </c>
      <c r="Z26" s="10" t="s">
        <v>39</v>
      </c>
      <c r="AA26" s="10">
        <v>1.1000000000000001</v>
      </c>
      <c r="AC26" s="10" t="s">
        <v>40</v>
      </c>
      <c r="AD26" s="10" t="s">
        <v>32</v>
      </c>
      <c r="AE26" s="20">
        <f t="shared" si="0"/>
        <v>0.5776</v>
      </c>
      <c r="AF26" s="10" t="s">
        <v>41</v>
      </c>
      <c r="AG26" s="10">
        <v>2010</v>
      </c>
      <c r="AH26" s="21" t="s">
        <v>42</v>
      </c>
      <c r="AI26" s="2">
        <v>49.33</v>
      </c>
      <c r="AJ26" s="2">
        <v>2.19</v>
      </c>
      <c r="AK26" s="2">
        <v>0.1</v>
      </c>
      <c r="AP26" s="91"/>
    </row>
    <row r="27" spans="1:42" x14ac:dyDescent="0.3">
      <c r="A27" s="11">
        <v>22.5</v>
      </c>
      <c r="B27" s="11">
        <v>4200</v>
      </c>
      <c r="C27" s="10" t="s">
        <v>33</v>
      </c>
      <c r="D27" s="10" t="s">
        <v>35</v>
      </c>
      <c r="E27" s="10" t="s">
        <v>170</v>
      </c>
      <c r="F27" s="10" t="s">
        <v>34</v>
      </c>
      <c r="G27" s="20">
        <v>0.16600000000000001</v>
      </c>
      <c r="H27" s="10" t="s">
        <v>34</v>
      </c>
      <c r="I27" s="10" t="s">
        <v>34</v>
      </c>
      <c r="J27" s="10">
        <v>1.64</v>
      </c>
      <c r="K27" s="10" t="s">
        <v>34</v>
      </c>
      <c r="L27" s="10" t="s">
        <v>34</v>
      </c>
      <c r="M27" s="10" t="s">
        <v>34</v>
      </c>
      <c r="N27" s="20">
        <v>1560</v>
      </c>
      <c r="O27" s="10" t="s">
        <v>34</v>
      </c>
      <c r="P27" s="10" t="s">
        <v>34</v>
      </c>
      <c r="Q27" s="10" t="s">
        <v>34</v>
      </c>
      <c r="R27" s="10" t="s">
        <v>34</v>
      </c>
      <c r="S27" s="10" t="s">
        <v>34</v>
      </c>
      <c r="T27" s="10" t="s">
        <v>36</v>
      </c>
      <c r="U27" s="20" t="s">
        <v>37</v>
      </c>
      <c r="V27" s="20" t="s">
        <v>38</v>
      </c>
      <c r="W27" s="10">
        <v>10</v>
      </c>
      <c r="X27" s="10">
        <v>1</v>
      </c>
      <c r="Y27" s="10">
        <v>1</v>
      </c>
      <c r="Z27" s="10" t="s">
        <v>39</v>
      </c>
      <c r="AA27" s="10">
        <v>1.1000000000000001</v>
      </c>
      <c r="AC27" s="10" t="s">
        <v>40</v>
      </c>
      <c r="AD27" s="10" t="s">
        <v>32</v>
      </c>
      <c r="AE27" s="20">
        <f t="shared" si="0"/>
        <v>0.5776</v>
      </c>
      <c r="AF27" s="10" t="s">
        <v>41</v>
      </c>
      <c r="AG27" s="10">
        <v>2010</v>
      </c>
      <c r="AH27" s="21" t="s">
        <v>42</v>
      </c>
      <c r="AI27" s="2">
        <v>49.33</v>
      </c>
      <c r="AJ27" s="2">
        <v>2.19</v>
      </c>
      <c r="AK27" s="2">
        <v>0.1</v>
      </c>
      <c r="AP27" s="91"/>
    </row>
    <row r="28" spans="1:42" x14ac:dyDescent="0.3">
      <c r="A28" s="11">
        <v>23.4</v>
      </c>
      <c r="B28" s="11">
        <v>2500</v>
      </c>
      <c r="C28" s="10" t="s">
        <v>33</v>
      </c>
      <c r="D28" s="10" t="s">
        <v>35</v>
      </c>
      <c r="E28" s="10" t="s">
        <v>170</v>
      </c>
      <c r="F28" s="10" t="s">
        <v>34</v>
      </c>
      <c r="G28" s="20">
        <v>0.16600000000000001</v>
      </c>
      <c r="H28" s="10" t="s">
        <v>34</v>
      </c>
      <c r="I28" s="10" t="s">
        <v>34</v>
      </c>
      <c r="J28" s="10">
        <v>1.64</v>
      </c>
      <c r="K28" s="10" t="s">
        <v>34</v>
      </c>
      <c r="L28" s="10" t="s">
        <v>34</v>
      </c>
      <c r="M28" s="10" t="s">
        <v>34</v>
      </c>
      <c r="N28" s="20">
        <v>1560</v>
      </c>
      <c r="O28" s="10" t="s">
        <v>34</v>
      </c>
      <c r="P28" s="10" t="s">
        <v>34</v>
      </c>
      <c r="Q28" s="10" t="s">
        <v>34</v>
      </c>
      <c r="R28" s="10" t="s">
        <v>34</v>
      </c>
      <c r="S28" s="10" t="s">
        <v>34</v>
      </c>
      <c r="T28" s="10" t="s">
        <v>36</v>
      </c>
      <c r="U28" s="20" t="s">
        <v>37</v>
      </c>
      <c r="V28" s="20" t="s">
        <v>38</v>
      </c>
      <c r="W28" s="10">
        <v>10</v>
      </c>
      <c r="X28" s="10">
        <v>1</v>
      </c>
      <c r="Y28" s="10">
        <v>1</v>
      </c>
      <c r="Z28" s="10" t="s">
        <v>39</v>
      </c>
      <c r="AA28" s="10">
        <v>1.1000000000000001</v>
      </c>
      <c r="AC28" s="10" t="s">
        <v>40</v>
      </c>
      <c r="AD28" s="10" t="s">
        <v>32</v>
      </c>
      <c r="AE28" s="20">
        <f t="shared" si="0"/>
        <v>0.5776</v>
      </c>
      <c r="AF28" s="10" t="s">
        <v>41</v>
      </c>
      <c r="AG28" s="10">
        <v>2010</v>
      </c>
      <c r="AH28" s="21" t="s">
        <v>42</v>
      </c>
      <c r="AI28" s="2">
        <v>49.33</v>
      </c>
      <c r="AJ28" s="2">
        <v>2.19</v>
      </c>
      <c r="AK28" s="2">
        <v>0.1</v>
      </c>
      <c r="AP28" s="91"/>
    </row>
    <row r="29" spans="1:42" x14ac:dyDescent="0.3">
      <c r="A29" s="11">
        <v>22.6</v>
      </c>
      <c r="B29" s="11">
        <v>7600</v>
      </c>
      <c r="C29" s="10" t="s">
        <v>33</v>
      </c>
      <c r="D29" s="10" t="s">
        <v>35</v>
      </c>
      <c r="E29" s="10" t="s">
        <v>170</v>
      </c>
      <c r="F29" s="10" t="s">
        <v>34</v>
      </c>
      <c r="G29" s="20">
        <v>0.16600000000000001</v>
      </c>
      <c r="H29" s="10" t="s">
        <v>34</v>
      </c>
      <c r="I29" s="10" t="s">
        <v>34</v>
      </c>
      <c r="J29" s="10">
        <v>1.64</v>
      </c>
      <c r="K29" s="10" t="s">
        <v>34</v>
      </c>
      <c r="L29" s="10" t="s">
        <v>34</v>
      </c>
      <c r="M29" s="10" t="s">
        <v>34</v>
      </c>
      <c r="N29" s="20">
        <v>1560</v>
      </c>
      <c r="O29" s="10" t="s">
        <v>34</v>
      </c>
      <c r="P29" s="10" t="s">
        <v>34</v>
      </c>
      <c r="Q29" s="10" t="s">
        <v>34</v>
      </c>
      <c r="R29" s="10" t="s">
        <v>34</v>
      </c>
      <c r="S29" s="10" t="s">
        <v>34</v>
      </c>
      <c r="T29" s="10" t="s">
        <v>36</v>
      </c>
      <c r="U29" s="20" t="s">
        <v>37</v>
      </c>
      <c r="V29" s="20" t="s">
        <v>38</v>
      </c>
      <c r="W29" s="10">
        <v>10</v>
      </c>
      <c r="X29" s="10">
        <v>1</v>
      </c>
      <c r="Y29" s="10">
        <v>1</v>
      </c>
      <c r="Z29" s="10" t="s">
        <v>39</v>
      </c>
      <c r="AA29" s="10">
        <v>1.1000000000000001</v>
      </c>
      <c r="AC29" s="10" t="s">
        <v>40</v>
      </c>
      <c r="AD29" s="10" t="s">
        <v>32</v>
      </c>
      <c r="AE29" s="20">
        <f t="shared" si="0"/>
        <v>0.5776</v>
      </c>
      <c r="AF29" s="10" t="s">
        <v>41</v>
      </c>
      <c r="AG29" s="10">
        <v>2010</v>
      </c>
      <c r="AH29" s="21" t="s">
        <v>42</v>
      </c>
      <c r="AI29" s="2">
        <v>49.33</v>
      </c>
      <c r="AJ29" s="2">
        <v>2.19</v>
      </c>
      <c r="AK29" s="2">
        <v>0.1</v>
      </c>
      <c r="AP29" s="91"/>
    </row>
    <row r="30" spans="1:42" x14ac:dyDescent="0.3">
      <c r="A30" s="11">
        <v>23.2</v>
      </c>
      <c r="B30" s="11">
        <v>6000</v>
      </c>
      <c r="C30" s="10" t="s">
        <v>33</v>
      </c>
      <c r="D30" s="10" t="s">
        <v>35</v>
      </c>
      <c r="E30" s="10" t="s">
        <v>170</v>
      </c>
      <c r="F30" s="10" t="s">
        <v>34</v>
      </c>
      <c r="G30" s="20">
        <v>0.16600000000000001</v>
      </c>
      <c r="H30" s="10" t="s">
        <v>34</v>
      </c>
      <c r="I30" s="10" t="s">
        <v>34</v>
      </c>
      <c r="J30" s="10">
        <v>1.64</v>
      </c>
      <c r="K30" s="10" t="s">
        <v>34</v>
      </c>
      <c r="L30" s="10" t="s">
        <v>34</v>
      </c>
      <c r="M30" s="10" t="s">
        <v>34</v>
      </c>
      <c r="N30" s="20">
        <v>1560</v>
      </c>
      <c r="O30" s="10" t="s">
        <v>34</v>
      </c>
      <c r="P30" s="10" t="s">
        <v>34</v>
      </c>
      <c r="Q30" s="10" t="s">
        <v>34</v>
      </c>
      <c r="R30" s="10" t="s">
        <v>34</v>
      </c>
      <c r="S30" s="10" t="s">
        <v>34</v>
      </c>
      <c r="T30" s="10" t="s">
        <v>36</v>
      </c>
      <c r="U30" s="20" t="s">
        <v>37</v>
      </c>
      <c r="V30" s="20" t="s">
        <v>38</v>
      </c>
      <c r="W30" s="10">
        <v>10</v>
      </c>
      <c r="X30" s="10">
        <v>1</v>
      </c>
      <c r="Y30" s="10">
        <v>1</v>
      </c>
      <c r="Z30" s="10" t="s">
        <v>39</v>
      </c>
      <c r="AA30" s="10">
        <v>1.1000000000000001</v>
      </c>
      <c r="AC30" s="10" t="s">
        <v>40</v>
      </c>
      <c r="AD30" s="10" t="s">
        <v>32</v>
      </c>
      <c r="AE30" s="20">
        <f t="shared" si="0"/>
        <v>0.5776</v>
      </c>
      <c r="AF30" s="10" t="s">
        <v>41</v>
      </c>
      <c r="AG30" s="10">
        <v>2010</v>
      </c>
      <c r="AH30" s="21" t="s">
        <v>42</v>
      </c>
      <c r="AI30" s="2">
        <v>49.33</v>
      </c>
      <c r="AJ30" s="2">
        <v>2.19</v>
      </c>
      <c r="AK30" s="2">
        <v>0.1</v>
      </c>
      <c r="AP30" s="91"/>
    </row>
    <row r="31" spans="1:42" x14ac:dyDescent="0.3">
      <c r="A31" s="11">
        <v>23.1</v>
      </c>
      <c r="B31" s="11">
        <v>4000</v>
      </c>
      <c r="C31" s="10" t="s">
        <v>33</v>
      </c>
      <c r="D31" s="10" t="s">
        <v>35</v>
      </c>
      <c r="E31" s="10" t="s">
        <v>170</v>
      </c>
      <c r="F31" s="10" t="s">
        <v>34</v>
      </c>
      <c r="G31" s="20">
        <v>0.16600000000000001</v>
      </c>
      <c r="H31" s="10" t="s">
        <v>34</v>
      </c>
      <c r="I31" s="10" t="s">
        <v>34</v>
      </c>
      <c r="J31" s="10">
        <v>1.64</v>
      </c>
      <c r="K31" s="10" t="s">
        <v>34</v>
      </c>
      <c r="L31" s="10" t="s">
        <v>34</v>
      </c>
      <c r="M31" s="10" t="s">
        <v>34</v>
      </c>
      <c r="N31" s="20">
        <v>1560</v>
      </c>
      <c r="O31" s="10" t="s">
        <v>34</v>
      </c>
      <c r="P31" s="10" t="s">
        <v>34</v>
      </c>
      <c r="Q31" s="10" t="s">
        <v>34</v>
      </c>
      <c r="R31" s="10" t="s">
        <v>34</v>
      </c>
      <c r="S31" s="10" t="s">
        <v>34</v>
      </c>
      <c r="T31" s="10" t="s">
        <v>36</v>
      </c>
      <c r="U31" s="20" t="s">
        <v>37</v>
      </c>
      <c r="V31" s="20" t="s">
        <v>38</v>
      </c>
      <c r="W31" s="10">
        <v>10</v>
      </c>
      <c r="X31" s="10">
        <v>1</v>
      </c>
      <c r="Y31" s="10">
        <v>1</v>
      </c>
      <c r="Z31" s="10" t="s">
        <v>39</v>
      </c>
      <c r="AA31" s="10">
        <v>1.1000000000000001</v>
      </c>
      <c r="AC31" s="10" t="s">
        <v>40</v>
      </c>
      <c r="AD31" s="10" t="s">
        <v>32</v>
      </c>
      <c r="AE31" s="20">
        <f t="shared" si="0"/>
        <v>0.5776</v>
      </c>
      <c r="AF31" s="10" t="s">
        <v>41</v>
      </c>
      <c r="AG31" s="10">
        <v>2010</v>
      </c>
      <c r="AH31" s="21" t="s">
        <v>42</v>
      </c>
      <c r="AI31" s="2">
        <v>49.33</v>
      </c>
      <c r="AJ31" s="2">
        <v>2.19</v>
      </c>
      <c r="AK31" s="2">
        <v>0.1</v>
      </c>
      <c r="AP31" s="91"/>
    </row>
    <row r="32" spans="1:42" x14ac:dyDescent="0.3">
      <c r="A32" s="11">
        <v>23.2</v>
      </c>
      <c r="B32" s="11">
        <v>6200</v>
      </c>
      <c r="C32" s="10" t="s">
        <v>33</v>
      </c>
      <c r="D32" s="10" t="s">
        <v>35</v>
      </c>
      <c r="E32" s="10" t="s">
        <v>170</v>
      </c>
      <c r="F32" s="10" t="s">
        <v>34</v>
      </c>
      <c r="G32" s="20">
        <v>0.16600000000000001</v>
      </c>
      <c r="H32" s="10" t="s">
        <v>34</v>
      </c>
      <c r="I32" s="10" t="s">
        <v>34</v>
      </c>
      <c r="J32" s="10">
        <v>1.64</v>
      </c>
      <c r="K32" s="10" t="s">
        <v>34</v>
      </c>
      <c r="L32" s="10" t="s">
        <v>34</v>
      </c>
      <c r="M32" s="10" t="s">
        <v>34</v>
      </c>
      <c r="N32" s="20">
        <v>1560</v>
      </c>
      <c r="O32" s="10" t="s">
        <v>34</v>
      </c>
      <c r="P32" s="10" t="s">
        <v>34</v>
      </c>
      <c r="Q32" s="10" t="s">
        <v>34</v>
      </c>
      <c r="R32" s="10" t="s">
        <v>34</v>
      </c>
      <c r="S32" s="10" t="s">
        <v>34</v>
      </c>
      <c r="T32" s="10" t="s">
        <v>36</v>
      </c>
      <c r="U32" s="20" t="s">
        <v>37</v>
      </c>
      <c r="V32" s="20" t="s">
        <v>38</v>
      </c>
      <c r="W32" s="10">
        <v>10</v>
      </c>
      <c r="X32" s="10">
        <v>1</v>
      </c>
      <c r="Y32" s="10">
        <v>1</v>
      </c>
      <c r="Z32" s="10" t="s">
        <v>39</v>
      </c>
      <c r="AA32" s="10">
        <v>1.1000000000000001</v>
      </c>
      <c r="AC32" s="10" t="s">
        <v>40</v>
      </c>
      <c r="AD32" s="10" t="s">
        <v>32</v>
      </c>
      <c r="AE32" s="20">
        <f t="shared" si="0"/>
        <v>0.5776</v>
      </c>
      <c r="AF32" s="10" t="s">
        <v>41</v>
      </c>
      <c r="AG32" s="10">
        <v>2010</v>
      </c>
      <c r="AH32" s="21" t="s">
        <v>42</v>
      </c>
      <c r="AI32" s="2">
        <v>49.33</v>
      </c>
      <c r="AJ32" s="2">
        <v>2.19</v>
      </c>
      <c r="AK32" s="2">
        <v>0.1</v>
      </c>
      <c r="AP32" s="91"/>
    </row>
    <row r="33" spans="1:42" x14ac:dyDescent="0.3">
      <c r="A33" s="11">
        <v>23.8</v>
      </c>
      <c r="B33" s="11">
        <v>8000</v>
      </c>
      <c r="C33" s="10" t="s">
        <v>33</v>
      </c>
      <c r="D33" s="10" t="s">
        <v>35</v>
      </c>
      <c r="E33" s="10" t="s">
        <v>170</v>
      </c>
      <c r="F33" s="10" t="s">
        <v>34</v>
      </c>
      <c r="G33" s="20">
        <v>0.16600000000000001</v>
      </c>
      <c r="H33" s="10" t="s">
        <v>34</v>
      </c>
      <c r="I33" s="10" t="s">
        <v>34</v>
      </c>
      <c r="J33" s="10">
        <v>1.64</v>
      </c>
      <c r="K33" s="10" t="s">
        <v>34</v>
      </c>
      <c r="L33" s="10" t="s">
        <v>34</v>
      </c>
      <c r="M33" s="10" t="s">
        <v>34</v>
      </c>
      <c r="N33" s="20">
        <v>1560</v>
      </c>
      <c r="O33" s="10" t="s">
        <v>34</v>
      </c>
      <c r="P33" s="10" t="s">
        <v>34</v>
      </c>
      <c r="Q33" s="10" t="s">
        <v>34</v>
      </c>
      <c r="R33" s="10" t="s">
        <v>34</v>
      </c>
      <c r="S33" s="10" t="s">
        <v>34</v>
      </c>
      <c r="T33" s="10" t="s">
        <v>36</v>
      </c>
      <c r="U33" s="20" t="s">
        <v>37</v>
      </c>
      <c r="V33" s="20" t="s">
        <v>38</v>
      </c>
      <c r="W33" s="10">
        <v>10</v>
      </c>
      <c r="X33" s="10">
        <v>1</v>
      </c>
      <c r="Y33" s="10">
        <v>1</v>
      </c>
      <c r="Z33" s="10" t="s">
        <v>39</v>
      </c>
      <c r="AA33" s="10">
        <v>1.1000000000000001</v>
      </c>
      <c r="AC33" s="10" t="s">
        <v>40</v>
      </c>
      <c r="AD33" s="10" t="s">
        <v>32</v>
      </c>
      <c r="AE33" s="20">
        <f t="shared" si="0"/>
        <v>0.5776</v>
      </c>
      <c r="AF33" s="10" t="s">
        <v>41</v>
      </c>
      <c r="AG33" s="10">
        <v>2010</v>
      </c>
      <c r="AH33" s="21" t="s">
        <v>42</v>
      </c>
      <c r="AI33" s="2">
        <v>49.33</v>
      </c>
      <c r="AJ33" s="2">
        <v>2.19</v>
      </c>
      <c r="AK33" s="2">
        <v>0.1</v>
      </c>
      <c r="AP33" s="91"/>
    </row>
    <row r="34" spans="1:42" x14ac:dyDescent="0.3">
      <c r="A34" s="11">
        <v>24.7</v>
      </c>
      <c r="B34" s="11">
        <v>2700</v>
      </c>
      <c r="C34" s="10" t="s">
        <v>33</v>
      </c>
      <c r="D34" s="10" t="s">
        <v>35</v>
      </c>
      <c r="E34" s="10" t="s">
        <v>170</v>
      </c>
      <c r="F34" s="10" t="s">
        <v>34</v>
      </c>
      <c r="G34" s="20">
        <v>0.16600000000000001</v>
      </c>
      <c r="H34" s="10" t="s">
        <v>34</v>
      </c>
      <c r="I34" s="10" t="s">
        <v>34</v>
      </c>
      <c r="J34" s="10">
        <v>1.64</v>
      </c>
      <c r="K34" s="10" t="s">
        <v>34</v>
      </c>
      <c r="L34" s="10" t="s">
        <v>34</v>
      </c>
      <c r="M34" s="10" t="s">
        <v>34</v>
      </c>
      <c r="N34" s="20">
        <v>1560</v>
      </c>
      <c r="O34" s="10" t="s">
        <v>34</v>
      </c>
      <c r="P34" s="10" t="s">
        <v>34</v>
      </c>
      <c r="Q34" s="10" t="s">
        <v>34</v>
      </c>
      <c r="R34" s="10" t="s">
        <v>34</v>
      </c>
      <c r="S34" s="10" t="s">
        <v>34</v>
      </c>
      <c r="T34" s="10" t="s">
        <v>36</v>
      </c>
      <c r="U34" s="20" t="s">
        <v>37</v>
      </c>
      <c r="V34" s="20" t="s">
        <v>38</v>
      </c>
      <c r="W34" s="10">
        <v>10</v>
      </c>
      <c r="X34" s="10">
        <v>1</v>
      </c>
      <c r="Y34" s="10">
        <v>1</v>
      </c>
      <c r="Z34" s="10" t="s">
        <v>39</v>
      </c>
      <c r="AA34" s="10">
        <v>1.1000000000000001</v>
      </c>
      <c r="AC34" s="10" t="s">
        <v>40</v>
      </c>
      <c r="AD34" s="10" t="s">
        <v>32</v>
      </c>
      <c r="AE34" s="20">
        <f t="shared" si="0"/>
        <v>0.5776</v>
      </c>
      <c r="AF34" s="10" t="s">
        <v>41</v>
      </c>
      <c r="AG34" s="10">
        <v>2010</v>
      </c>
      <c r="AH34" s="21" t="s">
        <v>42</v>
      </c>
      <c r="AI34" s="2">
        <v>49.33</v>
      </c>
      <c r="AJ34" s="2">
        <v>2.19</v>
      </c>
      <c r="AK34" s="2">
        <v>0.1</v>
      </c>
      <c r="AP34" s="91"/>
    </row>
    <row r="35" spans="1:42" x14ac:dyDescent="0.3">
      <c r="A35" s="11">
        <v>24.8</v>
      </c>
      <c r="B35" s="11">
        <v>4700</v>
      </c>
      <c r="C35" s="10" t="s">
        <v>33</v>
      </c>
      <c r="D35" s="10" t="s">
        <v>35</v>
      </c>
      <c r="E35" s="10" t="s">
        <v>170</v>
      </c>
      <c r="F35" s="10" t="s">
        <v>34</v>
      </c>
      <c r="G35" s="20">
        <v>0.16600000000000001</v>
      </c>
      <c r="H35" s="10" t="s">
        <v>34</v>
      </c>
      <c r="I35" s="10" t="s">
        <v>34</v>
      </c>
      <c r="J35" s="10">
        <v>1.64</v>
      </c>
      <c r="K35" s="10" t="s">
        <v>34</v>
      </c>
      <c r="L35" s="10" t="s">
        <v>34</v>
      </c>
      <c r="M35" s="10" t="s">
        <v>34</v>
      </c>
      <c r="N35" s="20">
        <v>1560</v>
      </c>
      <c r="O35" s="10" t="s">
        <v>34</v>
      </c>
      <c r="P35" s="10" t="s">
        <v>34</v>
      </c>
      <c r="Q35" s="10" t="s">
        <v>34</v>
      </c>
      <c r="R35" s="10" t="s">
        <v>34</v>
      </c>
      <c r="S35" s="10" t="s">
        <v>34</v>
      </c>
      <c r="T35" s="10" t="s">
        <v>36</v>
      </c>
      <c r="U35" s="20" t="s">
        <v>37</v>
      </c>
      <c r="V35" s="20" t="s">
        <v>38</v>
      </c>
      <c r="W35" s="10">
        <v>10</v>
      </c>
      <c r="X35" s="10">
        <v>1</v>
      </c>
      <c r="Y35" s="10">
        <v>1</v>
      </c>
      <c r="Z35" s="10" t="s">
        <v>39</v>
      </c>
      <c r="AA35" s="10">
        <v>1.1000000000000001</v>
      </c>
      <c r="AC35" s="10" t="s">
        <v>40</v>
      </c>
      <c r="AD35" s="10" t="s">
        <v>32</v>
      </c>
      <c r="AE35" s="20">
        <f t="shared" si="0"/>
        <v>0.5776</v>
      </c>
      <c r="AF35" s="10" t="s">
        <v>41</v>
      </c>
      <c r="AG35" s="10">
        <v>2010</v>
      </c>
      <c r="AH35" s="21" t="s">
        <v>42</v>
      </c>
      <c r="AI35" s="2">
        <v>49.33</v>
      </c>
      <c r="AJ35" s="2">
        <v>2.19</v>
      </c>
      <c r="AK35" s="2">
        <v>0.1</v>
      </c>
      <c r="AP35" s="91"/>
    </row>
    <row r="36" spans="1:42" x14ac:dyDescent="0.3">
      <c r="A36" s="11">
        <v>26.2</v>
      </c>
      <c r="B36" s="11">
        <v>4900</v>
      </c>
      <c r="C36" s="10" t="s">
        <v>33</v>
      </c>
      <c r="D36" s="10" t="s">
        <v>35</v>
      </c>
      <c r="E36" s="10" t="s">
        <v>170</v>
      </c>
      <c r="F36" s="10" t="s">
        <v>34</v>
      </c>
      <c r="G36" s="20">
        <v>0.16600000000000001</v>
      </c>
      <c r="H36" s="10" t="s">
        <v>34</v>
      </c>
      <c r="I36" s="10" t="s">
        <v>34</v>
      </c>
      <c r="J36" s="10">
        <v>1.64</v>
      </c>
      <c r="K36" s="10" t="s">
        <v>34</v>
      </c>
      <c r="L36" s="10" t="s">
        <v>34</v>
      </c>
      <c r="M36" s="10" t="s">
        <v>34</v>
      </c>
      <c r="N36" s="20">
        <v>1560</v>
      </c>
      <c r="O36" s="10" t="s">
        <v>34</v>
      </c>
      <c r="P36" s="10" t="s">
        <v>34</v>
      </c>
      <c r="Q36" s="10" t="s">
        <v>34</v>
      </c>
      <c r="R36" s="10" t="s">
        <v>34</v>
      </c>
      <c r="S36" s="10" t="s">
        <v>34</v>
      </c>
      <c r="T36" s="10" t="s">
        <v>36</v>
      </c>
      <c r="U36" s="20" t="s">
        <v>37</v>
      </c>
      <c r="V36" s="20" t="s">
        <v>38</v>
      </c>
      <c r="W36" s="10">
        <v>10</v>
      </c>
      <c r="X36" s="10">
        <v>1</v>
      </c>
      <c r="Y36" s="10">
        <v>1</v>
      </c>
      <c r="Z36" s="10" t="s">
        <v>39</v>
      </c>
      <c r="AA36" s="10">
        <v>1.1000000000000001</v>
      </c>
      <c r="AC36" s="10" t="s">
        <v>40</v>
      </c>
      <c r="AD36" s="10" t="s">
        <v>32</v>
      </c>
      <c r="AE36" s="20">
        <f t="shared" si="0"/>
        <v>0.5776</v>
      </c>
      <c r="AF36" s="10" t="s">
        <v>41</v>
      </c>
      <c r="AG36" s="10">
        <v>2010</v>
      </c>
      <c r="AH36" s="21" t="s">
        <v>42</v>
      </c>
      <c r="AI36" s="2">
        <v>49.33</v>
      </c>
      <c r="AJ36" s="2">
        <v>2.19</v>
      </c>
      <c r="AK36" s="2">
        <v>0.1</v>
      </c>
      <c r="AP36" s="91"/>
    </row>
    <row r="37" spans="1:42" x14ac:dyDescent="0.3">
      <c r="A37" s="11">
        <v>25.6</v>
      </c>
      <c r="B37" s="11">
        <v>8600</v>
      </c>
      <c r="C37" s="10" t="s">
        <v>33</v>
      </c>
      <c r="D37" s="10" t="s">
        <v>35</v>
      </c>
      <c r="E37" s="10" t="s">
        <v>170</v>
      </c>
      <c r="F37" s="10" t="s">
        <v>34</v>
      </c>
      <c r="G37" s="20">
        <v>0.16600000000000001</v>
      </c>
      <c r="H37" s="10" t="s">
        <v>34</v>
      </c>
      <c r="I37" s="10" t="s">
        <v>34</v>
      </c>
      <c r="J37" s="10">
        <v>1.64</v>
      </c>
      <c r="K37" s="10" t="s">
        <v>34</v>
      </c>
      <c r="L37" s="10" t="s">
        <v>34</v>
      </c>
      <c r="M37" s="10" t="s">
        <v>34</v>
      </c>
      <c r="N37" s="20">
        <v>1560</v>
      </c>
      <c r="O37" s="10" t="s">
        <v>34</v>
      </c>
      <c r="P37" s="10" t="s">
        <v>34</v>
      </c>
      <c r="Q37" s="10" t="s">
        <v>34</v>
      </c>
      <c r="R37" s="10" t="s">
        <v>34</v>
      </c>
      <c r="S37" s="10" t="s">
        <v>34</v>
      </c>
      <c r="T37" s="10" t="s">
        <v>36</v>
      </c>
      <c r="U37" s="20" t="s">
        <v>37</v>
      </c>
      <c r="V37" s="20" t="s">
        <v>38</v>
      </c>
      <c r="W37" s="10">
        <v>10</v>
      </c>
      <c r="X37" s="10">
        <v>1</v>
      </c>
      <c r="Y37" s="10">
        <v>1</v>
      </c>
      <c r="Z37" s="10" t="s">
        <v>39</v>
      </c>
      <c r="AA37" s="10">
        <v>1.1000000000000001</v>
      </c>
      <c r="AC37" s="10" t="s">
        <v>40</v>
      </c>
      <c r="AD37" s="10" t="s">
        <v>32</v>
      </c>
      <c r="AE37" s="20">
        <f t="shared" si="0"/>
        <v>0.5776</v>
      </c>
      <c r="AF37" s="10" t="s">
        <v>41</v>
      </c>
      <c r="AG37" s="10">
        <v>2010</v>
      </c>
      <c r="AH37" s="21" t="s">
        <v>42</v>
      </c>
      <c r="AI37" s="2">
        <v>49.33</v>
      </c>
      <c r="AJ37" s="2">
        <v>2.19</v>
      </c>
      <c r="AK37" s="2">
        <v>0.1</v>
      </c>
      <c r="AP37" s="91"/>
    </row>
    <row r="38" spans="1:42" x14ac:dyDescent="0.3">
      <c r="A38" s="11">
        <v>25.2</v>
      </c>
      <c r="B38" s="11">
        <v>5900</v>
      </c>
      <c r="C38" s="10" t="s">
        <v>33</v>
      </c>
      <c r="D38" s="10" t="s">
        <v>35</v>
      </c>
      <c r="E38" s="10" t="s">
        <v>170</v>
      </c>
      <c r="F38" s="10" t="s">
        <v>34</v>
      </c>
      <c r="G38" s="20">
        <v>0.16600000000000001</v>
      </c>
      <c r="H38" s="10" t="s">
        <v>34</v>
      </c>
      <c r="I38" s="10" t="s">
        <v>34</v>
      </c>
      <c r="J38" s="10">
        <v>1.64</v>
      </c>
      <c r="K38" s="10" t="s">
        <v>34</v>
      </c>
      <c r="L38" s="10" t="s">
        <v>34</v>
      </c>
      <c r="M38" s="10" t="s">
        <v>34</v>
      </c>
      <c r="N38" s="20">
        <v>1560</v>
      </c>
      <c r="O38" s="10" t="s">
        <v>34</v>
      </c>
      <c r="P38" s="10" t="s">
        <v>34</v>
      </c>
      <c r="Q38" s="10" t="s">
        <v>34</v>
      </c>
      <c r="R38" s="10" t="s">
        <v>34</v>
      </c>
      <c r="S38" s="10" t="s">
        <v>34</v>
      </c>
      <c r="T38" s="10" t="s">
        <v>36</v>
      </c>
      <c r="U38" s="20" t="s">
        <v>37</v>
      </c>
      <c r="V38" s="20" t="s">
        <v>38</v>
      </c>
      <c r="W38" s="10">
        <v>10</v>
      </c>
      <c r="X38" s="10">
        <v>1</v>
      </c>
      <c r="Y38" s="10">
        <v>1</v>
      </c>
      <c r="Z38" s="10" t="s">
        <v>39</v>
      </c>
      <c r="AA38" s="10">
        <v>1.1000000000000001</v>
      </c>
      <c r="AC38" s="10" t="s">
        <v>40</v>
      </c>
      <c r="AD38" s="10" t="s">
        <v>32</v>
      </c>
      <c r="AE38" s="20">
        <f t="shared" si="0"/>
        <v>0.5776</v>
      </c>
      <c r="AF38" s="10" t="s">
        <v>41</v>
      </c>
      <c r="AG38" s="10">
        <v>2010</v>
      </c>
      <c r="AH38" s="21" t="s">
        <v>42</v>
      </c>
      <c r="AI38" s="2">
        <v>49.33</v>
      </c>
      <c r="AJ38" s="2">
        <v>2.19</v>
      </c>
      <c r="AK38" s="2">
        <v>0.1</v>
      </c>
      <c r="AP38" s="91"/>
    </row>
    <row r="39" spans="1:42" x14ac:dyDescent="0.3">
      <c r="A39" s="11">
        <v>24.8</v>
      </c>
      <c r="B39" s="11">
        <v>12400</v>
      </c>
      <c r="C39" s="10" t="s">
        <v>33</v>
      </c>
      <c r="D39" s="10" t="s">
        <v>35</v>
      </c>
      <c r="E39" s="10" t="s">
        <v>170</v>
      </c>
      <c r="F39" s="10" t="s">
        <v>34</v>
      </c>
      <c r="G39" s="20">
        <v>0.16600000000000001</v>
      </c>
      <c r="H39" s="10" t="s">
        <v>34</v>
      </c>
      <c r="I39" s="10" t="s">
        <v>34</v>
      </c>
      <c r="J39" s="10">
        <v>1.64</v>
      </c>
      <c r="K39" s="10" t="s">
        <v>34</v>
      </c>
      <c r="L39" s="10" t="s">
        <v>34</v>
      </c>
      <c r="M39" s="10" t="s">
        <v>34</v>
      </c>
      <c r="N39" s="20">
        <v>1560</v>
      </c>
      <c r="O39" s="10" t="s">
        <v>34</v>
      </c>
      <c r="P39" s="10" t="s">
        <v>34</v>
      </c>
      <c r="Q39" s="10" t="s">
        <v>34</v>
      </c>
      <c r="R39" s="10" t="s">
        <v>34</v>
      </c>
      <c r="S39" s="10" t="s">
        <v>34</v>
      </c>
      <c r="T39" s="10" t="s">
        <v>36</v>
      </c>
      <c r="U39" s="20" t="s">
        <v>37</v>
      </c>
      <c r="V39" s="20" t="s">
        <v>38</v>
      </c>
      <c r="W39" s="10">
        <v>10</v>
      </c>
      <c r="X39" s="10">
        <v>1</v>
      </c>
      <c r="Y39" s="10">
        <v>1</v>
      </c>
      <c r="Z39" s="10" t="s">
        <v>39</v>
      </c>
      <c r="AA39" s="10">
        <v>1.1000000000000001</v>
      </c>
      <c r="AC39" s="10" t="s">
        <v>40</v>
      </c>
      <c r="AD39" s="10" t="s">
        <v>32</v>
      </c>
      <c r="AE39" s="20">
        <f t="shared" si="0"/>
        <v>0.5776</v>
      </c>
      <c r="AF39" s="10" t="s">
        <v>41</v>
      </c>
      <c r="AG39" s="10">
        <v>2010</v>
      </c>
      <c r="AH39" s="21" t="s">
        <v>42</v>
      </c>
      <c r="AI39" s="2">
        <v>49.33</v>
      </c>
      <c r="AJ39" s="2">
        <v>2.19</v>
      </c>
      <c r="AK39" s="2">
        <v>0.1</v>
      </c>
      <c r="AP39" s="91"/>
    </row>
    <row r="40" spans="1:42" s="15" customFormat="1" ht="16.2" thickBot="1" x14ac:dyDescent="0.35">
      <c r="A40" s="17">
        <v>27.3</v>
      </c>
      <c r="B40" s="17">
        <v>5800</v>
      </c>
      <c r="C40" s="14" t="s">
        <v>33</v>
      </c>
      <c r="D40" s="14" t="s">
        <v>35</v>
      </c>
      <c r="E40" s="14" t="s">
        <v>170</v>
      </c>
      <c r="F40" s="14" t="s">
        <v>34</v>
      </c>
      <c r="G40" s="22">
        <v>0.16600000000000001</v>
      </c>
      <c r="H40" s="14" t="s">
        <v>34</v>
      </c>
      <c r="I40" s="14" t="s">
        <v>34</v>
      </c>
      <c r="J40" s="14">
        <v>1.64</v>
      </c>
      <c r="K40" s="14" t="s">
        <v>34</v>
      </c>
      <c r="L40" s="14" t="s">
        <v>34</v>
      </c>
      <c r="M40" s="14" t="s">
        <v>34</v>
      </c>
      <c r="N40" s="22">
        <v>1560</v>
      </c>
      <c r="O40" s="14" t="s">
        <v>34</v>
      </c>
      <c r="P40" s="14" t="s">
        <v>34</v>
      </c>
      <c r="Q40" s="14" t="s">
        <v>34</v>
      </c>
      <c r="R40" s="14" t="s">
        <v>34</v>
      </c>
      <c r="S40" s="14" t="s">
        <v>34</v>
      </c>
      <c r="T40" s="14" t="s">
        <v>36</v>
      </c>
      <c r="U40" s="22" t="s">
        <v>37</v>
      </c>
      <c r="V40" s="22" t="s">
        <v>38</v>
      </c>
      <c r="W40" s="14">
        <v>10</v>
      </c>
      <c r="X40" s="14">
        <v>1</v>
      </c>
      <c r="Y40" s="14">
        <v>1</v>
      </c>
      <c r="Z40" s="14" t="s">
        <v>39</v>
      </c>
      <c r="AA40" s="14">
        <v>1.1000000000000001</v>
      </c>
      <c r="AB40" s="14"/>
      <c r="AC40" s="14" t="s">
        <v>40</v>
      </c>
      <c r="AD40" s="14" t="s">
        <v>32</v>
      </c>
      <c r="AE40" s="22">
        <f t="shared" si="0"/>
        <v>0.5776</v>
      </c>
      <c r="AF40" s="14" t="s">
        <v>41</v>
      </c>
      <c r="AG40" s="14">
        <v>2010</v>
      </c>
      <c r="AH40" s="23" t="s">
        <v>42</v>
      </c>
      <c r="AI40" s="15">
        <v>49.33</v>
      </c>
      <c r="AJ40" s="15">
        <v>2.19</v>
      </c>
      <c r="AK40" s="34">
        <v>0.1</v>
      </c>
    </row>
    <row r="41" spans="1:42" x14ac:dyDescent="0.3">
      <c r="A41" s="12">
        <v>2.6050420168067201</v>
      </c>
      <c r="B41" s="12">
        <v>149.068322981367</v>
      </c>
      <c r="C41" s="13" t="s">
        <v>33</v>
      </c>
      <c r="D41" s="13" t="s">
        <v>35</v>
      </c>
      <c r="E41" s="13" t="s">
        <v>170</v>
      </c>
      <c r="F41" s="10" t="s">
        <v>34</v>
      </c>
      <c r="G41" s="20">
        <v>0.16500000000000001</v>
      </c>
      <c r="H41" s="13" t="s">
        <v>34</v>
      </c>
      <c r="I41" s="13" t="s">
        <v>34</v>
      </c>
      <c r="J41" s="13" t="s">
        <v>34</v>
      </c>
      <c r="K41" s="13" t="s">
        <v>34</v>
      </c>
      <c r="L41" s="13" t="s">
        <v>34</v>
      </c>
      <c r="M41" s="13" t="s">
        <v>43</v>
      </c>
      <c r="N41" s="13" t="s">
        <v>43</v>
      </c>
      <c r="O41" s="13">
        <v>0.98750000000000004</v>
      </c>
      <c r="P41" s="13">
        <v>0.58499999999999996</v>
      </c>
      <c r="Q41" s="13">
        <v>0</v>
      </c>
      <c r="R41" s="13" t="s">
        <v>34</v>
      </c>
      <c r="S41" s="13" t="s">
        <v>43</v>
      </c>
      <c r="T41" s="13" t="s">
        <v>36</v>
      </c>
      <c r="U41" s="13" t="s">
        <v>37</v>
      </c>
      <c r="V41" s="13" t="s">
        <v>38</v>
      </c>
      <c r="W41" s="13" t="s">
        <v>34</v>
      </c>
      <c r="X41" s="13">
        <v>0.1</v>
      </c>
      <c r="Y41" s="13">
        <v>1</v>
      </c>
      <c r="Z41" s="13" t="s">
        <v>39</v>
      </c>
      <c r="AA41" s="13" t="s">
        <v>34</v>
      </c>
      <c r="AB41" s="13"/>
      <c r="AC41" s="13" t="s">
        <v>40</v>
      </c>
      <c r="AD41" s="13" t="s">
        <v>32</v>
      </c>
      <c r="AE41" s="13">
        <v>0.46910000000000002</v>
      </c>
      <c r="AF41" s="21" t="s">
        <v>45</v>
      </c>
      <c r="AG41" s="13">
        <v>2013</v>
      </c>
      <c r="AH41" s="21" t="s">
        <v>46</v>
      </c>
      <c r="AI41" s="2" t="s">
        <v>43</v>
      </c>
      <c r="AJ41" s="2" t="s">
        <v>43</v>
      </c>
      <c r="AK41" s="2" t="s">
        <v>43</v>
      </c>
    </row>
    <row r="42" spans="1:42" x14ac:dyDescent="0.3">
      <c r="A42" s="11">
        <v>3.0882352941176401</v>
      </c>
      <c r="B42" s="11">
        <v>186.335403726707</v>
      </c>
      <c r="C42" s="10" t="s">
        <v>33</v>
      </c>
      <c r="D42" s="10" t="s">
        <v>35</v>
      </c>
      <c r="E42" s="10" t="s">
        <v>170</v>
      </c>
      <c r="F42" s="10" t="s">
        <v>34</v>
      </c>
      <c r="G42" s="20">
        <v>0.16500000000000001</v>
      </c>
      <c r="H42" s="13" t="s">
        <v>34</v>
      </c>
      <c r="I42" s="13" t="s">
        <v>34</v>
      </c>
      <c r="J42" s="13" t="s">
        <v>34</v>
      </c>
      <c r="K42" s="13" t="s">
        <v>34</v>
      </c>
      <c r="L42" s="13" t="s">
        <v>34</v>
      </c>
      <c r="M42" s="13" t="s">
        <v>43</v>
      </c>
      <c r="N42" s="13" t="s">
        <v>43</v>
      </c>
      <c r="O42" s="13">
        <v>0.98750000000000004</v>
      </c>
      <c r="P42" s="13">
        <v>0.58499999999999996</v>
      </c>
      <c r="Q42" s="13">
        <v>0</v>
      </c>
      <c r="R42" s="13" t="s">
        <v>34</v>
      </c>
      <c r="S42" s="13" t="s">
        <v>43</v>
      </c>
      <c r="T42" s="13" t="s">
        <v>36</v>
      </c>
      <c r="U42" s="13" t="s">
        <v>37</v>
      </c>
      <c r="V42" s="13" t="s">
        <v>38</v>
      </c>
      <c r="W42" s="13" t="s">
        <v>34</v>
      </c>
      <c r="X42" s="13">
        <v>0.1</v>
      </c>
      <c r="Y42" s="13">
        <v>1</v>
      </c>
      <c r="Z42" s="13" t="s">
        <v>39</v>
      </c>
      <c r="AA42" s="13" t="s">
        <v>34</v>
      </c>
      <c r="AB42" s="13"/>
      <c r="AC42" s="13" t="s">
        <v>40</v>
      </c>
      <c r="AD42" s="13" t="s">
        <v>32</v>
      </c>
      <c r="AE42" s="13">
        <v>0.46910000000000002</v>
      </c>
      <c r="AF42" s="21" t="s">
        <v>45</v>
      </c>
      <c r="AG42" s="13">
        <v>2013</v>
      </c>
      <c r="AH42" s="21" t="s">
        <v>46</v>
      </c>
      <c r="AI42" s="2" t="s">
        <v>43</v>
      </c>
      <c r="AJ42" s="2" t="s">
        <v>43</v>
      </c>
      <c r="AK42" s="2" t="s">
        <v>43</v>
      </c>
    </row>
    <row r="43" spans="1:42" x14ac:dyDescent="0.3">
      <c r="A43" s="11">
        <v>3.52941176470588</v>
      </c>
      <c r="B43" s="11">
        <v>552.79503105590095</v>
      </c>
      <c r="C43" s="10" t="s">
        <v>33</v>
      </c>
      <c r="D43" s="10" t="s">
        <v>35</v>
      </c>
      <c r="E43" s="10" t="s">
        <v>170</v>
      </c>
      <c r="F43" s="10" t="s">
        <v>34</v>
      </c>
      <c r="G43" s="20">
        <v>0.16500000000000001</v>
      </c>
      <c r="H43" s="13" t="s">
        <v>34</v>
      </c>
      <c r="I43" s="13" t="s">
        <v>34</v>
      </c>
      <c r="J43" s="13" t="s">
        <v>34</v>
      </c>
      <c r="K43" s="13" t="s">
        <v>34</v>
      </c>
      <c r="L43" s="13" t="s">
        <v>34</v>
      </c>
      <c r="M43" s="13" t="s">
        <v>43</v>
      </c>
      <c r="N43" s="13" t="s">
        <v>43</v>
      </c>
      <c r="O43" s="13">
        <v>0.98750000000000004</v>
      </c>
      <c r="P43" s="13">
        <v>0.58499999999999996</v>
      </c>
      <c r="Q43" s="13">
        <v>0</v>
      </c>
      <c r="R43" s="13" t="s">
        <v>34</v>
      </c>
      <c r="S43" s="13" t="s">
        <v>43</v>
      </c>
      <c r="T43" s="13" t="s">
        <v>36</v>
      </c>
      <c r="U43" s="13" t="s">
        <v>37</v>
      </c>
      <c r="V43" s="13" t="s">
        <v>38</v>
      </c>
      <c r="W43" s="13" t="s">
        <v>34</v>
      </c>
      <c r="X43" s="13">
        <v>0.1</v>
      </c>
      <c r="Y43" s="13">
        <v>1</v>
      </c>
      <c r="Z43" s="13" t="s">
        <v>39</v>
      </c>
      <c r="AA43" s="13" t="s">
        <v>34</v>
      </c>
      <c r="AB43" s="13"/>
      <c r="AC43" s="13" t="s">
        <v>40</v>
      </c>
      <c r="AD43" s="13" t="s">
        <v>32</v>
      </c>
      <c r="AE43" s="13">
        <v>0.46910000000000002</v>
      </c>
      <c r="AF43" s="21" t="s">
        <v>45</v>
      </c>
      <c r="AG43" s="13">
        <v>2013</v>
      </c>
      <c r="AH43" s="21" t="s">
        <v>46</v>
      </c>
      <c r="AI43" s="2" t="s">
        <v>43</v>
      </c>
      <c r="AJ43" s="2" t="s">
        <v>43</v>
      </c>
      <c r="AK43" s="2" t="s">
        <v>43</v>
      </c>
    </row>
    <row r="44" spans="1:42" x14ac:dyDescent="0.3">
      <c r="A44" s="11">
        <v>4.3277310924369701</v>
      </c>
      <c r="B44" s="11">
        <v>590.06211180124296</v>
      </c>
      <c r="C44" s="10" t="s">
        <v>33</v>
      </c>
      <c r="D44" s="10" t="s">
        <v>35</v>
      </c>
      <c r="E44" s="10" t="s">
        <v>170</v>
      </c>
      <c r="F44" s="10" t="s">
        <v>34</v>
      </c>
      <c r="G44" s="20">
        <v>0.16500000000000001</v>
      </c>
      <c r="H44" s="13" t="s">
        <v>34</v>
      </c>
      <c r="I44" s="13" t="s">
        <v>34</v>
      </c>
      <c r="J44" s="13" t="s">
        <v>34</v>
      </c>
      <c r="K44" s="13" t="s">
        <v>34</v>
      </c>
      <c r="L44" s="13" t="s">
        <v>34</v>
      </c>
      <c r="M44" s="13" t="s">
        <v>43</v>
      </c>
      <c r="N44" s="13" t="s">
        <v>43</v>
      </c>
      <c r="O44" s="13">
        <v>0.98750000000000004</v>
      </c>
      <c r="P44" s="13">
        <v>0.58499999999999996</v>
      </c>
      <c r="Q44" s="13">
        <v>0</v>
      </c>
      <c r="R44" s="13" t="s">
        <v>34</v>
      </c>
      <c r="S44" s="13" t="s">
        <v>43</v>
      </c>
      <c r="T44" s="13" t="s">
        <v>36</v>
      </c>
      <c r="U44" s="13" t="s">
        <v>37</v>
      </c>
      <c r="V44" s="13" t="s">
        <v>38</v>
      </c>
      <c r="W44" s="13" t="s">
        <v>34</v>
      </c>
      <c r="X44" s="13">
        <v>0.1</v>
      </c>
      <c r="Y44" s="13">
        <v>1</v>
      </c>
      <c r="Z44" s="13" t="s">
        <v>39</v>
      </c>
      <c r="AA44" s="13" t="s">
        <v>34</v>
      </c>
      <c r="AB44" s="13"/>
      <c r="AC44" s="13" t="s">
        <v>40</v>
      </c>
      <c r="AD44" s="13" t="s">
        <v>32</v>
      </c>
      <c r="AE44" s="13">
        <v>0.46910000000000002</v>
      </c>
      <c r="AF44" s="21" t="s">
        <v>45</v>
      </c>
      <c r="AG44" s="13">
        <v>2013</v>
      </c>
      <c r="AH44" s="21" t="s">
        <v>46</v>
      </c>
      <c r="AI44" s="2" t="s">
        <v>43</v>
      </c>
      <c r="AJ44" s="2" t="s">
        <v>43</v>
      </c>
      <c r="AK44" s="2" t="s">
        <v>43</v>
      </c>
    </row>
    <row r="45" spans="1:42" x14ac:dyDescent="0.3">
      <c r="A45" s="11">
        <v>4.5588235294117601</v>
      </c>
      <c r="B45" s="11">
        <v>416.14906832297999</v>
      </c>
      <c r="C45" s="10" t="s">
        <v>33</v>
      </c>
      <c r="D45" s="10" t="s">
        <v>35</v>
      </c>
      <c r="E45" s="10" t="s">
        <v>170</v>
      </c>
      <c r="F45" s="10" t="s">
        <v>34</v>
      </c>
      <c r="G45" s="20">
        <v>0.16500000000000001</v>
      </c>
      <c r="H45" s="13" t="s">
        <v>34</v>
      </c>
      <c r="I45" s="13" t="s">
        <v>34</v>
      </c>
      <c r="J45" s="13" t="s">
        <v>34</v>
      </c>
      <c r="K45" s="13" t="s">
        <v>34</v>
      </c>
      <c r="L45" s="13" t="s">
        <v>34</v>
      </c>
      <c r="M45" s="13" t="s">
        <v>43</v>
      </c>
      <c r="N45" s="13" t="s">
        <v>43</v>
      </c>
      <c r="O45" s="13">
        <v>0.98750000000000004</v>
      </c>
      <c r="P45" s="13">
        <v>0.58499999999999996</v>
      </c>
      <c r="Q45" s="13">
        <v>0</v>
      </c>
      <c r="R45" s="13" t="s">
        <v>34</v>
      </c>
      <c r="S45" s="13" t="s">
        <v>43</v>
      </c>
      <c r="T45" s="13" t="s">
        <v>36</v>
      </c>
      <c r="U45" s="13" t="s">
        <v>37</v>
      </c>
      <c r="V45" s="13" t="s">
        <v>38</v>
      </c>
      <c r="W45" s="13" t="s">
        <v>34</v>
      </c>
      <c r="X45" s="13">
        <v>0.1</v>
      </c>
      <c r="Y45" s="13">
        <v>1</v>
      </c>
      <c r="Z45" s="13" t="s">
        <v>39</v>
      </c>
      <c r="AA45" s="13" t="s">
        <v>34</v>
      </c>
      <c r="AB45" s="13"/>
      <c r="AC45" s="13" t="s">
        <v>40</v>
      </c>
      <c r="AD45" s="13" t="s">
        <v>32</v>
      </c>
      <c r="AE45" s="13">
        <v>0.46910000000000002</v>
      </c>
      <c r="AF45" s="21" t="s">
        <v>45</v>
      </c>
      <c r="AG45" s="13">
        <v>2013</v>
      </c>
      <c r="AH45" s="21" t="s">
        <v>46</v>
      </c>
      <c r="AI45" s="2" t="s">
        <v>43</v>
      </c>
      <c r="AJ45" s="2" t="s">
        <v>43</v>
      </c>
      <c r="AK45" s="2" t="s">
        <v>43</v>
      </c>
    </row>
    <row r="46" spans="1:42" x14ac:dyDescent="0.3">
      <c r="A46" s="11">
        <v>4.6218487394957899</v>
      </c>
      <c r="B46" s="11">
        <v>453.41614906832302</v>
      </c>
      <c r="C46" s="10" t="s">
        <v>33</v>
      </c>
      <c r="D46" s="10" t="s">
        <v>35</v>
      </c>
      <c r="E46" s="10" t="s">
        <v>170</v>
      </c>
      <c r="F46" s="10" t="s">
        <v>34</v>
      </c>
      <c r="G46" s="20">
        <v>0.16500000000000001</v>
      </c>
      <c r="H46" s="13" t="s">
        <v>34</v>
      </c>
      <c r="I46" s="13" t="s">
        <v>34</v>
      </c>
      <c r="J46" s="13" t="s">
        <v>34</v>
      </c>
      <c r="K46" s="13" t="s">
        <v>34</v>
      </c>
      <c r="L46" s="13" t="s">
        <v>34</v>
      </c>
      <c r="M46" s="13" t="s">
        <v>43</v>
      </c>
      <c r="N46" s="13" t="s">
        <v>43</v>
      </c>
      <c r="O46" s="13">
        <v>0.98750000000000004</v>
      </c>
      <c r="P46" s="13">
        <v>0.58499999999999996</v>
      </c>
      <c r="Q46" s="13">
        <v>0</v>
      </c>
      <c r="R46" s="13" t="s">
        <v>34</v>
      </c>
      <c r="S46" s="13" t="s">
        <v>43</v>
      </c>
      <c r="T46" s="13" t="s">
        <v>36</v>
      </c>
      <c r="U46" s="13" t="s">
        <v>37</v>
      </c>
      <c r="V46" s="13" t="s">
        <v>38</v>
      </c>
      <c r="W46" s="13" t="s">
        <v>34</v>
      </c>
      <c r="X46" s="13">
        <v>0.1</v>
      </c>
      <c r="Y46" s="13">
        <v>1</v>
      </c>
      <c r="Z46" s="13" t="s">
        <v>39</v>
      </c>
      <c r="AA46" s="13" t="s">
        <v>34</v>
      </c>
      <c r="AB46" s="13"/>
      <c r="AC46" s="13" t="s">
        <v>40</v>
      </c>
      <c r="AD46" s="13" t="s">
        <v>32</v>
      </c>
      <c r="AE46" s="13">
        <v>0.46910000000000002</v>
      </c>
      <c r="AF46" s="21" t="s">
        <v>45</v>
      </c>
      <c r="AG46" s="13">
        <v>2013</v>
      </c>
      <c r="AH46" s="21" t="s">
        <v>46</v>
      </c>
      <c r="AI46" s="2" t="s">
        <v>43</v>
      </c>
      <c r="AJ46" s="2" t="s">
        <v>43</v>
      </c>
      <c r="AK46" s="2" t="s">
        <v>43</v>
      </c>
    </row>
    <row r="47" spans="1:42" x14ac:dyDescent="0.3">
      <c r="A47" s="11">
        <v>5.2941176470588198</v>
      </c>
      <c r="B47" s="11">
        <v>863.35403726708205</v>
      </c>
      <c r="C47" s="10" t="s">
        <v>33</v>
      </c>
      <c r="D47" s="10" t="s">
        <v>35</v>
      </c>
      <c r="E47" s="10" t="s">
        <v>170</v>
      </c>
      <c r="F47" s="10" t="s">
        <v>34</v>
      </c>
      <c r="G47" s="20">
        <v>0.16500000000000001</v>
      </c>
      <c r="H47" s="13" t="s">
        <v>34</v>
      </c>
      <c r="I47" s="13" t="s">
        <v>34</v>
      </c>
      <c r="J47" s="13" t="s">
        <v>34</v>
      </c>
      <c r="K47" s="13" t="s">
        <v>34</v>
      </c>
      <c r="L47" s="13" t="s">
        <v>34</v>
      </c>
      <c r="M47" s="13" t="s">
        <v>43</v>
      </c>
      <c r="N47" s="13" t="s">
        <v>43</v>
      </c>
      <c r="O47" s="13">
        <v>0.98750000000000004</v>
      </c>
      <c r="P47" s="13">
        <v>0.58499999999999996</v>
      </c>
      <c r="Q47" s="13">
        <v>0</v>
      </c>
      <c r="R47" s="13" t="s">
        <v>34</v>
      </c>
      <c r="S47" s="13" t="s">
        <v>43</v>
      </c>
      <c r="T47" s="13" t="s">
        <v>36</v>
      </c>
      <c r="U47" s="13" t="s">
        <v>37</v>
      </c>
      <c r="V47" s="13" t="s">
        <v>38</v>
      </c>
      <c r="W47" s="13" t="s">
        <v>34</v>
      </c>
      <c r="X47" s="13">
        <v>0.1</v>
      </c>
      <c r="Y47" s="13">
        <v>1</v>
      </c>
      <c r="Z47" s="13" t="s">
        <v>39</v>
      </c>
      <c r="AA47" s="13" t="s">
        <v>34</v>
      </c>
      <c r="AB47" s="13"/>
      <c r="AC47" s="13" t="s">
        <v>40</v>
      </c>
      <c r="AD47" s="13" t="s">
        <v>32</v>
      </c>
      <c r="AE47" s="13">
        <v>0.46910000000000002</v>
      </c>
      <c r="AF47" s="21" t="s">
        <v>45</v>
      </c>
      <c r="AG47" s="13">
        <v>2013</v>
      </c>
      <c r="AH47" s="21" t="s">
        <v>46</v>
      </c>
      <c r="AI47" s="2" t="s">
        <v>43</v>
      </c>
      <c r="AJ47" s="2" t="s">
        <v>43</v>
      </c>
      <c r="AK47" s="2" t="s">
        <v>43</v>
      </c>
    </row>
    <row r="48" spans="1:42" x14ac:dyDescent="0.3">
      <c r="A48" s="11">
        <v>5.5252100840336</v>
      </c>
      <c r="B48" s="11">
        <v>745.34161490683198</v>
      </c>
      <c r="C48" s="10" t="s">
        <v>33</v>
      </c>
      <c r="D48" s="10" t="s">
        <v>35</v>
      </c>
      <c r="E48" s="10" t="s">
        <v>170</v>
      </c>
      <c r="F48" s="10" t="s">
        <v>34</v>
      </c>
      <c r="G48" s="20">
        <v>0.16500000000000001</v>
      </c>
      <c r="H48" s="13" t="s">
        <v>34</v>
      </c>
      <c r="I48" s="13" t="s">
        <v>34</v>
      </c>
      <c r="J48" s="13" t="s">
        <v>34</v>
      </c>
      <c r="K48" s="13" t="s">
        <v>34</v>
      </c>
      <c r="L48" s="13" t="s">
        <v>34</v>
      </c>
      <c r="M48" s="13" t="s">
        <v>43</v>
      </c>
      <c r="N48" s="13" t="s">
        <v>43</v>
      </c>
      <c r="O48" s="13">
        <v>0.98750000000000004</v>
      </c>
      <c r="P48" s="13">
        <v>0.58499999999999996</v>
      </c>
      <c r="Q48" s="13">
        <v>0</v>
      </c>
      <c r="R48" s="13" t="s">
        <v>34</v>
      </c>
      <c r="S48" s="13" t="s">
        <v>43</v>
      </c>
      <c r="T48" s="13" t="s">
        <v>36</v>
      </c>
      <c r="U48" s="13" t="s">
        <v>37</v>
      </c>
      <c r="V48" s="13" t="s">
        <v>38</v>
      </c>
      <c r="W48" s="13" t="s">
        <v>34</v>
      </c>
      <c r="X48" s="13">
        <v>0.1</v>
      </c>
      <c r="Y48" s="13">
        <v>1</v>
      </c>
      <c r="Z48" s="13" t="s">
        <v>39</v>
      </c>
      <c r="AA48" s="13" t="s">
        <v>34</v>
      </c>
      <c r="AB48" s="13"/>
      <c r="AC48" s="13" t="s">
        <v>40</v>
      </c>
      <c r="AD48" s="13" t="s">
        <v>32</v>
      </c>
      <c r="AE48" s="13">
        <v>0.46910000000000002</v>
      </c>
      <c r="AF48" s="21" t="s">
        <v>45</v>
      </c>
      <c r="AG48" s="13">
        <v>2013</v>
      </c>
      <c r="AH48" s="21" t="s">
        <v>46</v>
      </c>
      <c r="AI48" s="2" t="s">
        <v>43</v>
      </c>
      <c r="AJ48" s="2" t="s">
        <v>43</v>
      </c>
      <c r="AK48" s="2" t="s">
        <v>43</v>
      </c>
    </row>
    <row r="49" spans="1:37" x14ac:dyDescent="0.3">
      <c r="A49" s="11">
        <v>5.9033613445378101</v>
      </c>
      <c r="B49" s="11">
        <v>354.03726708074498</v>
      </c>
      <c r="C49" s="10" t="s">
        <v>33</v>
      </c>
      <c r="D49" s="10" t="s">
        <v>35</v>
      </c>
      <c r="E49" s="10" t="s">
        <v>170</v>
      </c>
      <c r="F49" s="10" t="s">
        <v>34</v>
      </c>
      <c r="G49" s="20">
        <v>0.16500000000000001</v>
      </c>
      <c r="H49" s="13" t="s">
        <v>34</v>
      </c>
      <c r="I49" s="13" t="s">
        <v>34</v>
      </c>
      <c r="J49" s="13" t="s">
        <v>34</v>
      </c>
      <c r="K49" s="13" t="s">
        <v>34</v>
      </c>
      <c r="L49" s="13" t="s">
        <v>34</v>
      </c>
      <c r="M49" s="13" t="s">
        <v>43</v>
      </c>
      <c r="N49" s="13" t="s">
        <v>43</v>
      </c>
      <c r="O49" s="13">
        <v>0.98750000000000004</v>
      </c>
      <c r="P49" s="13">
        <v>0.58499999999999996</v>
      </c>
      <c r="Q49" s="13">
        <v>0</v>
      </c>
      <c r="R49" s="13" t="s">
        <v>34</v>
      </c>
      <c r="S49" s="13" t="s">
        <v>43</v>
      </c>
      <c r="T49" s="13" t="s">
        <v>36</v>
      </c>
      <c r="U49" s="13" t="s">
        <v>37</v>
      </c>
      <c r="V49" s="13" t="s">
        <v>38</v>
      </c>
      <c r="W49" s="13" t="s">
        <v>34</v>
      </c>
      <c r="X49" s="13">
        <v>0.1</v>
      </c>
      <c r="Y49" s="13">
        <v>1</v>
      </c>
      <c r="Z49" s="13" t="s">
        <v>39</v>
      </c>
      <c r="AA49" s="13" t="s">
        <v>34</v>
      </c>
      <c r="AB49" s="13"/>
      <c r="AC49" s="13" t="s">
        <v>40</v>
      </c>
      <c r="AD49" s="13" t="s">
        <v>32</v>
      </c>
      <c r="AE49" s="13">
        <v>0.46910000000000002</v>
      </c>
      <c r="AF49" s="21" t="s">
        <v>45</v>
      </c>
      <c r="AG49" s="13">
        <v>2013</v>
      </c>
      <c r="AH49" s="21" t="s">
        <v>46</v>
      </c>
      <c r="AI49" s="2" t="s">
        <v>43</v>
      </c>
      <c r="AJ49" s="2" t="s">
        <v>43</v>
      </c>
      <c r="AK49" s="2" t="s">
        <v>43</v>
      </c>
    </row>
    <row r="50" spans="1:37" x14ac:dyDescent="0.3">
      <c r="A50" s="11">
        <v>6.4495798319327697</v>
      </c>
      <c r="B50" s="11">
        <v>503.10559006211099</v>
      </c>
      <c r="C50" s="10" t="s">
        <v>33</v>
      </c>
      <c r="D50" s="10" t="s">
        <v>35</v>
      </c>
      <c r="E50" s="10" t="s">
        <v>170</v>
      </c>
      <c r="F50" s="10" t="s">
        <v>34</v>
      </c>
      <c r="G50" s="20">
        <v>0.16500000000000001</v>
      </c>
      <c r="H50" s="13" t="s">
        <v>34</v>
      </c>
      <c r="I50" s="13" t="s">
        <v>34</v>
      </c>
      <c r="J50" s="13" t="s">
        <v>34</v>
      </c>
      <c r="K50" s="13" t="s">
        <v>34</v>
      </c>
      <c r="L50" s="13" t="s">
        <v>34</v>
      </c>
      <c r="M50" s="13" t="s">
        <v>43</v>
      </c>
      <c r="N50" s="13" t="s">
        <v>43</v>
      </c>
      <c r="O50" s="13">
        <v>0.98750000000000004</v>
      </c>
      <c r="P50" s="13">
        <v>0.58499999999999996</v>
      </c>
      <c r="Q50" s="13">
        <v>0</v>
      </c>
      <c r="R50" s="13" t="s">
        <v>34</v>
      </c>
      <c r="S50" s="13" t="s">
        <v>43</v>
      </c>
      <c r="T50" s="13" t="s">
        <v>36</v>
      </c>
      <c r="U50" s="13" t="s">
        <v>37</v>
      </c>
      <c r="V50" s="13" t="s">
        <v>38</v>
      </c>
      <c r="W50" s="13" t="s">
        <v>34</v>
      </c>
      <c r="X50" s="13">
        <v>0.1</v>
      </c>
      <c r="Y50" s="13">
        <v>1</v>
      </c>
      <c r="Z50" s="13" t="s">
        <v>39</v>
      </c>
      <c r="AA50" s="13" t="s">
        <v>34</v>
      </c>
      <c r="AB50" s="13"/>
      <c r="AC50" s="13" t="s">
        <v>40</v>
      </c>
      <c r="AD50" s="13" t="s">
        <v>32</v>
      </c>
      <c r="AE50" s="13">
        <v>0.46910000000000002</v>
      </c>
      <c r="AF50" s="21" t="s">
        <v>45</v>
      </c>
      <c r="AG50" s="13">
        <v>2013</v>
      </c>
      <c r="AH50" s="21" t="s">
        <v>46</v>
      </c>
      <c r="AI50" s="2" t="s">
        <v>43</v>
      </c>
      <c r="AJ50" s="2" t="s">
        <v>43</v>
      </c>
      <c r="AK50" s="2" t="s">
        <v>43</v>
      </c>
    </row>
    <row r="51" spans="1:37" x14ac:dyDescent="0.3">
      <c r="A51" s="11">
        <v>6.0924369747898997</v>
      </c>
      <c r="B51" s="11">
        <v>838.50931677018605</v>
      </c>
      <c r="C51" s="10" t="s">
        <v>33</v>
      </c>
      <c r="D51" s="10" t="s">
        <v>35</v>
      </c>
      <c r="E51" s="10" t="s">
        <v>170</v>
      </c>
      <c r="F51" s="10" t="s">
        <v>34</v>
      </c>
      <c r="G51" s="20">
        <v>0.16500000000000001</v>
      </c>
      <c r="H51" s="13" t="s">
        <v>34</v>
      </c>
      <c r="I51" s="13" t="s">
        <v>34</v>
      </c>
      <c r="J51" s="13" t="s">
        <v>34</v>
      </c>
      <c r="K51" s="13" t="s">
        <v>34</v>
      </c>
      <c r="L51" s="13" t="s">
        <v>34</v>
      </c>
      <c r="M51" s="13" t="s">
        <v>43</v>
      </c>
      <c r="N51" s="13" t="s">
        <v>43</v>
      </c>
      <c r="O51" s="13">
        <v>0.98750000000000004</v>
      </c>
      <c r="P51" s="13">
        <v>0.58499999999999996</v>
      </c>
      <c r="Q51" s="13">
        <v>0</v>
      </c>
      <c r="R51" s="13" t="s">
        <v>34</v>
      </c>
      <c r="S51" s="13" t="s">
        <v>43</v>
      </c>
      <c r="T51" s="13" t="s">
        <v>36</v>
      </c>
      <c r="U51" s="13" t="s">
        <v>37</v>
      </c>
      <c r="V51" s="13" t="s">
        <v>38</v>
      </c>
      <c r="W51" s="13" t="s">
        <v>34</v>
      </c>
      <c r="X51" s="13">
        <v>0.1</v>
      </c>
      <c r="Y51" s="13">
        <v>1</v>
      </c>
      <c r="Z51" s="13" t="s">
        <v>39</v>
      </c>
      <c r="AA51" s="13" t="s">
        <v>34</v>
      </c>
      <c r="AB51" s="13"/>
      <c r="AC51" s="13" t="s">
        <v>40</v>
      </c>
      <c r="AD51" s="13" t="s">
        <v>32</v>
      </c>
      <c r="AE51" s="13">
        <v>0.46910000000000002</v>
      </c>
      <c r="AF51" s="21" t="s">
        <v>45</v>
      </c>
      <c r="AG51" s="13">
        <v>2013</v>
      </c>
      <c r="AH51" s="21" t="s">
        <v>46</v>
      </c>
      <c r="AI51" s="2" t="s">
        <v>43</v>
      </c>
      <c r="AJ51" s="2" t="s">
        <v>43</v>
      </c>
      <c r="AK51" s="2" t="s">
        <v>43</v>
      </c>
    </row>
    <row r="52" spans="1:37" x14ac:dyDescent="0.3">
      <c r="A52" s="11">
        <v>5.5462184873949498</v>
      </c>
      <c r="B52" s="11">
        <v>1658.3850931677</v>
      </c>
      <c r="C52" s="10" t="s">
        <v>33</v>
      </c>
      <c r="D52" s="10" t="s">
        <v>35</v>
      </c>
      <c r="E52" s="10" t="s">
        <v>170</v>
      </c>
      <c r="F52" s="10" t="s">
        <v>34</v>
      </c>
      <c r="G52" s="20">
        <v>0.16500000000000001</v>
      </c>
      <c r="H52" s="13" t="s">
        <v>34</v>
      </c>
      <c r="I52" s="13" t="s">
        <v>34</v>
      </c>
      <c r="J52" s="13" t="s">
        <v>34</v>
      </c>
      <c r="K52" s="13" t="s">
        <v>34</v>
      </c>
      <c r="L52" s="13" t="s">
        <v>34</v>
      </c>
      <c r="M52" s="13" t="s">
        <v>43</v>
      </c>
      <c r="N52" s="13" t="s">
        <v>43</v>
      </c>
      <c r="O52" s="13">
        <v>0.98750000000000004</v>
      </c>
      <c r="P52" s="13">
        <v>0.58499999999999996</v>
      </c>
      <c r="Q52" s="13">
        <v>0</v>
      </c>
      <c r="R52" s="13" t="s">
        <v>34</v>
      </c>
      <c r="S52" s="13" t="s">
        <v>43</v>
      </c>
      <c r="T52" s="13" t="s">
        <v>36</v>
      </c>
      <c r="U52" s="13" t="s">
        <v>37</v>
      </c>
      <c r="V52" s="13" t="s">
        <v>38</v>
      </c>
      <c r="W52" s="13" t="s">
        <v>34</v>
      </c>
      <c r="X52" s="13">
        <v>0.1</v>
      </c>
      <c r="Y52" s="13">
        <v>1</v>
      </c>
      <c r="Z52" s="13" t="s">
        <v>39</v>
      </c>
      <c r="AA52" s="13" t="s">
        <v>34</v>
      </c>
      <c r="AB52" s="13"/>
      <c r="AC52" s="13" t="s">
        <v>40</v>
      </c>
      <c r="AD52" s="13" t="s">
        <v>32</v>
      </c>
      <c r="AE52" s="13">
        <v>0.46910000000000002</v>
      </c>
      <c r="AF52" s="21" t="s">
        <v>45</v>
      </c>
      <c r="AG52" s="13">
        <v>2013</v>
      </c>
      <c r="AH52" s="21" t="s">
        <v>46</v>
      </c>
      <c r="AI52" s="2" t="s">
        <v>43</v>
      </c>
      <c r="AJ52" s="2" t="s">
        <v>43</v>
      </c>
      <c r="AK52" s="2" t="s">
        <v>43</v>
      </c>
    </row>
    <row r="53" spans="1:37" x14ac:dyDescent="0.3">
      <c r="A53" s="11">
        <v>6.9747899159663804</v>
      </c>
      <c r="B53" s="11">
        <v>1919.2546583850899</v>
      </c>
      <c r="C53" s="10" t="s">
        <v>33</v>
      </c>
      <c r="D53" s="10" t="s">
        <v>35</v>
      </c>
      <c r="E53" s="10" t="s">
        <v>170</v>
      </c>
      <c r="F53" s="10" t="s">
        <v>34</v>
      </c>
      <c r="G53" s="20">
        <v>0.16500000000000001</v>
      </c>
      <c r="H53" s="13" t="s">
        <v>34</v>
      </c>
      <c r="I53" s="13" t="s">
        <v>34</v>
      </c>
      <c r="J53" s="13" t="s">
        <v>34</v>
      </c>
      <c r="K53" s="13" t="s">
        <v>34</v>
      </c>
      <c r="L53" s="13" t="s">
        <v>34</v>
      </c>
      <c r="M53" s="13" t="s">
        <v>43</v>
      </c>
      <c r="N53" s="13" t="s">
        <v>43</v>
      </c>
      <c r="O53" s="13">
        <v>0.98750000000000004</v>
      </c>
      <c r="P53" s="13">
        <v>0.58499999999999996</v>
      </c>
      <c r="Q53" s="13">
        <v>0</v>
      </c>
      <c r="R53" s="13" t="s">
        <v>34</v>
      </c>
      <c r="S53" s="13" t="s">
        <v>43</v>
      </c>
      <c r="T53" s="13" t="s">
        <v>36</v>
      </c>
      <c r="U53" s="13" t="s">
        <v>37</v>
      </c>
      <c r="V53" s="13" t="s">
        <v>38</v>
      </c>
      <c r="W53" s="13" t="s">
        <v>34</v>
      </c>
      <c r="X53" s="13">
        <v>0.1</v>
      </c>
      <c r="Y53" s="13">
        <v>1</v>
      </c>
      <c r="Z53" s="13" t="s">
        <v>39</v>
      </c>
      <c r="AA53" s="13" t="s">
        <v>34</v>
      </c>
      <c r="AB53" s="13"/>
      <c r="AC53" s="13" t="s">
        <v>40</v>
      </c>
      <c r="AD53" s="13" t="s">
        <v>32</v>
      </c>
      <c r="AE53" s="13">
        <v>0.46910000000000002</v>
      </c>
      <c r="AF53" s="21" t="s">
        <v>45</v>
      </c>
      <c r="AG53" s="13">
        <v>2013</v>
      </c>
      <c r="AH53" s="21" t="s">
        <v>46</v>
      </c>
      <c r="AI53" s="2" t="s">
        <v>43</v>
      </c>
      <c r="AJ53" s="2" t="s">
        <v>43</v>
      </c>
      <c r="AK53" s="2" t="s">
        <v>43</v>
      </c>
    </row>
    <row r="54" spans="1:37" x14ac:dyDescent="0.3">
      <c r="A54" s="11">
        <v>7.5630252100840298</v>
      </c>
      <c r="B54" s="11">
        <v>1819.87577639751</v>
      </c>
      <c r="C54" s="10" t="s">
        <v>33</v>
      </c>
      <c r="D54" s="10" t="s">
        <v>35</v>
      </c>
      <c r="E54" s="10" t="s">
        <v>170</v>
      </c>
      <c r="F54" s="10" t="s">
        <v>34</v>
      </c>
      <c r="G54" s="20">
        <v>0.16500000000000001</v>
      </c>
      <c r="H54" s="13" t="s">
        <v>34</v>
      </c>
      <c r="I54" s="13" t="s">
        <v>34</v>
      </c>
      <c r="J54" s="13" t="s">
        <v>34</v>
      </c>
      <c r="K54" s="13" t="s">
        <v>34</v>
      </c>
      <c r="L54" s="13" t="s">
        <v>34</v>
      </c>
      <c r="M54" s="13" t="s">
        <v>43</v>
      </c>
      <c r="N54" s="13" t="s">
        <v>43</v>
      </c>
      <c r="O54" s="13">
        <v>0.98750000000000004</v>
      </c>
      <c r="P54" s="13">
        <v>0.58499999999999996</v>
      </c>
      <c r="Q54" s="13">
        <v>0</v>
      </c>
      <c r="R54" s="13" t="s">
        <v>34</v>
      </c>
      <c r="S54" s="13" t="s">
        <v>43</v>
      </c>
      <c r="T54" s="13" t="s">
        <v>36</v>
      </c>
      <c r="U54" s="13" t="s">
        <v>37</v>
      </c>
      <c r="V54" s="13" t="s">
        <v>38</v>
      </c>
      <c r="W54" s="13" t="s">
        <v>34</v>
      </c>
      <c r="X54" s="13">
        <v>0.1</v>
      </c>
      <c r="Y54" s="13">
        <v>1</v>
      </c>
      <c r="Z54" s="13" t="s">
        <v>39</v>
      </c>
      <c r="AA54" s="13" t="s">
        <v>34</v>
      </c>
      <c r="AB54" s="13"/>
      <c r="AC54" s="13" t="s">
        <v>40</v>
      </c>
      <c r="AD54" s="13" t="s">
        <v>32</v>
      </c>
      <c r="AE54" s="13">
        <v>0.46910000000000002</v>
      </c>
      <c r="AF54" s="21" t="s">
        <v>45</v>
      </c>
      <c r="AG54" s="13">
        <v>2013</v>
      </c>
      <c r="AH54" s="21" t="s">
        <v>46</v>
      </c>
      <c r="AI54" s="2" t="s">
        <v>43</v>
      </c>
      <c r="AJ54" s="2" t="s">
        <v>43</v>
      </c>
      <c r="AK54" s="2" t="s">
        <v>43</v>
      </c>
    </row>
    <row r="55" spans="1:37" x14ac:dyDescent="0.3">
      <c r="A55" s="11">
        <v>9.3697478991596501</v>
      </c>
      <c r="B55" s="11">
        <v>2950.31055900621</v>
      </c>
      <c r="C55" s="10" t="s">
        <v>33</v>
      </c>
      <c r="D55" s="10" t="s">
        <v>35</v>
      </c>
      <c r="E55" s="10" t="s">
        <v>170</v>
      </c>
      <c r="F55" s="10" t="s">
        <v>34</v>
      </c>
      <c r="G55" s="20">
        <v>0.16500000000000001</v>
      </c>
      <c r="H55" s="13" t="s">
        <v>34</v>
      </c>
      <c r="I55" s="13" t="s">
        <v>34</v>
      </c>
      <c r="J55" s="13" t="s">
        <v>34</v>
      </c>
      <c r="K55" s="13" t="s">
        <v>34</v>
      </c>
      <c r="L55" s="13" t="s">
        <v>34</v>
      </c>
      <c r="M55" s="13" t="s">
        <v>43</v>
      </c>
      <c r="N55" s="13" t="s">
        <v>43</v>
      </c>
      <c r="O55" s="13">
        <v>0.98750000000000004</v>
      </c>
      <c r="P55" s="13">
        <v>0.58499999999999996</v>
      </c>
      <c r="Q55" s="13">
        <v>0</v>
      </c>
      <c r="R55" s="13" t="s">
        <v>34</v>
      </c>
      <c r="S55" s="13" t="s">
        <v>43</v>
      </c>
      <c r="T55" s="13" t="s">
        <v>36</v>
      </c>
      <c r="U55" s="13" t="s">
        <v>37</v>
      </c>
      <c r="V55" s="13" t="s">
        <v>38</v>
      </c>
      <c r="W55" s="13" t="s">
        <v>34</v>
      </c>
      <c r="X55" s="13">
        <v>0.1</v>
      </c>
      <c r="Y55" s="13">
        <v>1</v>
      </c>
      <c r="Z55" s="13" t="s">
        <v>39</v>
      </c>
      <c r="AA55" s="13" t="s">
        <v>34</v>
      </c>
      <c r="AB55" s="13"/>
      <c r="AC55" s="13" t="s">
        <v>40</v>
      </c>
      <c r="AD55" s="13" t="s">
        <v>32</v>
      </c>
      <c r="AE55" s="13">
        <v>0.46910000000000002</v>
      </c>
      <c r="AF55" s="21" t="s">
        <v>45</v>
      </c>
      <c r="AG55" s="13">
        <v>2013</v>
      </c>
      <c r="AH55" s="21" t="s">
        <v>46</v>
      </c>
      <c r="AI55" s="2" t="s">
        <v>43</v>
      </c>
      <c r="AJ55" s="2" t="s">
        <v>43</v>
      </c>
      <c r="AK55" s="2" t="s">
        <v>43</v>
      </c>
    </row>
    <row r="56" spans="1:37" x14ac:dyDescent="0.3">
      <c r="A56" s="11">
        <v>2.6890756302521002</v>
      </c>
      <c r="B56" s="11">
        <v>298.13664596273298</v>
      </c>
      <c r="C56" s="10" t="s">
        <v>33</v>
      </c>
      <c r="D56" s="10" t="s">
        <v>35</v>
      </c>
      <c r="E56" s="10" t="s">
        <v>170</v>
      </c>
      <c r="F56" s="10" t="s">
        <v>34</v>
      </c>
      <c r="G56" s="20">
        <v>0.16500000000000001</v>
      </c>
      <c r="H56" s="13" t="s">
        <v>34</v>
      </c>
      <c r="I56" s="13" t="s">
        <v>34</v>
      </c>
      <c r="J56" s="13" t="s">
        <v>34</v>
      </c>
      <c r="K56" s="13" t="s">
        <v>34</v>
      </c>
      <c r="L56" s="13" t="s">
        <v>34</v>
      </c>
      <c r="M56" s="13" t="s">
        <v>43</v>
      </c>
      <c r="N56" s="13" t="s">
        <v>43</v>
      </c>
      <c r="O56" s="13">
        <v>0.98750000000000004</v>
      </c>
      <c r="P56" s="13">
        <v>0.58499999999999996</v>
      </c>
      <c r="Q56" s="13">
        <v>0</v>
      </c>
      <c r="R56" s="13" t="s">
        <v>34</v>
      </c>
      <c r="S56" s="13" t="s">
        <v>43</v>
      </c>
      <c r="T56" s="13" t="s">
        <v>36</v>
      </c>
      <c r="U56" s="13" t="s">
        <v>37</v>
      </c>
      <c r="V56" s="13" t="s">
        <v>38</v>
      </c>
      <c r="W56" s="13" t="s">
        <v>34</v>
      </c>
      <c r="X56" s="10">
        <v>0.25</v>
      </c>
      <c r="Y56" s="13">
        <v>1</v>
      </c>
      <c r="Z56" s="13" t="s">
        <v>39</v>
      </c>
      <c r="AA56" s="13" t="s">
        <v>34</v>
      </c>
      <c r="AB56" s="13"/>
      <c r="AC56" s="13" t="s">
        <v>40</v>
      </c>
      <c r="AD56" s="13" t="s">
        <v>32</v>
      </c>
      <c r="AE56" s="13">
        <v>0.46910000000000002</v>
      </c>
      <c r="AF56" s="21" t="s">
        <v>45</v>
      </c>
      <c r="AG56" s="13">
        <v>2013</v>
      </c>
      <c r="AH56" s="21" t="s">
        <v>46</v>
      </c>
      <c r="AI56" s="2" t="s">
        <v>43</v>
      </c>
      <c r="AJ56" s="2" t="s">
        <v>43</v>
      </c>
      <c r="AK56" s="2" t="s">
        <v>43</v>
      </c>
    </row>
    <row r="57" spans="1:37" x14ac:dyDescent="0.3">
      <c r="A57" s="11">
        <v>3.8865546218487399</v>
      </c>
      <c r="B57" s="11">
        <v>590.06211180124296</v>
      </c>
      <c r="C57" s="10" t="s">
        <v>33</v>
      </c>
      <c r="D57" s="10" t="s">
        <v>35</v>
      </c>
      <c r="E57" s="10" t="s">
        <v>170</v>
      </c>
      <c r="F57" s="10" t="s">
        <v>34</v>
      </c>
      <c r="G57" s="20">
        <v>0.16500000000000001</v>
      </c>
      <c r="H57" s="13" t="s">
        <v>34</v>
      </c>
      <c r="I57" s="13" t="s">
        <v>34</v>
      </c>
      <c r="J57" s="13" t="s">
        <v>34</v>
      </c>
      <c r="K57" s="13" t="s">
        <v>34</v>
      </c>
      <c r="L57" s="13" t="s">
        <v>34</v>
      </c>
      <c r="M57" s="13" t="s">
        <v>43</v>
      </c>
      <c r="N57" s="13" t="s">
        <v>43</v>
      </c>
      <c r="O57" s="13">
        <v>0.98750000000000004</v>
      </c>
      <c r="P57" s="13">
        <v>0.58499999999999996</v>
      </c>
      <c r="Q57" s="13">
        <v>0</v>
      </c>
      <c r="R57" s="13" t="s">
        <v>34</v>
      </c>
      <c r="S57" s="13" t="s">
        <v>43</v>
      </c>
      <c r="T57" s="13" t="s">
        <v>36</v>
      </c>
      <c r="U57" s="13" t="s">
        <v>37</v>
      </c>
      <c r="V57" s="13" t="s">
        <v>38</v>
      </c>
      <c r="W57" s="13" t="s">
        <v>34</v>
      </c>
      <c r="X57" s="10">
        <v>0.25</v>
      </c>
      <c r="Y57" s="13">
        <v>1</v>
      </c>
      <c r="Z57" s="13" t="s">
        <v>39</v>
      </c>
      <c r="AA57" s="13" t="s">
        <v>34</v>
      </c>
      <c r="AB57" s="13"/>
      <c r="AC57" s="13" t="s">
        <v>40</v>
      </c>
      <c r="AD57" s="13" t="s">
        <v>32</v>
      </c>
      <c r="AE57" s="13">
        <v>0.46910000000000002</v>
      </c>
      <c r="AF57" s="21" t="s">
        <v>45</v>
      </c>
      <c r="AG57" s="13">
        <v>2013</v>
      </c>
      <c r="AH57" s="21" t="s">
        <v>46</v>
      </c>
      <c r="AI57" s="2" t="s">
        <v>43</v>
      </c>
      <c r="AJ57" s="2" t="s">
        <v>43</v>
      </c>
      <c r="AK57" s="2" t="s">
        <v>43</v>
      </c>
    </row>
    <row r="58" spans="1:37" x14ac:dyDescent="0.3">
      <c r="A58" s="11">
        <v>4.2857142857142803</v>
      </c>
      <c r="B58" s="11">
        <v>490.68322981366498</v>
      </c>
      <c r="C58" s="10" t="s">
        <v>33</v>
      </c>
      <c r="D58" s="10" t="s">
        <v>35</v>
      </c>
      <c r="E58" s="10" t="s">
        <v>170</v>
      </c>
      <c r="F58" s="10" t="s">
        <v>34</v>
      </c>
      <c r="G58" s="20">
        <v>0.16500000000000001</v>
      </c>
      <c r="H58" s="13" t="s">
        <v>34</v>
      </c>
      <c r="I58" s="13" t="s">
        <v>34</v>
      </c>
      <c r="J58" s="13" t="s">
        <v>34</v>
      </c>
      <c r="K58" s="13" t="s">
        <v>34</v>
      </c>
      <c r="L58" s="13" t="s">
        <v>34</v>
      </c>
      <c r="M58" s="13" t="s">
        <v>43</v>
      </c>
      <c r="N58" s="13" t="s">
        <v>43</v>
      </c>
      <c r="O58" s="13">
        <v>0.98750000000000004</v>
      </c>
      <c r="P58" s="13">
        <v>0.58499999999999996</v>
      </c>
      <c r="Q58" s="13">
        <v>0</v>
      </c>
      <c r="R58" s="13" t="s">
        <v>34</v>
      </c>
      <c r="S58" s="13" t="s">
        <v>43</v>
      </c>
      <c r="T58" s="13" t="s">
        <v>36</v>
      </c>
      <c r="U58" s="13" t="s">
        <v>37</v>
      </c>
      <c r="V58" s="13" t="s">
        <v>38</v>
      </c>
      <c r="W58" s="13" t="s">
        <v>34</v>
      </c>
      <c r="X58" s="10">
        <v>0.25</v>
      </c>
      <c r="Y58" s="13">
        <v>1</v>
      </c>
      <c r="Z58" s="13" t="s">
        <v>39</v>
      </c>
      <c r="AA58" s="13" t="s">
        <v>34</v>
      </c>
      <c r="AB58" s="13"/>
      <c r="AC58" s="13" t="s">
        <v>40</v>
      </c>
      <c r="AD58" s="13" t="s">
        <v>32</v>
      </c>
      <c r="AE58" s="13">
        <v>0.46910000000000002</v>
      </c>
      <c r="AF58" s="21" t="s">
        <v>45</v>
      </c>
      <c r="AG58" s="13">
        <v>2013</v>
      </c>
      <c r="AH58" s="21" t="s">
        <v>46</v>
      </c>
      <c r="AI58" s="2" t="s">
        <v>43</v>
      </c>
      <c r="AJ58" s="2" t="s">
        <v>43</v>
      </c>
      <c r="AK58" s="2" t="s">
        <v>43</v>
      </c>
    </row>
    <row r="59" spans="1:37" x14ac:dyDescent="0.3">
      <c r="A59" s="11">
        <v>4.76890756302521</v>
      </c>
      <c r="B59" s="11">
        <v>633.54037267080798</v>
      </c>
      <c r="C59" s="10" t="s">
        <v>33</v>
      </c>
      <c r="D59" s="10" t="s">
        <v>35</v>
      </c>
      <c r="E59" s="10" t="s">
        <v>170</v>
      </c>
      <c r="F59" s="10" t="s">
        <v>34</v>
      </c>
      <c r="G59" s="20">
        <v>0.16500000000000001</v>
      </c>
      <c r="H59" s="13" t="s">
        <v>34</v>
      </c>
      <c r="I59" s="13" t="s">
        <v>34</v>
      </c>
      <c r="J59" s="13" t="s">
        <v>34</v>
      </c>
      <c r="K59" s="13" t="s">
        <v>34</v>
      </c>
      <c r="L59" s="13" t="s">
        <v>34</v>
      </c>
      <c r="M59" s="13" t="s">
        <v>43</v>
      </c>
      <c r="N59" s="13" t="s">
        <v>43</v>
      </c>
      <c r="O59" s="13">
        <v>0.98750000000000004</v>
      </c>
      <c r="P59" s="13">
        <v>0.58499999999999996</v>
      </c>
      <c r="Q59" s="13">
        <v>0</v>
      </c>
      <c r="R59" s="13" t="s">
        <v>34</v>
      </c>
      <c r="S59" s="13" t="s">
        <v>43</v>
      </c>
      <c r="T59" s="13" t="s">
        <v>36</v>
      </c>
      <c r="U59" s="13" t="s">
        <v>37</v>
      </c>
      <c r="V59" s="13" t="s">
        <v>38</v>
      </c>
      <c r="W59" s="13" t="s">
        <v>34</v>
      </c>
      <c r="X59" s="10">
        <v>0.25</v>
      </c>
      <c r="Y59" s="13">
        <v>1</v>
      </c>
      <c r="Z59" s="13" t="s">
        <v>39</v>
      </c>
      <c r="AA59" s="13" t="s">
        <v>34</v>
      </c>
      <c r="AB59" s="13"/>
      <c r="AC59" s="13" t="s">
        <v>40</v>
      </c>
      <c r="AD59" s="13" t="s">
        <v>32</v>
      </c>
      <c r="AE59" s="13">
        <v>0.46910000000000002</v>
      </c>
      <c r="AF59" s="21" t="s">
        <v>45</v>
      </c>
      <c r="AG59" s="13">
        <v>2013</v>
      </c>
      <c r="AH59" s="21" t="s">
        <v>46</v>
      </c>
      <c r="AI59" s="2" t="s">
        <v>43</v>
      </c>
      <c r="AJ59" s="2" t="s">
        <v>43</v>
      </c>
      <c r="AK59" s="2" t="s">
        <v>43</v>
      </c>
    </row>
    <row r="60" spans="1:37" x14ac:dyDescent="0.3">
      <c r="A60" s="11">
        <v>4.8319327731092399</v>
      </c>
      <c r="B60" s="11">
        <v>534.16149068322898</v>
      </c>
      <c r="C60" s="10" t="s">
        <v>33</v>
      </c>
      <c r="D60" s="10" t="s">
        <v>35</v>
      </c>
      <c r="E60" s="10" t="s">
        <v>170</v>
      </c>
      <c r="F60" s="10" t="s">
        <v>34</v>
      </c>
      <c r="G60" s="20">
        <v>0.16500000000000001</v>
      </c>
      <c r="H60" s="13" t="s">
        <v>34</v>
      </c>
      <c r="I60" s="13" t="s">
        <v>34</v>
      </c>
      <c r="J60" s="13" t="s">
        <v>34</v>
      </c>
      <c r="K60" s="13" t="s">
        <v>34</v>
      </c>
      <c r="L60" s="13" t="s">
        <v>34</v>
      </c>
      <c r="M60" s="13" t="s">
        <v>43</v>
      </c>
      <c r="N60" s="13" t="s">
        <v>43</v>
      </c>
      <c r="O60" s="13">
        <v>0.98750000000000004</v>
      </c>
      <c r="P60" s="13">
        <v>0.58499999999999996</v>
      </c>
      <c r="Q60" s="13">
        <v>0</v>
      </c>
      <c r="R60" s="13" t="s">
        <v>34</v>
      </c>
      <c r="S60" s="13" t="s">
        <v>43</v>
      </c>
      <c r="T60" s="13" t="s">
        <v>36</v>
      </c>
      <c r="U60" s="13" t="s">
        <v>37</v>
      </c>
      <c r="V60" s="13" t="s">
        <v>38</v>
      </c>
      <c r="W60" s="13" t="s">
        <v>34</v>
      </c>
      <c r="X60" s="10">
        <v>0.25</v>
      </c>
      <c r="Y60" s="13">
        <v>1</v>
      </c>
      <c r="Z60" s="13" t="s">
        <v>39</v>
      </c>
      <c r="AA60" s="13" t="s">
        <v>34</v>
      </c>
      <c r="AB60" s="13"/>
      <c r="AC60" s="13" t="s">
        <v>40</v>
      </c>
      <c r="AD60" s="13" t="s">
        <v>32</v>
      </c>
      <c r="AE60" s="13">
        <v>0.46910000000000002</v>
      </c>
      <c r="AF60" s="21" t="s">
        <v>45</v>
      </c>
      <c r="AG60" s="13">
        <v>2013</v>
      </c>
      <c r="AH60" s="21" t="s">
        <v>46</v>
      </c>
      <c r="AI60" s="2" t="s">
        <v>43</v>
      </c>
      <c r="AJ60" s="2" t="s">
        <v>43</v>
      </c>
      <c r="AK60" s="2" t="s">
        <v>43</v>
      </c>
    </row>
    <row r="61" spans="1:37" x14ac:dyDescent="0.3">
      <c r="A61" s="11">
        <v>6.2605042016806696</v>
      </c>
      <c r="B61" s="11">
        <v>639.75155279503099</v>
      </c>
      <c r="C61" s="10" t="s">
        <v>33</v>
      </c>
      <c r="D61" s="10" t="s">
        <v>35</v>
      </c>
      <c r="E61" s="10" t="s">
        <v>170</v>
      </c>
      <c r="F61" s="10" t="s">
        <v>34</v>
      </c>
      <c r="G61" s="20">
        <v>0.16500000000000001</v>
      </c>
      <c r="H61" s="13" t="s">
        <v>34</v>
      </c>
      <c r="I61" s="13" t="s">
        <v>34</v>
      </c>
      <c r="J61" s="13" t="s">
        <v>34</v>
      </c>
      <c r="K61" s="13" t="s">
        <v>34</v>
      </c>
      <c r="L61" s="13" t="s">
        <v>34</v>
      </c>
      <c r="M61" s="13" t="s">
        <v>43</v>
      </c>
      <c r="N61" s="13" t="s">
        <v>43</v>
      </c>
      <c r="O61" s="13">
        <v>0.98750000000000004</v>
      </c>
      <c r="P61" s="13">
        <v>0.58499999999999996</v>
      </c>
      <c r="Q61" s="13">
        <v>0</v>
      </c>
      <c r="R61" s="13" t="s">
        <v>34</v>
      </c>
      <c r="S61" s="13" t="s">
        <v>43</v>
      </c>
      <c r="T61" s="13" t="s">
        <v>36</v>
      </c>
      <c r="U61" s="13" t="s">
        <v>37</v>
      </c>
      <c r="V61" s="13" t="s">
        <v>38</v>
      </c>
      <c r="W61" s="13" t="s">
        <v>34</v>
      </c>
      <c r="X61" s="10">
        <v>0.25</v>
      </c>
      <c r="Y61" s="13">
        <v>1</v>
      </c>
      <c r="Z61" s="13" t="s">
        <v>39</v>
      </c>
      <c r="AA61" s="13" t="s">
        <v>34</v>
      </c>
      <c r="AB61" s="13"/>
      <c r="AC61" s="13" t="s">
        <v>40</v>
      </c>
      <c r="AD61" s="13" t="s">
        <v>32</v>
      </c>
      <c r="AE61" s="13">
        <v>0.46910000000000002</v>
      </c>
      <c r="AF61" s="21" t="s">
        <v>45</v>
      </c>
      <c r="AG61" s="13">
        <v>2013</v>
      </c>
      <c r="AH61" s="21" t="s">
        <v>46</v>
      </c>
      <c r="AI61" s="2" t="s">
        <v>43</v>
      </c>
      <c r="AJ61" s="2" t="s">
        <v>43</v>
      </c>
      <c r="AK61" s="2" t="s">
        <v>43</v>
      </c>
    </row>
    <row r="62" spans="1:37" x14ac:dyDescent="0.3">
      <c r="A62" s="11">
        <v>6.2605042016806696</v>
      </c>
      <c r="B62" s="11">
        <v>571.42857142856997</v>
      </c>
      <c r="C62" s="10" t="s">
        <v>33</v>
      </c>
      <c r="D62" s="10" t="s">
        <v>35</v>
      </c>
      <c r="E62" s="10" t="s">
        <v>170</v>
      </c>
      <c r="F62" s="10" t="s">
        <v>34</v>
      </c>
      <c r="G62" s="20">
        <v>0.16500000000000001</v>
      </c>
      <c r="H62" s="13" t="s">
        <v>34</v>
      </c>
      <c r="I62" s="13" t="s">
        <v>34</v>
      </c>
      <c r="J62" s="13" t="s">
        <v>34</v>
      </c>
      <c r="K62" s="13" t="s">
        <v>34</v>
      </c>
      <c r="L62" s="13" t="s">
        <v>34</v>
      </c>
      <c r="M62" s="13" t="s">
        <v>43</v>
      </c>
      <c r="N62" s="13" t="s">
        <v>43</v>
      </c>
      <c r="O62" s="13">
        <v>0.98750000000000004</v>
      </c>
      <c r="P62" s="13">
        <v>0.58499999999999996</v>
      </c>
      <c r="Q62" s="13">
        <v>0</v>
      </c>
      <c r="R62" s="13" t="s">
        <v>34</v>
      </c>
      <c r="S62" s="13" t="s">
        <v>43</v>
      </c>
      <c r="T62" s="13" t="s">
        <v>36</v>
      </c>
      <c r="U62" s="13" t="s">
        <v>37</v>
      </c>
      <c r="V62" s="13" t="s">
        <v>38</v>
      </c>
      <c r="W62" s="13" t="s">
        <v>34</v>
      </c>
      <c r="X62" s="10">
        <v>0.25</v>
      </c>
      <c r="Y62" s="13">
        <v>1</v>
      </c>
      <c r="Z62" s="13" t="s">
        <v>39</v>
      </c>
      <c r="AA62" s="13" t="s">
        <v>34</v>
      </c>
      <c r="AB62" s="13"/>
      <c r="AC62" s="13" t="s">
        <v>40</v>
      </c>
      <c r="AD62" s="13" t="s">
        <v>32</v>
      </c>
      <c r="AE62" s="13">
        <v>0.46910000000000002</v>
      </c>
      <c r="AF62" s="21" t="s">
        <v>45</v>
      </c>
      <c r="AG62" s="13">
        <v>2013</v>
      </c>
      <c r="AH62" s="21" t="s">
        <v>46</v>
      </c>
      <c r="AI62" s="2" t="s">
        <v>43</v>
      </c>
      <c r="AJ62" s="2" t="s">
        <v>43</v>
      </c>
      <c r="AK62" s="2" t="s">
        <v>43</v>
      </c>
    </row>
    <row r="63" spans="1:37" x14ac:dyDescent="0.3">
      <c r="A63" s="11">
        <v>5.9033613445378101</v>
      </c>
      <c r="B63" s="11">
        <v>819.87577639751498</v>
      </c>
      <c r="C63" s="10" t="s">
        <v>33</v>
      </c>
      <c r="D63" s="10" t="s">
        <v>35</v>
      </c>
      <c r="E63" s="10" t="s">
        <v>170</v>
      </c>
      <c r="F63" s="10" t="s">
        <v>34</v>
      </c>
      <c r="G63" s="20">
        <v>0.16500000000000001</v>
      </c>
      <c r="H63" s="13" t="s">
        <v>34</v>
      </c>
      <c r="I63" s="13" t="s">
        <v>34</v>
      </c>
      <c r="J63" s="13" t="s">
        <v>34</v>
      </c>
      <c r="K63" s="13" t="s">
        <v>34</v>
      </c>
      <c r="L63" s="13" t="s">
        <v>34</v>
      </c>
      <c r="M63" s="13" t="s">
        <v>43</v>
      </c>
      <c r="N63" s="13" t="s">
        <v>43</v>
      </c>
      <c r="O63" s="13">
        <v>0.98750000000000004</v>
      </c>
      <c r="P63" s="13">
        <v>0.58499999999999996</v>
      </c>
      <c r="Q63" s="13">
        <v>0</v>
      </c>
      <c r="R63" s="13" t="s">
        <v>34</v>
      </c>
      <c r="S63" s="13" t="s">
        <v>43</v>
      </c>
      <c r="T63" s="13" t="s">
        <v>36</v>
      </c>
      <c r="U63" s="13" t="s">
        <v>37</v>
      </c>
      <c r="V63" s="13" t="s">
        <v>38</v>
      </c>
      <c r="W63" s="13" t="s">
        <v>34</v>
      </c>
      <c r="X63" s="10">
        <v>0.25</v>
      </c>
      <c r="Y63" s="13">
        <v>1</v>
      </c>
      <c r="Z63" s="13" t="s">
        <v>39</v>
      </c>
      <c r="AA63" s="13" t="s">
        <v>34</v>
      </c>
      <c r="AB63" s="13"/>
      <c r="AC63" s="13" t="s">
        <v>40</v>
      </c>
      <c r="AD63" s="13" t="s">
        <v>32</v>
      </c>
      <c r="AE63" s="13">
        <v>0.46910000000000002</v>
      </c>
      <c r="AF63" s="21" t="s">
        <v>45</v>
      </c>
      <c r="AG63" s="13">
        <v>2013</v>
      </c>
      <c r="AH63" s="21" t="s">
        <v>46</v>
      </c>
      <c r="AI63" s="2" t="s">
        <v>43</v>
      </c>
      <c r="AJ63" s="2" t="s">
        <v>43</v>
      </c>
      <c r="AK63" s="2" t="s">
        <v>43</v>
      </c>
    </row>
    <row r="64" spans="1:37" x14ac:dyDescent="0.3">
      <c r="A64" s="11">
        <v>6.3865546218487301</v>
      </c>
      <c r="B64" s="11">
        <v>869.56521739130403</v>
      </c>
      <c r="C64" s="10" t="s">
        <v>33</v>
      </c>
      <c r="D64" s="10" t="s">
        <v>35</v>
      </c>
      <c r="E64" s="10" t="s">
        <v>170</v>
      </c>
      <c r="F64" s="10" t="s">
        <v>34</v>
      </c>
      <c r="G64" s="20">
        <v>0.16500000000000001</v>
      </c>
      <c r="H64" s="13" t="s">
        <v>34</v>
      </c>
      <c r="I64" s="13" t="s">
        <v>34</v>
      </c>
      <c r="J64" s="13" t="s">
        <v>34</v>
      </c>
      <c r="K64" s="13" t="s">
        <v>34</v>
      </c>
      <c r="L64" s="13" t="s">
        <v>34</v>
      </c>
      <c r="M64" s="13" t="s">
        <v>43</v>
      </c>
      <c r="N64" s="13" t="s">
        <v>43</v>
      </c>
      <c r="O64" s="13">
        <v>0.98750000000000004</v>
      </c>
      <c r="P64" s="13">
        <v>0.58499999999999996</v>
      </c>
      <c r="Q64" s="13">
        <v>0</v>
      </c>
      <c r="R64" s="13" t="s">
        <v>34</v>
      </c>
      <c r="S64" s="13" t="s">
        <v>43</v>
      </c>
      <c r="T64" s="13" t="s">
        <v>36</v>
      </c>
      <c r="U64" s="13" t="s">
        <v>37</v>
      </c>
      <c r="V64" s="13" t="s">
        <v>38</v>
      </c>
      <c r="W64" s="13" t="s">
        <v>34</v>
      </c>
      <c r="X64" s="10">
        <v>0.25</v>
      </c>
      <c r="Y64" s="13">
        <v>1</v>
      </c>
      <c r="Z64" s="13" t="s">
        <v>39</v>
      </c>
      <c r="AA64" s="13" t="s">
        <v>34</v>
      </c>
      <c r="AB64" s="13"/>
      <c r="AC64" s="13" t="s">
        <v>40</v>
      </c>
      <c r="AD64" s="13" t="s">
        <v>32</v>
      </c>
      <c r="AE64" s="13">
        <v>0.46910000000000002</v>
      </c>
      <c r="AF64" s="21" t="s">
        <v>45</v>
      </c>
      <c r="AG64" s="13">
        <v>2013</v>
      </c>
      <c r="AH64" s="21" t="s">
        <v>46</v>
      </c>
      <c r="AI64" s="2" t="s">
        <v>43</v>
      </c>
      <c r="AJ64" s="2" t="s">
        <v>43</v>
      </c>
      <c r="AK64" s="2" t="s">
        <v>43</v>
      </c>
    </row>
    <row r="65" spans="1:37" x14ac:dyDescent="0.3">
      <c r="A65" s="11">
        <v>6.8907563025209999</v>
      </c>
      <c r="B65" s="11">
        <v>975.15527950310502</v>
      </c>
      <c r="C65" s="10" t="s">
        <v>33</v>
      </c>
      <c r="D65" s="10" t="s">
        <v>35</v>
      </c>
      <c r="E65" s="10" t="s">
        <v>170</v>
      </c>
      <c r="F65" s="10" t="s">
        <v>34</v>
      </c>
      <c r="G65" s="20">
        <v>0.16500000000000001</v>
      </c>
      <c r="H65" s="13" t="s">
        <v>34</v>
      </c>
      <c r="I65" s="13" t="s">
        <v>34</v>
      </c>
      <c r="J65" s="13" t="s">
        <v>34</v>
      </c>
      <c r="K65" s="13" t="s">
        <v>34</v>
      </c>
      <c r="L65" s="13" t="s">
        <v>34</v>
      </c>
      <c r="M65" s="13" t="s">
        <v>43</v>
      </c>
      <c r="N65" s="13" t="s">
        <v>43</v>
      </c>
      <c r="O65" s="13">
        <v>0.98750000000000004</v>
      </c>
      <c r="P65" s="13">
        <v>0.58499999999999996</v>
      </c>
      <c r="Q65" s="13">
        <v>0</v>
      </c>
      <c r="R65" s="13" t="s">
        <v>34</v>
      </c>
      <c r="S65" s="13" t="s">
        <v>43</v>
      </c>
      <c r="T65" s="13" t="s">
        <v>36</v>
      </c>
      <c r="U65" s="13" t="s">
        <v>37</v>
      </c>
      <c r="V65" s="13" t="s">
        <v>38</v>
      </c>
      <c r="W65" s="13" t="s">
        <v>34</v>
      </c>
      <c r="X65" s="10">
        <v>0.25</v>
      </c>
      <c r="Y65" s="13">
        <v>1</v>
      </c>
      <c r="Z65" s="13" t="s">
        <v>39</v>
      </c>
      <c r="AA65" s="13" t="s">
        <v>34</v>
      </c>
      <c r="AB65" s="13"/>
      <c r="AC65" s="13" t="s">
        <v>40</v>
      </c>
      <c r="AD65" s="13" t="s">
        <v>32</v>
      </c>
      <c r="AE65" s="13">
        <v>0.46910000000000002</v>
      </c>
      <c r="AF65" s="21" t="s">
        <v>45</v>
      </c>
      <c r="AG65" s="13">
        <v>2013</v>
      </c>
      <c r="AH65" s="21" t="s">
        <v>46</v>
      </c>
      <c r="AI65" s="2" t="s">
        <v>43</v>
      </c>
      <c r="AJ65" s="2" t="s">
        <v>43</v>
      </c>
      <c r="AK65" s="2" t="s">
        <v>43</v>
      </c>
    </row>
    <row r="66" spans="1:37" x14ac:dyDescent="0.3">
      <c r="A66" s="11">
        <v>6.3025210084033496</v>
      </c>
      <c r="B66" s="11">
        <v>1211.1801242235999</v>
      </c>
      <c r="C66" s="10" t="s">
        <v>33</v>
      </c>
      <c r="D66" s="10" t="s">
        <v>35</v>
      </c>
      <c r="E66" s="10" t="s">
        <v>170</v>
      </c>
      <c r="F66" s="10" t="s">
        <v>34</v>
      </c>
      <c r="G66" s="20">
        <v>0.16500000000000001</v>
      </c>
      <c r="H66" s="13" t="s">
        <v>34</v>
      </c>
      <c r="I66" s="13" t="s">
        <v>34</v>
      </c>
      <c r="J66" s="13" t="s">
        <v>34</v>
      </c>
      <c r="K66" s="13" t="s">
        <v>34</v>
      </c>
      <c r="L66" s="13" t="s">
        <v>34</v>
      </c>
      <c r="M66" s="13" t="s">
        <v>43</v>
      </c>
      <c r="N66" s="13" t="s">
        <v>43</v>
      </c>
      <c r="O66" s="13">
        <v>0.98750000000000004</v>
      </c>
      <c r="P66" s="13">
        <v>0.58499999999999996</v>
      </c>
      <c r="Q66" s="13">
        <v>0</v>
      </c>
      <c r="R66" s="13" t="s">
        <v>34</v>
      </c>
      <c r="S66" s="13" t="s">
        <v>43</v>
      </c>
      <c r="T66" s="13" t="s">
        <v>36</v>
      </c>
      <c r="U66" s="13" t="s">
        <v>37</v>
      </c>
      <c r="V66" s="13" t="s">
        <v>38</v>
      </c>
      <c r="W66" s="13" t="s">
        <v>34</v>
      </c>
      <c r="X66" s="10">
        <v>0.25</v>
      </c>
      <c r="Y66" s="13">
        <v>1</v>
      </c>
      <c r="Z66" s="13" t="s">
        <v>39</v>
      </c>
      <c r="AA66" s="13" t="s">
        <v>34</v>
      </c>
      <c r="AB66" s="13"/>
      <c r="AC66" s="13" t="s">
        <v>40</v>
      </c>
      <c r="AD66" s="13" t="s">
        <v>32</v>
      </c>
      <c r="AE66" s="13">
        <v>0.46910000000000002</v>
      </c>
      <c r="AF66" s="21" t="s">
        <v>45</v>
      </c>
      <c r="AG66" s="13">
        <v>2013</v>
      </c>
      <c r="AH66" s="21" t="s">
        <v>46</v>
      </c>
      <c r="AI66" s="2" t="s">
        <v>43</v>
      </c>
      <c r="AJ66" s="2" t="s">
        <v>43</v>
      </c>
      <c r="AK66" s="2" t="s">
        <v>43</v>
      </c>
    </row>
    <row r="67" spans="1:37" x14ac:dyDescent="0.3">
      <c r="A67" s="11">
        <v>5.71428571428571</v>
      </c>
      <c r="B67" s="11">
        <v>1422.3602484472001</v>
      </c>
      <c r="C67" s="10" t="s">
        <v>33</v>
      </c>
      <c r="D67" s="10" t="s">
        <v>35</v>
      </c>
      <c r="E67" s="10" t="s">
        <v>170</v>
      </c>
      <c r="F67" s="10" t="s">
        <v>34</v>
      </c>
      <c r="G67" s="20">
        <v>0.16500000000000001</v>
      </c>
      <c r="H67" s="13" t="s">
        <v>34</v>
      </c>
      <c r="I67" s="13" t="s">
        <v>34</v>
      </c>
      <c r="J67" s="13" t="s">
        <v>34</v>
      </c>
      <c r="K67" s="13" t="s">
        <v>34</v>
      </c>
      <c r="L67" s="13" t="s">
        <v>34</v>
      </c>
      <c r="M67" s="13" t="s">
        <v>43</v>
      </c>
      <c r="N67" s="13" t="s">
        <v>43</v>
      </c>
      <c r="O67" s="13">
        <v>0.98750000000000004</v>
      </c>
      <c r="P67" s="13">
        <v>0.58499999999999996</v>
      </c>
      <c r="Q67" s="13">
        <v>0</v>
      </c>
      <c r="R67" s="13" t="s">
        <v>34</v>
      </c>
      <c r="S67" s="13" t="s">
        <v>43</v>
      </c>
      <c r="T67" s="13" t="s">
        <v>36</v>
      </c>
      <c r="U67" s="13" t="s">
        <v>37</v>
      </c>
      <c r="V67" s="13" t="s">
        <v>38</v>
      </c>
      <c r="W67" s="13" t="s">
        <v>34</v>
      </c>
      <c r="X67" s="10">
        <v>0.25</v>
      </c>
      <c r="Y67" s="13">
        <v>1</v>
      </c>
      <c r="Z67" s="13" t="s">
        <v>39</v>
      </c>
      <c r="AA67" s="13" t="s">
        <v>34</v>
      </c>
      <c r="AB67" s="13"/>
      <c r="AC67" s="13" t="s">
        <v>40</v>
      </c>
      <c r="AD67" s="13" t="s">
        <v>32</v>
      </c>
      <c r="AE67" s="13">
        <v>0.46910000000000002</v>
      </c>
      <c r="AF67" s="21" t="s">
        <v>45</v>
      </c>
      <c r="AG67" s="13">
        <v>2013</v>
      </c>
      <c r="AH67" s="21" t="s">
        <v>46</v>
      </c>
      <c r="AI67" s="2" t="s">
        <v>43</v>
      </c>
      <c r="AJ67" s="2" t="s">
        <v>43</v>
      </c>
      <c r="AK67" s="2" t="s">
        <v>43</v>
      </c>
    </row>
    <row r="68" spans="1:37" x14ac:dyDescent="0.3">
      <c r="A68" s="11">
        <v>6.4705882352941204</v>
      </c>
      <c r="B68" s="11">
        <v>1360.24844720496</v>
      </c>
      <c r="C68" s="10" t="s">
        <v>33</v>
      </c>
      <c r="D68" s="10" t="s">
        <v>35</v>
      </c>
      <c r="E68" s="10" t="s">
        <v>170</v>
      </c>
      <c r="F68" s="10" t="s">
        <v>34</v>
      </c>
      <c r="G68" s="20">
        <v>0.16500000000000001</v>
      </c>
      <c r="H68" s="13" t="s">
        <v>34</v>
      </c>
      <c r="I68" s="13" t="s">
        <v>34</v>
      </c>
      <c r="J68" s="13" t="s">
        <v>34</v>
      </c>
      <c r="K68" s="13" t="s">
        <v>34</v>
      </c>
      <c r="L68" s="13" t="s">
        <v>34</v>
      </c>
      <c r="M68" s="13" t="s">
        <v>43</v>
      </c>
      <c r="N68" s="13" t="s">
        <v>43</v>
      </c>
      <c r="O68" s="13">
        <v>0.98750000000000004</v>
      </c>
      <c r="P68" s="13">
        <v>0.58499999999999996</v>
      </c>
      <c r="Q68" s="13">
        <v>0</v>
      </c>
      <c r="R68" s="13" t="s">
        <v>34</v>
      </c>
      <c r="S68" s="13" t="s">
        <v>43</v>
      </c>
      <c r="T68" s="13" t="s">
        <v>36</v>
      </c>
      <c r="U68" s="13" t="s">
        <v>37</v>
      </c>
      <c r="V68" s="13" t="s">
        <v>38</v>
      </c>
      <c r="W68" s="13" t="s">
        <v>34</v>
      </c>
      <c r="X68" s="10">
        <v>0.25</v>
      </c>
      <c r="Y68" s="13">
        <v>1</v>
      </c>
      <c r="Z68" s="13" t="s">
        <v>39</v>
      </c>
      <c r="AA68" s="13" t="s">
        <v>34</v>
      </c>
      <c r="AB68" s="13"/>
      <c r="AC68" s="13" t="s">
        <v>40</v>
      </c>
      <c r="AD68" s="13" t="s">
        <v>32</v>
      </c>
      <c r="AE68" s="13">
        <v>0.46910000000000002</v>
      </c>
      <c r="AF68" s="21" t="s">
        <v>45</v>
      </c>
      <c r="AG68" s="13">
        <v>2013</v>
      </c>
      <c r="AH68" s="21" t="s">
        <v>46</v>
      </c>
      <c r="AI68" s="2" t="s">
        <v>43</v>
      </c>
      <c r="AJ68" s="2" t="s">
        <v>43</v>
      </c>
      <c r="AK68" s="2" t="s">
        <v>43</v>
      </c>
    </row>
    <row r="69" spans="1:37" x14ac:dyDescent="0.3">
      <c r="A69" s="11">
        <v>3.23529411764705</v>
      </c>
      <c r="B69" s="11">
        <v>223.60248447205001</v>
      </c>
      <c r="C69" s="10" t="s">
        <v>33</v>
      </c>
      <c r="D69" s="10" t="s">
        <v>35</v>
      </c>
      <c r="E69" s="10" t="s">
        <v>170</v>
      </c>
      <c r="F69" s="10" t="s">
        <v>34</v>
      </c>
      <c r="G69" s="20">
        <v>0.16500000000000001</v>
      </c>
      <c r="H69" s="13" t="s">
        <v>34</v>
      </c>
      <c r="I69" s="13" t="s">
        <v>34</v>
      </c>
      <c r="J69" s="13" t="s">
        <v>34</v>
      </c>
      <c r="K69" s="13" t="s">
        <v>34</v>
      </c>
      <c r="L69" s="13" t="s">
        <v>34</v>
      </c>
      <c r="M69" s="13" t="s">
        <v>43</v>
      </c>
      <c r="N69" s="13" t="s">
        <v>43</v>
      </c>
      <c r="O69" s="13">
        <v>0.98750000000000004</v>
      </c>
      <c r="P69" s="13">
        <v>0.58499999999999996</v>
      </c>
      <c r="Q69" s="13">
        <v>0</v>
      </c>
      <c r="R69" s="13" t="s">
        <v>34</v>
      </c>
      <c r="S69" s="13" t="s">
        <v>43</v>
      </c>
      <c r="T69" s="13" t="s">
        <v>36</v>
      </c>
      <c r="U69" s="13" t="s">
        <v>37</v>
      </c>
      <c r="V69" s="13" t="s">
        <v>38</v>
      </c>
      <c r="W69" s="13" t="s">
        <v>34</v>
      </c>
      <c r="X69" s="10">
        <v>0.5</v>
      </c>
      <c r="Y69" s="13">
        <v>1</v>
      </c>
      <c r="Z69" s="13" t="s">
        <v>39</v>
      </c>
      <c r="AA69" s="13" t="s">
        <v>34</v>
      </c>
      <c r="AB69" s="13"/>
      <c r="AC69" s="13" t="s">
        <v>40</v>
      </c>
      <c r="AD69" s="13" t="s">
        <v>32</v>
      </c>
      <c r="AE69" s="13">
        <v>0.46910000000000002</v>
      </c>
      <c r="AF69" s="21" t="s">
        <v>45</v>
      </c>
      <c r="AG69" s="13">
        <v>2013</v>
      </c>
      <c r="AH69" s="21" t="s">
        <v>46</v>
      </c>
      <c r="AI69" s="2" t="s">
        <v>43</v>
      </c>
      <c r="AJ69" s="2" t="s">
        <v>43</v>
      </c>
      <c r="AK69" s="2" t="s">
        <v>43</v>
      </c>
    </row>
    <row r="70" spans="1:37" x14ac:dyDescent="0.3">
      <c r="A70" s="11">
        <v>3.23529411764705</v>
      </c>
      <c r="B70" s="11">
        <v>124.223602484472</v>
      </c>
      <c r="C70" s="10" t="s">
        <v>33</v>
      </c>
      <c r="D70" s="10" t="s">
        <v>35</v>
      </c>
      <c r="E70" s="10" t="s">
        <v>170</v>
      </c>
      <c r="F70" s="10" t="s">
        <v>34</v>
      </c>
      <c r="G70" s="20">
        <v>0.16500000000000001</v>
      </c>
      <c r="H70" s="13" t="s">
        <v>34</v>
      </c>
      <c r="I70" s="13" t="s">
        <v>34</v>
      </c>
      <c r="J70" s="13" t="s">
        <v>34</v>
      </c>
      <c r="K70" s="13" t="s">
        <v>34</v>
      </c>
      <c r="L70" s="13" t="s">
        <v>34</v>
      </c>
      <c r="M70" s="13" t="s">
        <v>43</v>
      </c>
      <c r="N70" s="13" t="s">
        <v>43</v>
      </c>
      <c r="O70" s="13">
        <v>0.98750000000000004</v>
      </c>
      <c r="P70" s="13">
        <v>0.58499999999999996</v>
      </c>
      <c r="Q70" s="13">
        <v>0</v>
      </c>
      <c r="R70" s="13" t="s">
        <v>34</v>
      </c>
      <c r="S70" s="13" t="s">
        <v>43</v>
      </c>
      <c r="T70" s="13" t="s">
        <v>36</v>
      </c>
      <c r="U70" s="13" t="s">
        <v>37</v>
      </c>
      <c r="V70" s="13" t="s">
        <v>38</v>
      </c>
      <c r="W70" s="13" t="s">
        <v>34</v>
      </c>
      <c r="X70" s="10">
        <v>0.5</v>
      </c>
      <c r="Y70" s="13">
        <v>1</v>
      </c>
      <c r="Z70" s="13" t="s">
        <v>39</v>
      </c>
      <c r="AA70" s="13" t="s">
        <v>34</v>
      </c>
      <c r="AB70" s="13"/>
      <c r="AC70" s="13" t="s">
        <v>40</v>
      </c>
      <c r="AD70" s="13" t="s">
        <v>32</v>
      </c>
      <c r="AE70" s="13">
        <v>0.46910000000000002</v>
      </c>
      <c r="AF70" s="21" t="s">
        <v>45</v>
      </c>
      <c r="AG70" s="13">
        <v>2013</v>
      </c>
      <c r="AH70" s="21" t="s">
        <v>46</v>
      </c>
      <c r="AI70" s="2" t="s">
        <v>43</v>
      </c>
      <c r="AJ70" s="2" t="s">
        <v>43</v>
      </c>
      <c r="AK70" s="2" t="s">
        <v>43</v>
      </c>
    </row>
    <row r="71" spans="1:37" x14ac:dyDescent="0.3">
      <c r="A71" s="11">
        <v>3.6344537815126001</v>
      </c>
      <c r="B71" s="11">
        <v>130.434782608695</v>
      </c>
      <c r="C71" s="10" t="s">
        <v>33</v>
      </c>
      <c r="D71" s="10" t="s">
        <v>35</v>
      </c>
      <c r="E71" s="10" t="s">
        <v>170</v>
      </c>
      <c r="F71" s="10" t="s">
        <v>34</v>
      </c>
      <c r="G71" s="20">
        <v>0.16500000000000001</v>
      </c>
      <c r="H71" s="13" t="s">
        <v>34</v>
      </c>
      <c r="I71" s="13" t="s">
        <v>34</v>
      </c>
      <c r="J71" s="13" t="s">
        <v>34</v>
      </c>
      <c r="K71" s="13" t="s">
        <v>34</v>
      </c>
      <c r="L71" s="13" t="s">
        <v>34</v>
      </c>
      <c r="M71" s="13" t="s">
        <v>43</v>
      </c>
      <c r="N71" s="13" t="s">
        <v>43</v>
      </c>
      <c r="O71" s="13">
        <v>0.98750000000000004</v>
      </c>
      <c r="P71" s="13">
        <v>0.58499999999999996</v>
      </c>
      <c r="Q71" s="13">
        <v>0</v>
      </c>
      <c r="R71" s="13" t="s">
        <v>34</v>
      </c>
      <c r="S71" s="13" t="s">
        <v>43</v>
      </c>
      <c r="T71" s="13" t="s">
        <v>36</v>
      </c>
      <c r="U71" s="13" t="s">
        <v>37</v>
      </c>
      <c r="V71" s="13" t="s">
        <v>38</v>
      </c>
      <c r="W71" s="13" t="s">
        <v>34</v>
      </c>
      <c r="X71" s="10">
        <v>0.5</v>
      </c>
      <c r="Y71" s="13">
        <v>1</v>
      </c>
      <c r="Z71" s="13" t="s">
        <v>39</v>
      </c>
      <c r="AA71" s="13" t="s">
        <v>34</v>
      </c>
      <c r="AB71" s="13"/>
      <c r="AC71" s="13" t="s">
        <v>40</v>
      </c>
      <c r="AD71" s="13" t="s">
        <v>32</v>
      </c>
      <c r="AE71" s="13">
        <v>0.46910000000000002</v>
      </c>
      <c r="AF71" s="21" t="s">
        <v>45</v>
      </c>
      <c r="AG71" s="13">
        <v>2013</v>
      </c>
      <c r="AH71" s="21" t="s">
        <v>46</v>
      </c>
      <c r="AI71" s="2" t="s">
        <v>43</v>
      </c>
      <c r="AJ71" s="2" t="s">
        <v>43</v>
      </c>
      <c r="AK71" s="2" t="s">
        <v>43</v>
      </c>
    </row>
    <row r="72" spans="1:37" x14ac:dyDescent="0.3">
      <c r="A72" s="11">
        <v>3.6764705882352802</v>
      </c>
      <c r="B72" s="11">
        <v>186.335403726707</v>
      </c>
      <c r="C72" s="10" t="s">
        <v>33</v>
      </c>
      <c r="D72" s="10" t="s">
        <v>35</v>
      </c>
      <c r="E72" s="10" t="s">
        <v>170</v>
      </c>
      <c r="F72" s="10" t="s">
        <v>34</v>
      </c>
      <c r="G72" s="20">
        <v>0.16500000000000001</v>
      </c>
      <c r="H72" s="13" t="s">
        <v>34</v>
      </c>
      <c r="I72" s="13" t="s">
        <v>34</v>
      </c>
      <c r="J72" s="13" t="s">
        <v>34</v>
      </c>
      <c r="K72" s="13" t="s">
        <v>34</v>
      </c>
      <c r="L72" s="13" t="s">
        <v>34</v>
      </c>
      <c r="M72" s="13" t="s">
        <v>43</v>
      </c>
      <c r="N72" s="13" t="s">
        <v>43</v>
      </c>
      <c r="O72" s="13">
        <v>0.98750000000000004</v>
      </c>
      <c r="P72" s="13">
        <v>0.58499999999999996</v>
      </c>
      <c r="Q72" s="13">
        <v>0</v>
      </c>
      <c r="R72" s="13" t="s">
        <v>34</v>
      </c>
      <c r="S72" s="13" t="s">
        <v>43</v>
      </c>
      <c r="T72" s="13" t="s">
        <v>36</v>
      </c>
      <c r="U72" s="13" t="s">
        <v>37</v>
      </c>
      <c r="V72" s="13" t="s">
        <v>38</v>
      </c>
      <c r="W72" s="13" t="s">
        <v>34</v>
      </c>
      <c r="X72" s="10">
        <v>0.5</v>
      </c>
      <c r="Y72" s="13">
        <v>1</v>
      </c>
      <c r="Z72" s="13" t="s">
        <v>39</v>
      </c>
      <c r="AA72" s="13" t="s">
        <v>34</v>
      </c>
      <c r="AB72" s="13"/>
      <c r="AC72" s="13" t="s">
        <v>40</v>
      </c>
      <c r="AD72" s="13" t="s">
        <v>32</v>
      </c>
      <c r="AE72" s="13">
        <v>0.46910000000000002</v>
      </c>
      <c r="AF72" s="21" t="s">
        <v>45</v>
      </c>
      <c r="AG72" s="13">
        <v>2013</v>
      </c>
      <c r="AH72" s="21" t="s">
        <v>46</v>
      </c>
      <c r="AI72" s="2" t="s">
        <v>43</v>
      </c>
      <c r="AJ72" s="2" t="s">
        <v>43</v>
      </c>
      <c r="AK72" s="2" t="s">
        <v>43</v>
      </c>
    </row>
    <row r="73" spans="1:37" x14ac:dyDescent="0.3">
      <c r="A73" s="11">
        <v>5.6302521008403303</v>
      </c>
      <c r="B73" s="11">
        <v>664.59627329192494</v>
      </c>
      <c r="C73" s="10" t="s">
        <v>33</v>
      </c>
      <c r="D73" s="10" t="s">
        <v>35</v>
      </c>
      <c r="E73" s="10" t="s">
        <v>170</v>
      </c>
      <c r="F73" s="10" t="s">
        <v>34</v>
      </c>
      <c r="G73" s="20">
        <v>0.16500000000000001</v>
      </c>
      <c r="H73" s="13" t="s">
        <v>34</v>
      </c>
      <c r="I73" s="13" t="s">
        <v>34</v>
      </c>
      <c r="J73" s="13" t="s">
        <v>34</v>
      </c>
      <c r="K73" s="13" t="s">
        <v>34</v>
      </c>
      <c r="L73" s="13" t="s">
        <v>34</v>
      </c>
      <c r="M73" s="13" t="s">
        <v>43</v>
      </c>
      <c r="N73" s="13" t="s">
        <v>43</v>
      </c>
      <c r="O73" s="13">
        <v>0.98750000000000004</v>
      </c>
      <c r="P73" s="13">
        <v>0.58499999999999996</v>
      </c>
      <c r="Q73" s="13">
        <v>0</v>
      </c>
      <c r="R73" s="13" t="s">
        <v>34</v>
      </c>
      <c r="S73" s="13" t="s">
        <v>43</v>
      </c>
      <c r="T73" s="13" t="s">
        <v>36</v>
      </c>
      <c r="U73" s="13" t="s">
        <v>37</v>
      </c>
      <c r="V73" s="13" t="s">
        <v>38</v>
      </c>
      <c r="W73" s="13" t="s">
        <v>34</v>
      </c>
      <c r="X73" s="10">
        <v>0.5</v>
      </c>
      <c r="Y73" s="13">
        <v>1</v>
      </c>
      <c r="Z73" s="13" t="s">
        <v>39</v>
      </c>
      <c r="AA73" s="13" t="s">
        <v>34</v>
      </c>
      <c r="AB73" s="13"/>
      <c r="AC73" s="13" t="s">
        <v>40</v>
      </c>
      <c r="AD73" s="13" t="s">
        <v>32</v>
      </c>
      <c r="AE73" s="13">
        <v>0.46910000000000002</v>
      </c>
      <c r="AF73" s="21" t="s">
        <v>45</v>
      </c>
      <c r="AG73" s="13">
        <v>2013</v>
      </c>
      <c r="AH73" s="21" t="s">
        <v>46</v>
      </c>
      <c r="AI73" s="2" t="s">
        <v>43</v>
      </c>
      <c r="AJ73" s="2" t="s">
        <v>43</v>
      </c>
      <c r="AK73" s="2" t="s">
        <v>43</v>
      </c>
    </row>
    <row r="74" spans="1:37" x14ac:dyDescent="0.3">
      <c r="A74" s="11">
        <v>4.9789915966386502</v>
      </c>
      <c r="B74" s="11">
        <v>931.67701863354205</v>
      </c>
      <c r="C74" s="10" t="s">
        <v>33</v>
      </c>
      <c r="D74" s="10" t="s">
        <v>35</v>
      </c>
      <c r="E74" s="10" t="s">
        <v>170</v>
      </c>
      <c r="F74" s="10" t="s">
        <v>34</v>
      </c>
      <c r="G74" s="20">
        <v>0.16500000000000001</v>
      </c>
      <c r="H74" s="13" t="s">
        <v>34</v>
      </c>
      <c r="I74" s="13" t="s">
        <v>34</v>
      </c>
      <c r="J74" s="13" t="s">
        <v>34</v>
      </c>
      <c r="K74" s="13" t="s">
        <v>34</v>
      </c>
      <c r="L74" s="13" t="s">
        <v>34</v>
      </c>
      <c r="M74" s="13" t="s">
        <v>43</v>
      </c>
      <c r="N74" s="13" t="s">
        <v>43</v>
      </c>
      <c r="O74" s="13">
        <v>0.98750000000000004</v>
      </c>
      <c r="P74" s="13">
        <v>0.58499999999999996</v>
      </c>
      <c r="Q74" s="13">
        <v>0</v>
      </c>
      <c r="R74" s="13" t="s">
        <v>34</v>
      </c>
      <c r="S74" s="13" t="s">
        <v>43</v>
      </c>
      <c r="T74" s="13" t="s">
        <v>36</v>
      </c>
      <c r="U74" s="13" t="s">
        <v>37</v>
      </c>
      <c r="V74" s="13" t="s">
        <v>38</v>
      </c>
      <c r="W74" s="13" t="s">
        <v>34</v>
      </c>
      <c r="X74" s="10">
        <v>0.5</v>
      </c>
      <c r="Y74" s="13">
        <v>1</v>
      </c>
      <c r="Z74" s="13" t="s">
        <v>39</v>
      </c>
      <c r="AA74" s="13" t="s">
        <v>34</v>
      </c>
      <c r="AB74" s="13"/>
      <c r="AC74" s="13" t="s">
        <v>40</v>
      </c>
      <c r="AD74" s="13" t="s">
        <v>32</v>
      </c>
      <c r="AE74" s="13">
        <v>0.46910000000000002</v>
      </c>
      <c r="AF74" s="21" t="s">
        <v>45</v>
      </c>
      <c r="AG74" s="13">
        <v>2013</v>
      </c>
      <c r="AH74" s="21" t="s">
        <v>46</v>
      </c>
      <c r="AI74" s="2" t="s">
        <v>43</v>
      </c>
      <c r="AJ74" s="2" t="s">
        <v>43</v>
      </c>
      <c r="AK74" s="2" t="s">
        <v>43</v>
      </c>
    </row>
    <row r="75" spans="1:37" x14ac:dyDescent="0.3">
      <c r="A75" s="11">
        <v>6.8487394957983101</v>
      </c>
      <c r="B75" s="11">
        <v>1273.29192546583</v>
      </c>
      <c r="C75" s="10" t="s">
        <v>33</v>
      </c>
      <c r="D75" s="10" t="s">
        <v>35</v>
      </c>
      <c r="E75" s="10" t="s">
        <v>170</v>
      </c>
      <c r="F75" s="10" t="s">
        <v>34</v>
      </c>
      <c r="G75" s="20">
        <v>0.16500000000000001</v>
      </c>
      <c r="H75" s="13" t="s">
        <v>34</v>
      </c>
      <c r="I75" s="13" t="s">
        <v>34</v>
      </c>
      <c r="J75" s="13" t="s">
        <v>34</v>
      </c>
      <c r="K75" s="13" t="s">
        <v>34</v>
      </c>
      <c r="L75" s="13" t="s">
        <v>34</v>
      </c>
      <c r="M75" s="13" t="s">
        <v>43</v>
      </c>
      <c r="N75" s="13" t="s">
        <v>43</v>
      </c>
      <c r="O75" s="13">
        <v>0.98750000000000004</v>
      </c>
      <c r="P75" s="13">
        <v>0.58499999999999996</v>
      </c>
      <c r="Q75" s="13">
        <v>0</v>
      </c>
      <c r="R75" s="13" t="s">
        <v>34</v>
      </c>
      <c r="S75" s="13" t="s">
        <v>43</v>
      </c>
      <c r="T75" s="13" t="s">
        <v>36</v>
      </c>
      <c r="U75" s="13" t="s">
        <v>37</v>
      </c>
      <c r="V75" s="13" t="s">
        <v>38</v>
      </c>
      <c r="W75" s="13" t="s">
        <v>34</v>
      </c>
      <c r="X75" s="10">
        <v>0.5</v>
      </c>
      <c r="Y75" s="13">
        <v>1</v>
      </c>
      <c r="Z75" s="13" t="s">
        <v>39</v>
      </c>
      <c r="AA75" s="13" t="s">
        <v>34</v>
      </c>
      <c r="AB75" s="13"/>
      <c r="AC75" s="13" t="s">
        <v>40</v>
      </c>
      <c r="AD75" s="13" t="s">
        <v>32</v>
      </c>
      <c r="AE75" s="13">
        <v>0.46910000000000002</v>
      </c>
      <c r="AF75" s="21" t="s">
        <v>45</v>
      </c>
      <c r="AG75" s="13">
        <v>2013</v>
      </c>
      <c r="AH75" s="21" t="s">
        <v>46</v>
      </c>
      <c r="AI75" s="2" t="s">
        <v>43</v>
      </c>
      <c r="AJ75" s="2" t="s">
        <v>43</v>
      </c>
      <c r="AK75" s="2" t="s">
        <v>43</v>
      </c>
    </row>
    <row r="76" spans="1:37" x14ac:dyDescent="0.3">
      <c r="A76" s="11">
        <v>8.1722689075630193</v>
      </c>
      <c r="B76" s="11">
        <v>1658.3850931677</v>
      </c>
      <c r="C76" s="10" t="s">
        <v>33</v>
      </c>
      <c r="D76" s="10" t="s">
        <v>35</v>
      </c>
      <c r="E76" s="10" t="s">
        <v>170</v>
      </c>
      <c r="F76" s="10" t="s">
        <v>34</v>
      </c>
      <c r="G76" s="20">
        <v>0.16500000000000001</v>
      </c>
      <c r="H76" s="13" t="s">
        <v>34</v>
      </c>
      <c r="I76" s="13" t="s">
        <v>34</v>
      </c>
      <c r="J76" s="13" t="s">
        <v>34</v>
      </c>
      <c r="K76" s="13" t="s">
        <v>34</v>
      </c>
      <c r="L76" s="13" t="s">
        <v>34</v>
      </c>
      <c r="M76" s="13" t="s">
        <v>43</v>
      </c>
      <c r="N76" s="13" t="s">
        <v>43</v>
      </c>
      <c r="O76" s="13">
        <v>0.98750000000000004</v>
      </c>
      <c r="P76" s="13">
        <v>0.58499999999999996</v>
      </c>
      <c r="Q76" s="13">
        <v>0</v>
      </c>
      <c r="R76" s="13" t="s">
        <v>34</v>
      </c>
      <c r="S76" s="13" t="s">
        <v>43</v>
      </c>
      <c r="T76" s="13" t="s">
        <v>36</v>
      </c>
      <c r="U76" s="13" t="s">
        <v>37</v>
      </c>
      <c r="V76" s="13" t="s">
        <v>38</v>
      </c>
      <c r="W76" s="13" t="s">
        <v>34</v>
      </c>
      <c r="X76" s="10">
        <v>0.5</v>
      </c>
      <c r="Y76" s="13">
        <v>1</v>
      </c>
      <c r="Z76" s="13" t="s">
        <v>39</v>
      </c>
      <c r="AA76" s="13" t="s">
        <v>34</v>
      </c>
      <c r="AB76" s="13"/>
      <c r="AC76" s="13" t="s">
        <v>40</v>
      </c>
      <c r="AD76" s="13" t="s">
        <v>32</v>
      </c>
      <c r="AE76" s="13">
        <v>0.46910000000000002</v>
      </c>
      <c r="AF76" s="21" t="s">
        <v>45</v>
      </c>
      <c r="AG76" s="13">
        <v>2013</v>
      </c>
      <c r="AH76" s="21" t="s">
        <v>46</v>
      </c>
      <c r="AI76" s="2" t="s">
        <v>43</v>
      </c>
      <c r="AJ76" s="2" t="s">
        <v>43</v>
      </c>
      <c r="AK76" s="2" t="s">
        <v>43</v>
      </c>
    </row>
    <row r="77" spans="1:37" x14ac:dyDescent="0.3">
      <c r="A77" s="11">
        <v>8.2983193277310896</v>
      </c>
      <c r="B77" s="11">
        <v>1267.0807453416101</v>
      </c>
      <c r="C77" s="10" t="s">
        <v>33</v>
      </c>
      <c r="D77" s="10" t="s">
        <v>35</v>
      </c>
      <c r="E77" s="10" t="s">
        <v>170</v>
      </c>
      <c r="F77" s="10" t="s">
        <v>34</v>
      </c>
      <c r="G77" s="20">
        <v>0.16500000000000001</v>
      </c>
      <c r="H77" s="13" t="s">
        <v>34</v>
      </c>
      <c r="I77" s="13" t="s">
        <v>34</v>
      </c>
      <c r="J77" s="13" t="s">
        <v>34</v>
      </c>
      <c r="K77" s="13" t="s">
        <v>34</v>
      </c>
      <c r="L77" s="13" t="s">
        <v>34</v>
      </c>
      <c r="M77" s="13" t="s">
        <v>43</v>
      </c>
      <c r="N77" s="13" t="s">
        <v>43</v>
      </c>
      <c r="O77" s="13">
        <v>0.98750000000000004</v>
      </c>
      <c r="P77" s="13">
        <v>0.58499999999999996</v>
      </c>
      <c r="Q77" s="13">
        <v>0</v>
      </c>
      <c r="R77" s="13" t="s">
        <v>34</v>
      </c>
      <c r="S77" s="13" t="s">
        <v>43</v>
      </c>
      <c r="T77" s="13" t="s">
        <v>36</v>
      </c>
      <c r="U77" s="13" t="s">
        <v>37</v>
      </c>
      <c r="V77" s="13" t="s">
        <v>38</v>
      </c>
      <c r="W77" s="13" t="s">
        <v>34</v>
      </c>
      <c r="X77" s="10">
        <v>0.5</v>
      </c>
      <c r="Y77" s="13">
        <v>1</v>
      </c>
      <c r="Z77" s="13" t="s">
        <v>39</v>
      </c>
      <c r="AA77" s="13" t="s">
        <v>34</v>
      </c>
      <c r="AB77" s="13"/>
      <c r="AC77" s="13" t="s">
        <v>40</v>
      </c>
      <c r="AD77" s="13" t="s">
        <v>32</v>
      </c>
      <c r="AE77" s="13">
        <v>0.46910000000000002</v>
      </c>
      <c r="AF77" s="21" t="s">
        <v>45</v>
      </c>
      <c r="AG77" s="13">
        <v>2013</v>
      </c>
      <c r="AH77" s="21" t="s">
        <v>46</v>
      </c>
      <c r="AI77" s="2" t="s">
        <v>43</v>
      </c>
      <c r="AJ77" s="2" t="s">
        <v>43</v>
      </c>
      <c r="AK77" s="2" t="s">
        <v>43</v>
      </c>
    </row>
    <row r="78" spans="1:37" x14ac:dyDescent="0.3">
      <c r="A78" s="11">
        <v>8.6554621848739401</v>
      </c>
      <c r="B78" s="11">
        <v>881.98757763975198</v>
      </c>
      <c r="C78" s="10" t="s">
        <v>33</v>
      </c>
      <c r="D78" s="10" t="s">
        <v>35</v>
      </c>
      <c r="E78" s="10" t="s">
        <v>170</v>
      </c>
      <c r="F78" s="10" t="s">
        <v>34</v>
      </c>
      <c r="G78" s="20">
        <v>0.16500000000000001</v>
      </c>
      <c r="H78" s="13" t="s">
        <v>34</v>
      </c>
      <c r="I78" s="13" t="s">
        <v>34</v>
      </c>
      <c r="J78" s="13" t="s">
        <v>34</v>
      </c>
      <c r="K78" s="13" t="s">
        <v>34</v>
      </c>
      <c r="L78" s="13" t="s">
        <v>34</v>
      </c>
      <c r="M78" s="13" t="s">
        <v>43</v>
      </c>
      <c r="N78" s="13" t="s">
        <v>43</v>
      </c>
      <c r="O78" s="13">
        <v>0.98750000000000004</v>
      </c>
      <c r="P78" s="13">
        <v>0.58499999999999996</v>
      </c>
      <c r="Q78" s="13">
        <v>0</v>
      </c>
      <c r="R78" s="13" t="s">
        <v>34</v>
      </c>
      <c r="S78" s="13" t="s">
        <v>43</v>
      </c>
      <c r="T78" s="13" t="s">
        <v>36</v>
      </c>
      <c r="U78" s="13" t="s">
        <v>37</v>
      </c>
      <c r="V78" s="13" t="s">
        <v>38</v>
      </c>
      <c r="W78" s="13" t="s">
        <v>34</v>
      </c>
      <c r="X78" s="10">
        <v>0.5</v>
      </c>
      <c r="Y78" s="13">
        <v>1</v>
      </c>
      <c r="Z78" s="13" t="s">
        <v>39</v>
      </c>
      <c r="AA78" s="13" t="s">
        <v>34</v>
      </c>
      <c r="AB78" s="13"/>
      <c r="AC78" s="13" t="s">
        <v>40</v>
      </c>
      <c r="AD78" s="13" t="s">
        <v>32</v>
      </c>
      <c r="AE78" s="13">
        <v>0.46910000000000002</v>
      </c>
      <c r="AF78" s="21" t="s">
        <v>45</v>
      </c>
      <c r="AG78" s="13">
        <v>2013</v>
      </c>
      <c r="AH78" s="21" t="s">
        <v>46</v>
      </c>
      <c r="AI78" s="2" t="s">
        <v>43</v>
      </c>
      <c r="AJ78" s="2" t="s">
        <v>43</v>
      </c>
      <c r="AK78" s="2" t="s">
        <v>43</v>
      </c>
    </row>
    <row r="79" spans="1:37" x14ac:dyDescent="0.3">
      <c r="A79" s="11">
        <v>8.6554621848739401</v>
      </c>
      <c r="B79" s="11">
        <v>832.29813664596395</v>
      </c>
      <c r="C79" s="10" t="s">
        <v>33</v>
      </c>
      <c r="D79" s="10" t="s">
        <v>35</v>
      </c>
      <c r="E79" s="10" t="s">
        <v>170</v>
      </c>
      <c r="F79" s="10" t="s">
        <v>34</v>
      </c>
      <c r="G79" s="20">
        <v>0.16500000000000001</v>
      </c>
      <c r="H79" s="13" t="s">
        <v>34</v>
      </c>
      <c r="I79" s="13" t="s">
        <v>34</v>
      </c>
      <c r="J79" s="13" t="s">
        <v>34</v>
      </c>
      <c r="K79" s="13" t="s">
        <v>34</v>
      </c>
      <c r="L79" s="13" t="s">
        <v>34</v>
      </c>
      <c r="M79" s="13" t="s">
        <v>43</v>
      </c>
      <c r="N79" s="13" t="s">
        <v>43</v>
      </c>
      <c r="O79" s="13">
        <v>0.98750000000000004</v>
      </c>
      <c r="P79" s="13">
        <v>0.58499999999999996</v>
      </c>
      <c r="Q79" s="13">
        <v>0</v>
      </c>
      <c r="R79" s="13" t="s">
        <v>34</v>
      </c>
      <c r="S79" s="13" t="s">
        <v>43</v>
      </c>
      <c r="T79" s="13" t="s">
        <v>36</v>
      </c>
      <c r="U79" s="13" t="s">
        <v>37</v>
      </c>
      <c r="V79" s="13" t="s">
        <v>38</v>
      </c>
      <c r="W79" s="13" t="s">
        <v>34</v>
      </c>
      <c r="X79" s="10">
        <v>0.5</v>
      </c>
      <c r="Y79" s="13">
        <v>1</v>
      </c>
      <c r="Z79" s="13" t="s">
        <v>39</v>
      </c>
      <c r="AA79" s="13" t="s">
        <v>34</v>
      </c>
      <c r="AB79" s="13"/>
      <c r="AC79" s="13" t="s">
        <v>40</v>
      </c>
      <c r="AD79" s="13" t="s">
        <v>32</v>
      </c>
      <c r="AE79" s="13">
        <v>0.46910000000000002</v>
      </c>
      <c r="AF79" s="21" t="s">
        <v>45</v>
      </c>
      <c r="AG79" s="13">
        <v>2013</v>
      </c>
      <c r="AH79" s="21" t="s">
        <v>46</v>
      </c>
      <c r="AI79" s="2" t="s">
        <v>43</v>
      </c>
      <c r="AJ79" s="2" t="s">
        <v>43</v>
      </c>
      <c r="AK79" s="2" t="s">
        <v>43</v>
      </c>
    </row>
    <row r="80" spans="1:37" x14ac:dyDescent="0.3">
      <c r="A80" s="11">
        <v>7.75210084033613</v>
      </c>
      <c r="B80" s="11">
        <v>683.22981366459499</v>
      </c>
      <c r="C80" s="10" t="s">
        <v>33</v>
      </c>
      <c r="D80" s="10" t="s">
        <v>35</v>
      </c>
      <c r="E80" s="10" t="s">
        <v>170</v>
      </c>
      <c r="F80" s="10" t="s">
        <v>34</v>
      </c>
      <c r="G80" s="20">
        <v>0.16500000000000001</v>
      </c>
      <c r="H80" s="13" t="s">
        <v>34</v>
      </c>
      <c r="I80" s="13" t="s">
        <v>34</v>
      </c>
      <c r="J80" s="13" t="s">
        <v>34</v>
      </c>
      <c r="K80" s="13" t="s">
        <v>34</v>
      </c>
      <c r="L80" s="13" t="s">
        <v>34</v>
      </c>
      <c r="M80" s="13" t="s">
        <v>43</v>
      </c>
      <c r="N80" s="13" t="s">
        <v>43</v>
      </c>
      <c r="O80" s="13">
        <v>0.98750000000000004</v>
      </c>
      <c r="P80" s="13">
        <v>0.58499999999999996</v>
      </c>
      <c r="Q80" s="13">
        <v>0</v>
      </c>
      <c r="R80" s="13" t="s">
        <v>34</v>
      </c>
      <c r="S80" s="13" t="s">
        <v>43</v>
      </c>
      <c r="T80" s="13" t="s">
        <v>36</v>
      </c>
      <c r="U80" s="13" t="s">
        <v>37</v>
      </c>
      <c r="V80" s="13" t="s">
        <v>38</v>
      </c>
      <c r="W80" s="13" t="s">
        <v>34</v>
      </c>
      <c r="X80" s="10">
        <v>0.5</v>
      </c>
      <c r="Y80" s="13">
        <v>1</v>
      </c>
      <c r="Z80" s="13" t="s">
        <v>39</v>
      </c>
      <c r="AA80" s="13" t="s">
        <v>34</v>
      </c>
      <c r="AB80" s="13"/>
      <c r="AC80" s="13" t="s">
        <v>40</v>
      </c>
      <c r="AD80" s="13" t="s">
        <v>32</v>
      </c>
      <c r="AE80" s="13">
        <v>0.46910000000000002</v>
      </c>
      <c r="AF80" s="21" t="s">
        <v>45</v>
      </c>
      <c r="AG80" s="13">
        <v>2013</v>
      </c>
      <c r="AH80" s="21" t="s">
        <v>46</v>
      </c>
      <c r="AI80" s="2" t="s">
        <v>43</v>
      </c>
      <c r="AJ80" s="2" t="s">
        <v>43</v>
      </c>
      <c r="AK80" s="2" t="s">
        <v>43</v>
      </c>
    </row>
    <row r="81" spans="1:37" x14ac:dyDescent="0.3">
      <c r="A81" s="11">
        <v>7.7100840336134402</v>
      </c>
      <c r="B81" s="11">
        <v>490.68322981366498</v>
      </c>
      <c r="C81" s="10" t="s">
        <v>33</v>
      </c>
      <c r="D81" s="10" t="s">
        <v>35</v>
      </c>
      <c r="E81" s="10" t="s">
        <v>170</v>
      </c>
      <c r="F81" s="10" t="s">
        <v>34</v>
      </c>
      <c r="G81" s="20">
        <v>0.16500000000000001</v>
      </c>
      <c r="H81" s="13" t="s">
        <v>34</v>
      </c>
      <c r="I81" s="13" t="s">
        <v>34</v>
      </c>
      <c r="J81" s="13" t="s">
        <v>34</v>
      </c>
      <c r="K81" s="13" t="s">
        <v>34</v>
      </c>
      <c r="L81" s="13" t="s">
        <v>34</v>
      </c>
      <c r="M81" s="13" t="s">
        <v>43</v>
      </c>
      <c r="N81" s="13" t="s">
        <v>43</v>
      </c>
      <c r="O81" s="13">
        <v>0.98750000000000004</v>
      </c>
      <c r="P81" s="13">
        <v>0.58499999999999996</v>
      </c>
      <c r="Q81" s="13">
        <v>0</v>
      </c>
      <c r="R81" s="13" t="s">
        <v>34</v>
      </c>
      <c r="S81" s="13" t="s">
        <v>43</v>
      </c>
      <c r="T81" s="13" t="s">
        <v>36</v>
      </c>
      <c r="U81" s="13" t="s">
        <v>37</v>
      </c>
      <c r="V81" s="13" t="s">
        <v>38</v>
      </c>
      <c r="W81" s="13" t="s">
        <v>34</v>
      </c>
      <c r="X81" s="10">
        <v>0.5</v>
      </c>
      <c r="Y81" s="13">
        <v>1</v>
      </c>
      <c r="Z81" s="13" t="s">
        <v>39</v>
      </c>
      <c r="AA81" s="13" t="s">
        <v>34</v>
      </c>
      <c r="AB81" s="13"/>
      <c r="AC81" s="13" t="s">
        <v>40</v>
      </c>
      <c r="AD81" s="13" t="s">
        <v>32</v>
      </c>
      <c r="AE81" s="13">
        <v>0.46910000000000002</v>
      </c>
      <c r="AF81" s="21" t="s">
        <v>45</v>
      </c>
      <c r="AG81" s="13">
        <v>2013</v>
      </c>
      <c r="AH81" s="21" t="s">
        <v>46</v>
      </c>
      <c r="AI81" s="2" t="s">
        <v>43</v>
      </c>
      <c r="AJ81" s="2" t="s">
        <v>43</v>
      </c>
      <c r="AK81" s="2" t="s">
        <v>43</v>
      </c>
    </row>
    <row r="82" spans="1:37" x14ac:dyDescent="0.3">
      <c r="A82" s="11">
        <v>6.0714285714285596</v>
      </c>
      <c r="B82" s="11">
        <v>540.37267080745301</v>
      </c>
      <c r="C82" s="10" t="s">
        <v>33</v>
      </c>
      <c r="D82" s="10" t="s">
        <v>35</v>
      </c>
      <c r="E82" s="10" t="s">
        <v>170</v>
      </c>
      <c r="F82" s="10" t="s">
        <v>34</v>
      </c>
      <c r="G82" s="20">
        <v>0.16500000000000001</v>
      </c>
      <c r="H82" s="13" t="s">
        <v>34</v>
      </c>
      <c r="I82" s="13" t="s">
        <v>34</v>
      </c>
      <c r="J82" s="13" t="s">
        <v>34</v>
      </c>
      <c r="K82" s="13" t="s">
        <v>34</v>
      </c>
      <c r="L82" s="13" t="s">
        <v>34</v>
      </c>
      <c r="M82" s="13" t="s">
        <v>43</v>
      </c>
      <c r="N82" s="13" t="s">
        <v>43</v>
      </c>
      <c r="O82" s="13">
        <v>0.98750000000000004</v>
      </c>
      <c r="P82" s="13">
        <v>0.58499999999999996</v>
      </c>
      <c r="Q82" s="13">
        <v>0</v>
      </c>
      <c r="R82" s="13" t="s">
        <v>34</v>
      </c>
      <c r="S82" s="13" t="s">
        <v>43</v>
      </c>
      <c r="T82" s="13" t="s">
        <v>36</v>
      </c>
      <c r="U82" s="13" t="s">
        <v>37</v>
      </c>
      <c r="V82" s="13" t="s">
        <v>38</v>
      </c>
      <c r="W82" s="13" t="s">
        <v>34</v>
      </c>
      <c r="X82" s="10">
        <v>0.5</v>
      </c>
      <c r="Y82" s="13">
        <v>1</v>
      </c>
      <c r="Z82" s="13" t="s">
        <v>39</v>
      </c>
      <c r="AA82" s="13" t="s">
        <v>34</v>
      </c>
      <c r="AB82" s="13"/>
      <c r="AC82" s="13" t="s">
        <v>40</v>
      </c>
      <c r="AD82" s="13" t="s">
        <v>32</v>
      </c>
      <c r="AE82" s="13">
        <v>0.46910000000000002</v>
      </c>
      <c r="AF82" s="21" t="s">
        <v>45</v>
      </c>
      <c r="AG82" s="13">
        <v>2013</v>
      </c>
      <c r="AH82" s="21" t="s">
        <v>46</v>
      </c>
      <c r="AI82" s="2" t="s">
        <v>43</v>
      </c>
      <c r="AJ82" s="2" t="s">
        <v>43</v>
      </c>
      <c r="AK82" s="2" t="s">
        <v>43</v>
      </c>
    </row>
    <row r="83" spans="1:37" x14ac:dyDescent="0.3">
      <c r="A83" s="11">
        <v>6.3025210084033603</v>
      </c>
      <c r="B83" s="11">
        <v>490.68322981366202</v>
      </c>
      <c r="C83" s="10" t="s">
        <v>33</v>
      </c>
      <c r="D83" s="10" t="s">
        <v>35</v>
      </c>
      <c r="E83" s="10" t="s">
        <v>170</v>
      </c>
      <c r="F83" s="10" t="s">
        <v>34</v>
      </c>
      <c r="G83" s="20">
        <v>0.16500000000000001</v>
      </c>
      <c r="H83" s="13" t="s">
        <v>34</v>
      </c>
      <c r="I83" s="13" t="s">
        <v>34</v>
      </c>
      <c r="J83" s="13" t="s">
        <v>34</v>
      </c>
      <c r="K83" s="13" t="s">
        <v>34</v>
      </c>
      <c r="L83" s="13" t="s">
        <v>34</v>
      </c>
      <c r="M83" s="13" t="s">
        <v>43</v>
      </c>
      <c r="N83" s="13" t="s">
        <v>43</v>
      </c>
      <c r="O83" s="13">
        <v>0.98750000000000004</v>
      </c>
      <c r="P83" s="13">
        <v>0.58499999999999996</v>
      </c>
      <c r="Q83" s="13">
        <v>0</v>
      </c>
      <c r="R83" s="13" t="s">
        <v>34</v>
      </c>
      <c r="S83" s="13" t="s">
        <v>43</v>
      </c>
      <c r="T83" s="13" t="s">
        <v>36</v>
      </c>
      <c r="U83" s="13" t="s">
        <v>37</v>
      </c>
      <c r="V83" s="13" t="s">
        <v>38</v>
      </c>
      <c r="W83" s="13" t="s">
        <v>34</v>
      </c>
      <c r="X83" s="10">
        <v>0.5</v>
      </c>
      <c r="Y83" s="13">
        <v>1</v>
      </c>
      <c r="Z83" s="13" t="s">
        <v>39</v>
      </c>
      <c r="AA83" s="13" t="s">
        <v>34</v>
      </c>
      <c r="AB83" s="13"/>
      <c r="AC83" s="13" t="s">
        <v>40</v>
      </c>
      <c r="AD83" s="13" t="s">
        <v>32</v>
      </c>
      <c r="AE83" s="13">
        <v>0.46910000000000002</v>
      </c>
      <c r="AF83" s="21" t="s">
        <v>45</v>
      </c>
      <c r="AG83" s="13">
        <v>2013</v>
      </c>
      <c r="AH83" s="21" t="s">
        <v>46</v>
      </c>
      <c r="AI83" s="2" t="s">
        <v>43</v>
      </c>
      <c r="AJ83" s="2" t="s">
        <v>43</v>
      </c>
      <c r="AK83" s="2" t="s">
        <v>43</v>
      </c>
    </row>
    <row r="84" spans="1:37" x14ac:dyDescent="0.3">
      <c r="A84" s="11">
        <v>5.7563025210083998</v>
      </c>
      <c r="B84" s="11">
        <v>832.29813664596202</v>
      </c>
      <c r="C84" s="10" t="s">
        <v>33</v>
      </c>
      <c r="D84" s="10" t="s">
        <v>35</v>
      </c>
      <c r="E84" s="10" t="s">
        <v>170</v>
      </c>
      <c r="F84" s="10" t="s">
        <v>34</v>
      </c>
      <c r="G84" s="20">
        <v>0.16500000000000001</v>
      </c>
      <c r="H84" s="13" t="s">
        <v>34</v>
      </c>
      <c r="I84" s="13" t="s">
        <v>34</v>
      </c>
      <c r="J84" s="13" t="s">
        <v>34</v>
      </c>
      <c r="K84" s="13" t="s">
        <v>34</v>
      </c>
      <c r="L84" s="13" t="s">
        <v>34</v>
      </c>
      <c r="M84" s="13" t="s">
        <v>43</v>
      </c>
      <c r="N84" s="13" t="s">
        <v>43</v>
      </c>
      <c r="O84" s="13">
        <v>0.98750000000000004</v>
      </c>
      <c r="P84" s="13">
        <v>0.58499999999999996</v>
      </c>
      <c r="Q84" s="13">
        <v>0</v>
      </c>
      <c r="R84" s="13" t="s">
        <v>34</v>
      </c>
      <c r="S84" s="13" t="s">
        <v>43</v>
      </c>
      <c r="T84" s="13" t="s">
        <v>36</v>
      </c>
      <c r="U84" s="13" t="s">
        <v>37</v>
      </c>
      <c r="V84" s="13" t="s">
        <v>38</v>
      </c>
      <c r="W84" s="13" t="s">
        <v>34</v>
      </c>
      <c r="X84" s="10">
        <v>1</v>
      </c>
      <c r="Y84" s="13">
        <v>1</v>
      </c>
      <c r="Z84" s="13" t="s">
        <v>39</v>
      </c>
      <c r="AA84" s="13" t="s">
        <v>34</v>
      </c>
      <c r="AB84" s="13"/>
      <c r="AC84" s="13" t="s">
        <v>40</v>
      </c>
      <c r="AD84" s="13" t="s">
        <v>32</v>
      </c>
      <c r="AE84" s="13">
        <v>0.46910000000000002</v>
      </c>
      <c r="AF84" s="21" t="s">
        <v>45</v>
      </c>
      <c r="AG84" s="13">
        <v>2013</v>
      </c>
      <c r="AH84" s="21" t="s">
        <v>46</v>
      </c>
      <c r="AI84" s="2" t="s">
        <v>43</v>
      </c>
      <c r="AJ84" s="2" t="s">
        <v>43</v>
      </c>
      <c r="AK84" s="2" t="s">
        <v>43</v>
      </c>
    </row>
    <row r="85" spans="1:37" s="15" customFormat="1" ht="16.2" thickBot="1" x14ac:dyDescent="0.35">
      <c r="A85" s="17">
        <v>4.5798319327731001</v>
      </c>
      <c r="B85" s="17">
        <v>440.99378881987502</v>
      </c>
      <c r="C85" s="14" t="s">
        <v>33</v>
      </c>
      <c r="D85" s="14" t="s">
        <v>35</v>
      </c>
      <c r="E85" s="10" t="s">
        <v>170</v>
      </c>
      <c r="F85" s="14" t="s">
        <v>34</v>
      </c>
      <c r="G85" s="22">
        <v>0.16500000000000001</v>
      </c>
      <c r="H85" s="18" t="s">
        <v>34</v>
      </c>
      <c r="I85" s="18" t="s">
        <v>34</v>
      </c>
      <c r="J85" s="18" t="s">
        <v>34</v>
      </c>
      <c r="K85" s="18" t="s">
        <v>34</v>
      </c>
      <c r="L85" s="18" t="s">
        <v>34</v>
      </c>
      <c r="M85" s="18" t="s">
        <v>43</v>
      </c>
      <c r="N85" s="18" t="s">
        <v>43</v>
      </c>
      <c r="O85" s="18">
        <v>0.98750000000000004</v>
      </c>
      <c r="P85" s="18">
        <v>0.58499999999999996</v>
      </c>
      <c r="Q85" s="18">
        <v>0</v>
      </c>
      <c r="R85" s="18" t="s">
        <v>34</v>
      </c>
      <c r="S85" s="18" t="s">
        <v>43</v>
      </c>
      <c r="T85" s="18" t="s">
        <v>36</v>
      </c>
      <c r="U85" s="18" t="s">
        <v>37</v>
      </c>
      <c r="V85" s="18" t="s">
        <v>38</v>
      </c>
      <c r="W85" s="18" t="s">
        <v>34</v>
      </c>
      <c r="X85" s="14">
        <v>1</v>
      </c>
      <c r="Y85" s="18">
        <v>1</v>
      </c>
      <c r="Z85" s="18" t="s">
        <v>39</v>
      </c>
      <c r="AA85" s="18" t="s">
        <v>34</v>
      </c>
      <c r="AB85" s="18"/>
      <c r="AC85" s="18" t="s">
        <v>40</v>
      </c>
      <c r="AD85" s="18" t="s">
        <v>32</v>
      </c>
      <c r="AE85" s="18">
        <v>0.46910000000000002</v>
      </c>
      <c r="AF85" s="23" t="s">
        <v>45</v>
      </c>
      <c r="AG85" s="18">
        <v>2013</v>
      </c>
      <c r="AH85" s="23" t="s">
        <v>46</v>
      </c>
      <c r="AI85" s="34" t="s">
        <v>43</v>
      </c>
      <c r="AJ85" s="34" t="s">
        <v>43</v>
      </c>
      <c r="AK85" s="34" t="s">
        <v>43</v>
      </c>
    </row>
    <row r="86" spans="1:37" x14ac:dyDescent="0.3">
      <c r="A86" s="12">
        <v>1.87045938503582</v>
      </c>
      <c r="B86" s="12">
        <v>122.88088665752601</v>
      </c>
      <c r="C86" s="13" t="s">
        <v>33</v>
      </c>
      <c r="D86" s="13" t="s">
        <v>47</v>
      </c>
      <c r="E86" s="10" t="s">
        <v>170</v>
      </c>
      <c r="F86" s="13" t="s">
        <v>34</v>
      </c>
      <c r="G86" s="13">
        <v>0.46</v>
      </c>
      <c r="H86" s="13" t="s">
        <v>34</v>
      </c>
      <c r="I86" s="13" t="s">
        <v>34</v>
      </c>
      <c r="J86" s="13" t="s">
        <v>34</v>
      </c>
      <c r="K86" s="13" t="s">
        <v>34</v>
      </c>
      <c r="L86" s="13">
        <v>0</v>
      </c>
      <c r="M86" s="13">
        <v>48.5</v>
      </c>
      <c r="N86" s="13">
        <v>1610</v>
      </c>
      <c r="O86" s="13" t="s">
        <v>34</v>
      </c>
      <c r="P86" s="13" t="s">
        <v>34</v>
      </c>
      <c r="Q86" s="13" t="s">
        <v>34</v>
      </c>
      <c r="R86" s="13" t="s">
        <v>34</v>
      </c>
      <c r="S86" s="20">
        <f>0.001/100</f>
        <v>1.0000000000000001E-5</v>
      </c>
      <c r="T86" s="13" t="s">
        <v>36</v>
      </c>
      <c r="U86" s="13" t="s">
        <v>37</v>
      </c>
      <c r="V86" s="20" t="s">
        <v>48</v>
      </c>
      <c r="W86" s="13" t="s">
        <v>34</v>
      </c>
      <c r="X86" s="13" t="s">
        <v>43</v>
      </c>
      <c r="Y86" s="13">
        <v>1</v>
      </c>
      <c r="Z86" s="13" t="s">
        <v>39</v>
      </c>
      <c r="AA86" s="13" t="s">
        <v>43</v>
      </c>
      <c r="AB86" s="13">
        <v>6</v>
      </c>
      <c r="AC86" s="13" t="s">
        <v>53</v>
      </c>
      <c r="AD86" s="13" t="s">
        <v>32</v>
      </c>
      <c r="AE86" s="13">
        <v>0.9</v>
      </c>
      <c r="AF86" s="21" t="s">
        <v>125</v>
      </c>
      <c r="AG86" s="13">
        <v>2014</v>
      </c>
      <c r="AH86" s="21" t="s">
        <v>126</v>
      </c>
      <c r="AI86" s="2">
        <v>51</v>
      </c>
      <c r="AJ86" s="2">
        <v>2</v>
      </c>
      <c r="AK86" s="2">
        <v>1.5</v>
      </c>
    </row>
    <row r="87" spans="1:37" x14ac:dyDescent="0.3">
      <c r="A87" s="11">
        <v>1.97469671431841</v>
      </c>
      <c r="B87" s="11">
        <v>77.259809625575201</v>
      </c>
      <c r="C87" s="13" t="s">
        <v>33</v>
      </c>
      <c r="D87" s="13" t="s">
        <v>47</v>
      </c>
      <c r="E87" s="10" t="s">
        <v>170</v>
      </c>
      <c r="F87" s="13" t="s">
        <v>34</v>
      </c>
      <c r="G87" s="13">
        <v>0.46</v>
      </c>
      <c r="H87" s="13" t="s">
        <v>34</v>
      </c>
      <c r="I87" s="13" t="s">
        <v>34</v>
      </c>
      <c r="J87" s="13" t="s">
        <v>34</v>
      </c>
      <c r="K87" s="13" t="s">
        <v>34</v>
      </c>
      <c r="L87" s="13">
        <v>0</v>
      </c>
      <c r="M87" s="13">
        <v>48.5</v>
      </c>
      <c r="N87" s="13">
        <v>1610</v>
      </c>
      <c r="O87" s="13" t="s">
        <v>34</v>
      </c>
      <c r="P87" s="13" t="s">
        <v>34</v>
      </c>
      <c r="Q87" s="13" t="s">
        <v>34</v>
      </c>
      <c r="R87" s="13" t="s">
        <v>34</v>
      </c>
      <c r="S87" s="20">
        <f t="shared" ref="S87:S150" si="1">0.001/100</f>
        <v>1.0000000000000001E-5</v>
      </c>
      <c r="T87" s="13" t="s">
        <v>36</v>
      </c>
      <c r="U87" s="13" t="s">
        <v>37</v>
      </c>
      <c r="V87" s="20" t="s">
        <v>48</v>
      </c>
      <c r="W87" s="13" t="s">
        <v>34</v>
      </c>
      <c r="X87" s="13" t="s">
        <v>43</v>
      </c>
      <c r="Y87" s="13">
        <v>1</v>
      </c>
      <c r="Z87" s="13" t="s">
        <v>39</v>
      </c>
      <c r="AA87" s="13" t="s">
        <v>43</v>
      </c>
      <c r="AB87" s="13">
        <v>6</v>
      </c>
      <c r="AC87" s="13" t="s">
        <v>54</v>
      </c>
      <c r="AD87" s="13" t="s">
        <v>32</v>
      </c>
      <c r="AE87" s="13">
        <v>0.9</v>
      </c>
      <c r="AF87" s="21" t="s">
        <v>125</v>
      </c>
      <c r="AG87" s="13">
        <v>2014</v>
      </c>
      <c r="AH87" s="21" t="s">
        <v>126</v>
      </c>
      <c r="AI87" s="2">
        <v>51</v>
      </c>
      <c r="AJ87" s="2">
        <v>2</v>
      </c>
      <c r="AK87" s="2">
        <v>1.5</v>
      </c>
    </row>
    <row r="88" spans="1:37" x14ac:dyDescent="0.3">
      <c r="A88" s="11">
        <v>2.1190253240943</v>
      </c>
      <c r="B88" s="11">
        <v>157.41555954267</v>
      </c>
      <c r="C88" s="13" t="s">
        <v>33</v>
      </c>
      <c r="D88" s="13" t="s">
        <v>47</v>
      </c>
      <c r="E88" s="10" t="s">
        <v>170</v>
      </c>
      <c r="F88" s="13" t="s">
        <v>34</v>
      </c>
      <c r="G88" s="13">
        <v>0.46</v>
      </c>
      <c r="H88" s="13" t="s">
        <v>34</v>
      </c>
      <c r="I88" s="13" t="s">
        <v>34</v>
      </c>
      <c r="J88" s="13" t="s">
        <v>34</v>
      </c>
      <c r="K88" s="13" t="s">
        <v>34</v>
      </c>
      <c r="L88" s="13">
        <v>0</v>
      </c>
      <c r="M88" s="13">
        <v>48.5</v>
      </c>
      <c r="N88" s="13">
        <v>1610</v>
      </c>
      <c r="O88" s="13" t="s">
        <v>34</v>
      </c>
      <c r="P88" s="13" t="s">
        <v>34</v>
      </c>
      <c r="Q88" s="13" t="s">
        <v>34</v>
      </c>
      <c r="R88" s="13" t="s">
        <v>34</v>
      </c>
      <c r="S88" s="20">
        <f t="shared" si="1"/>
        <v>1.0000000000000001E-5</v>
      </c>
      <c r="T88" s="13" t="s">
        <v>36</v>
      </c>
      <c r="U88" s="13" t="s">
        <v>37</v>
      </c>
      <c r="V88" s="20" t="s">
        <v>48</v>
      </c>
      <c r="W88" s="13" t="s">
        <v>34</v>
      </c>
      <c r="X88" s="13" t="s">
        <v>43</v>
      </c>
      <c r="Y88" s="13">
        <v>1</v>
      </c>
      <c r="Z88" s="13" t="s">
        <v>39</v>
      </c>
      <c r="AA88" s="13" t="s">
        <v>43</v>
      </c>
      <c r="AB88" s="13">
        <v>6</v>
      </c>
      <c r="AC88" s="13" t="s">
        <v>55</v>
      </c>
      <c r="AD88" s="13" t="s">
        <v>32</v>
      </c>
      <c r="AE88" s="13">
        <v>0.9</v>
      </c>
      <c r="AF88" s="21" t="s">
        <v>125</v>
      </c>
      <c r="AG88" s="13">
        <v>2014</v>
      </c>
      <c r="AH88" s="21" t="s">
        <v>126</v>
      </c>
      <c r="AI88" s="2">
        <v>51</v>
      </c>
      <c r="AJ88" s="2">
        <v>2</v>
      </c>
      <c r="AK88" s="2">
        <v>1.5</v>
      </c>
    </row>
    <row r="89" spans="1:37" x14ac:dyDescent="0.3">
      <c r="A89" s="11">
        <v>2.1080913385052198</v>
      </c>
      <c r="B89" s="11">
        <v>113.99703559549199</v>
      </c>
      <c r="C89" s="13" t="s">
        <v>33</v>
      </c>
      <c r="D89" s="13" t="s">
        <v>47</v>
      </c>
      <c r="E89" s="10" t="s">
        <v>170</v>
      </c>
      <c r="F89" s="13" t="s">
        <v>34</v>
      </c>
      <c r="G89" s="13">
        <v>0.46</v>
      </c>
      <c r="H89" s="13" t="s">
        <v>34</v>
      </c>
      <c r="I89" s="13" t="s">
        <v>34</v>
      </c>
      <c r="J89" s="13" t="s">
        <v>34</v>
      </c>
      <c r="K89" s="13" t="s">
        <v>34</v>
      </c>
      <c r="L89" s="13">
        <v>0</v>
      </c>
      <c r="M89" s="13">
        <v>48.5</v>
      </c>
      <c r="N89" s="13">
        <v>1610</v>
      </c>
      <c r="O89" s="13" t="s">
        <v>34</v>
      </c>
      <c r="P89" s="13" t="s">
        <v>34</v>
      </c>
      <c r="Q89" s="13" t="s">
        <v>34</v>
      </c>
      <c r="R89" s="13" t="s">
        <v>34</v>
      </c>
      <c r="S89" s="20">
        <f t="shared" si="1"/>
        <v>1.0000000000000001E-5</v>
      </c>
      <c r="T89" s="13" t="s">
        <v>36</v>
      </c>
      <c r="U89" s="13" t="s">
        <v>37</v>
      </c>
      <c r="V89" s="20" t="s">
        <v>48</v>
      </c>
      <c r="W89" s="13" t="s">
        <v>34</v>
      </c>
      <c r="X89" s="13" t="s">
        <v>43</v>
      </c>
      <c r="Y89" s="13">
        <v>1</v>
      </c>
      <c r="Z89" s="13" t="s">
        <v>39</v>
      </c>
      <c r="AA89" s="13" t="s">
        <v>43</v>
      </c>
      <c r="AB89" s="13">
        <v>6</v>
      </c>
      <c r="AC89" s="13" t="s">
        <v>56</v>
      </c>
      <c r="AD89" s="13" t="s">
        <v>32</v>
      </c>
      <c r="AE89" s="13">
        <v>0.9</v>
      </c>
      <c r="AF89" s="21" t="s">
        <v>125</v>
      </c>
      <c r="AG89" s="13">
        <v>2014</v>
      </c>
      <c r="AH89" s="21" t="s">
        <v>126</v>
      </c>
      <c r="AI89" s="2">
        <v>51</v>
      </c>
      <c r="AJ89" s="2">
        <v>2</v>
      </c>
      <c r="AK89" s="2">
        <v>1.5</v>
      </c>
    </row>
    <row r="90" spans="1:37" x14ac:dyDescent="0.3">
      <c r="A90" s="11">
        <v>2.3716003912021102</v>
      </c>
      <c r="B90" s="11">
        <v>158.60510814396201</v>
      </c>
      <c r="C90" s="13" t="s">
        <v>33</v>
      </c>
      <c r="D90" s="13" t="s">
        <v>47</v>
      </c>
      <c r="E90" s="10" t="s">
        <v>170</v>
      </c>
      <c r="F90" s="13" t="s">
        <v>34</v>
      </c>
      <c r="G90" s="13">
        <v>0.46</v>
      </c>
      <c r="H90" s="13" t="s">
        <v>34</v>
      </c>
      <c r="I90" s="13" t="s">
        <v>34</v>
      </c>
      <c r="J90" s="13" t="s">
        <v>34</v>
      </c>
      <c r="K90" s="13" t="s">
        <v>34</v>
      </c>
      <c r="L90" s="13">
        <v>0</v>
      </c>
      <c r="M90" s="13">
        <v>48.5</v>
      </c>
      <c r="N90" s="13">
        <v>1610</v>
      </c>
      <c r="O90" s="13" t="s">
        <v>34</v>
      </c>
      <c r="P90" s="13" t="s">
        <v>34</v>
      </c>
      <c r="Q90" s="13" t="s">
        <v>34</v>
      </c>
      <c r="R90" s="13" t="s">
        <v>34</v>
      </c>
      <c r="S90" s="20">
        <f t="shared" si="1"/>
        <v>1.0000000000000001E-5</v>
      </c>
      <c r="T90" s="13" t="s">
        <v>36</v>
      </c>
      <c r="U90" s="13" t="s">
        <v>37</v>
      </c>
      <c r="V90" s="20" t="s">
        <v>48</v>
      </c>
      <c r="W90" s="13" t="s">
        <v>34</v>
      </c>
      <c r="X90" s="13" t="s">
        <v>43</v>
      </c>
      <c r="Y90" s="13">
        <v>1</v>
      </c>
      <c r="Z90" s="13" t="s">
        <v>39</v>
      </c>
      <c r="AA90" s="13" t="s">
        <v>43</v>
      </c>
      <c r="AB90" s="13">
        <v>6</v>
      </c>
      <c r="AC90" s="13" t="s">
        <v>57</v>
      </c>
      <c r="AD90" s="13" t="s">
        <v>32</v>
      </c>
      <c r="AE90" s="13">
        <v>0.9</v>
      </c>
      <c r="AF90" s="21" t="s">
        <v>125</v>
      </c>
      <c r="AG90" s="13">
        <v>2014</v>
      </c>
      <c r="AH90" s="21" t="s">
        <v>126</v>
      </c>
      <c r="AI90" s="2">
        <v>51</v>
      </c>
      <c r="AJ90" s="2">
        <v>2</v>
      </c>
      <c r="AK90" s="2">
        <v>1.5</v>
      </c>
    </row>
    <row r="91" spans="1:37" x14ac:dyDescent="0.3">
      <c r="A91" s="11">
        <v>2.6241754583099199</v>
      </c>
      <c r="B91" s="11">
        <v>206.58356839609399</v>
      </c>
      <c r="C91" s="13" t="s">
        <v>33</v>
      </c>
      <c r="D91" s="13" t="s">
        <v>47</v>
      </c>
      <c r="E91" s="10" t="s">
        <v>170</v>
      </c>
      <c r="F91" s="13" t="s">
        <v>34</v>
      </c>
      <c r="G91" s="13">
        <v>0.46</v>
      </c>
      <c r="H91" s="13" t="s">
        <v>34</v>
      </c>
      <c r="I91" s="13" t="s">
        <v>34</v>
      </c>
      <c r="J91" s="13" t="s">
        <v>34</v>
      </c>
      <c r="K91" s="13" t="s">
        <v>34</v>
      </c>
      <c r="L91" s="13">
        <v>0</v>
      </c>
      <c r="M91" s="13">
        <v>48.5</v>
      </c>
      <c r="N91" s="13">
        <v>1610</v>
      </c>
      <c r="O91" s="13" t="s">
        <v>34</v>
      </c>
      <c r="P91" s="13" t="s">
        <v>34</v>
      </c>
      <c r="Q91" s="13" t="s">
        <v>34</v>
      </c>
      <c r="R91" s="13" t="s">
        <v>34</v>
      </c>
      <c r="S91" s="20">
        <f t="shared" si="1"/>
        <v>1.0000000000000001E-5</v>
      </c>
      <c r="T91" s="13" t="s">
        <v>36</v>
      </c>
      <c r="U91" s="13" t="s">
        <v>37</v>
      </c>
      <c r="V91" s="20" t="s">
        <v>48</v>
      </c>
      <c r="W91" s="13" t="s">
        <v>34</v>
      </c>
      <c r="X91" s="13" t="s">
        <v>43</v>
      </c>
      <c r="Y91" s="13">
        <v>1</v>
      </c>
      <c r="Z91" s="13" t="s">
        <v>39</v>
      </c>
      <c r="AA91" s="13" t="s">
        <v>43</v>
      </c>
      <c r="AB91" s="13">
        <v>6</v>
      </c>
      <c r="AC91" s="13" t="s">
        <v>58</v>
      </c>
      <c r="AD91" s="13" t="s">
        <v>32</v>
      </c>
      <c r="AE91" s="13">
        <v>0.9</v>
      </c>
      <c r="AF91" s="21" t="s">
        <v>125</v>
      </c>
      <c r="AG91" s="13">
        <v>2014</v>
      </c>
      <c r="AH91" s="21" t="s">
        <v>126</v>
      </c>
      <c r="AI91" s="2">
        <v>51</v>
      </c>
      <c r="AJ91" s="2">
        <v>2</v>
      </c>
      <c r="AK91" s="2">
        <v>1.5</v>
      </c>
    </row>
    <row r="92" spans="1:37" x14ac:dyDescent="0.3">
      <c r="A92" s="11">
        <v>2.8767505254177301</v>
      </c>
      <c r="B92" s="11">
        <v>255.43436428917499</v>
      </c>
      <c r="C92" s="13" t="s">
        <v>33</v>
      </c>
      <c r="D92" s="13" t="s">
        <v>47</v>
      </c>
      <c r="E92" s="10" t="s">
        <v>170</v>
      </c>
      <c r="F92" s="13" t="s">
        <v>34</v>
      </c>
      <c r="G92" s="13">
        <v>0.46</v>
      </c>
      <c r="H92" s="13" t="s">
        <v>34</v>
      </c>
      <c r="I92" s="13" t="s">
        <v>34</v>
      </c>
      <c r="J92" s="13" t="s">
        <v>34</v>
      </c>
      <c r="K92" s="13" t="s">
        <v>34</v>
      </c>
      <c r="L92" s="13">
        <v>0</v>
      </c>
      <c r="M92" s="13">
        <v>48.5</v>
      </c>
      <c r="N92" s="13">
        <v>1610</v>
      </c>
      <c r="O92" s="13" t="s">
        <v>34</v>
      </c>
      <c r="P92" s="13" t="s">
        <v>34</v>
      </c>
      <c r="Q92" s="13" t="s">
        <v>34</v>
      </c>
      <c r="R92" s="13" t="s">
        <v>34</v>
      </c>
      <c r="S92" s="20">
        <f t="shared" si="1"/>
        <v>1.0000000000000001E-5</v>
      </c>
      <c r="T92" s="13" t="s">
        <v>36</v>
      </c>
      <c r="U92" s="13" t="s">
        <v>37</v>
      </c>
      <c r="V92" s="20" t="s">
        <v>48</v>
      </c>
      <c r="W92" s="13" t="s">
        <v>34</v>
      </c>
      <c r="X92" s="13" t="s">
        <v>43</v>
      </c>
      <c r="Y92" s="13">
        <v>1</v>
      </c>
      <c r="Z92" s="13" t="s">
        <v>39</v>
      </c>
      <c r="AA92" s="13" t="s">
        <v>43</v>
      </c>
      <c r="AB92" s="13">
        <v>6</v>
      </c>
      <c r="AC92" s="13" t="s">
        <v>59</v>
      </c>
      <c r="AD92" s="13" t="s">
        <v>32</v>
      </c>
      <c r="AE92" s="13">
        <v>0.9</v>
      </c>
      <c r="AF92" s="21" t="s">
        <v>125</v>
      </c>
      <c r="AG92" s="13">
        <v>2014</v>
      </c>
      <c r="AH92" s="21" t="s">
        <v>126</v>
      </c>
      <c r="AI92" s="2">
        <v>51</v>
      </c>
      <c r="AJ92" s="2">
        <v>2</v>
      </c>
      <c r="AK92" s="2">
        <v>1.5</v>
      </c>
    </row>
    <row r="93" spans="1:37" x14ac:dyDescent="0.3">
      <c r="A93" s="11">
        <v>3.1052708242295601</v>
      </c>
      <c r="B93" s="11">
        <v>296.72491796070597</v>
      </c>
      <c r="C93" s="13" t="s">
        <v>33</v>
      </c>
      <c r="D93" s="13" t="s">
        <v>47</v>
      </c>
      <c r="E93" s="10" t="s">
        <v>170</v>
      </c>
      <c r="F93" s="13" t="s">
        <v>34</v>
      </c>
      <c r="G93" s="13">
        <v>0.46</v>
      </c>
      <c r="H93" s="13" t="s">
        <v>34</v>
      </c>
      <c r="I93" s="13" t="s">
        <v>34</v>
      </c>
      <c r="J93" s="13" t="s">
        <v>34</v>
      </c>
      <c r="K93" s="13" t="s">
        <v>34</v>
      </c>
      <c r="L93" s="13">
        <v>0</v>
      </c>
      <c r="M93" s="13">
        <v>48.5</v>
      </c>
      <c r="N93" s="13">
        <v>1610</v>
      </c>
      <c r="O93" s="13" t="s">
        <v>34</v>
      </c>
      <c r="P93" s="13" t="s">
        <v>34</v>
      </c>
      <c r="Q93" s="13" t="s">
        <v>34</v>
      </c>
      <c r="R93" s="13" t="s">
        <v>34</v>
      </c>
      <c r="S93" s="20">
        <f t="shared" si="1"/>
        <v>1.0000000000000001E-5</v>
      </c>
      <c r="T93" s="13" t="s">
        <v>36</v>
      </c>
      <c r="U93" s="13" t="s">
        <v>37</v>
      </c>
      <c r="V93" s="20" t="s">
        <v>48</v>
      </c>
      <c r="W93" s="13" t="s">
        <v>34</v>
      </c>
      <c r="X93" s="13" t="s">
        <v>43</v>
      </c>
      <c r="Y93" s="13">
        <v>1</v>
      </c>
      <c r="Z93" s="13" t="s">
        <v>39</v>
      </c>
      <c r="AA93" s="13" t="s">
        <v>43</v>
      </c>
      <c r="AB93" s="13">
        <v>6</v>
      </c>
      <c r="AC93" s="13" t="s">
        <v>60</v>
      </c>
      <c r="AD93" s="13" t="s">
        <v>32</v>
      </c>
      <c r="AE93" s="13">
        <v>0.9</v>
      </c>
      <c r="AF93" s="21" t="s">
        <v>125</v>
      </c>
      <c r="AG93" s="13">
        <v>2014</v>
      </c>
      <c r="AH93" s="21" t="s">
        <v>126</v>
      </c>
      <c r="AI93" s="2">
        <v>51</v>
      </c>
      <c r="AJ93" s="2">
        <v>2</v>
      </c>
      <c r="AK93" s="2">
        <v>1.5</v>
      </c>
    </row>
    <row r="94" spans="1:37" x14ac:dyDescent="0.3">
      <c r="A94" s="11">
        <v>3.5053396022048302</v>
      </c>
      <c r="B94" s="11">
        <v>428.98506635636301</v>
      </c>
      <c r="C94" s="13" t="s">
        <v>33</v>
      </c>
      <c r="D94" s="13" t="s">
        <v>47</v>
      </c>
      <c r="E94" s="10" t="s">
        <v>170</v>
      </c>
      <c r="F94" s="13" t="s">
        <v>34</v>
      </c>
      <c r="G94" s="13">
        <v>0.46</v>
      </c>
      <c r="H94" s="13" t="s">
        <v>34</v>
      </c>
      <c r="I94" s="13" t="s">
        <v>34</v>
      </c>
      <c r="J94" s="13" t="s">
        <v>34</v>
      </c>
      <c r="K94" s="13" t="s">
        <v>34</v>
      </c>
      <c r="L94" s="13">
        <v>0</v>
      </c>
      <c r="M94" s="13">
        <v>48.5</v>
      </c>
      <c r="N94" s="13">
        <v>1610</v>
      </c>
      <c r="O94" s="13" t="s">
        <v>34</v>
      </c>
      <c r="P94" s="13" t="s">
        <v>34</v>
      </c>
      <c r="Q94" s="13" t="s">
        <v>34</v>
      </c>
      <c r="R94" s="13" t="s">
        <v>34</v>
      </c>
      <c r="S94" s="20">
        <f t="shared" si="1"/>
        <v>1.0000000000000001E-5</v>
      </c>
      <c r="T94" s="13" t="s">
        <v>36</v>
      </c>
      <c r="U94" s="13" t="s">
        <v>37</v>
      </c>
      <c r="V94" s="20" t="s">
        <v>48</v>
      </c>
      <c r="W94" s="13" t="s">
        <v>34</v>
      </c>
      <c r="X94" s="13" t="s">
        <v>43</v>
      </c>
      <c r="Y94" s="13">
        <v>1</v>
      </c>
      <c r="Z94" s="13" t="s">
        <v>39</v>
      </c>
      <c r="AA94" s="13" t="s">
        <v>43</v>
      </c>
      <c r="AB94" s="13">
        <v>6</v>
      </c>
      <c r="AC94" s="13" t="s">
        <v>61</v>
      </c>
      <c r="AD94" s="13" t="s">
        <v>32</v>
      </c>
      <c r="AE94" s="13">
        <v>0.9</v>
      </c>
      <c r="AF94" s="21" t="s">
        <v>125</v>
      </c>
      <c r="AG94" s="13">
        <v>2014</v>
      </c>
      <c r="AH94" s="21" t="s">
        <v>126</v>
      </c>
      <c r="AI94" s="2">
        <v>51</v>
      </c>
      <c r="AJ94" s="2">
        <v>2</v>
      </c>
      <c r="AK94" s="2">
        <v>1.5</v>
      </c>
    </row>
    <row r="95" spans="1:37" x14ac:dyDescent="0.3">
      <c r="A95" s="11">
        <v>3.49549262103104</v>
      </c>
      <c r="B95" s="11">
        <v>372.32734017618702</v>
      </c>
      <c r="C95" s="13" t="s">
        <v>33</v>
      </c>
      <c r="D95" s="13" t="s">
        <v>47</v>
      </c>
      <c r="E95" s="10" t="s">
        <v>170</v>
      </c>
      <c r="F95" s="13" t="s">
        <v>34</v>
      </c>
      <c r="G95" s="13">
        <v>0.46</v>
      </c>
      <c r="H95" s="13" t="s">
        <v>34</v>
      </c>
      <c r="I95" s="13" t="s">
        <v>34</v>
      </c>
      <c r="J95" s="13" t="s">
        <v>34</v>
      </c>
      <c r="K95" s="13" t="s">
        <v>34</v>
      </c>
      <c r="L95" s="13">
        <v>0</v>
      </c>
      <c r="M95" s="13">
        <v>48.5</v>
      </c>
      <c r="N95" s="13">
        <v>1610</v>
      </c>
      <c r="O95" s="13" t="s">
        <v>34</v>
      </c>
      <c r="P95" s="13" t="s">
        <v>34</v>
      </c>
      <c r="Q95" s="13" t="s">
        <v>34</v>
      </c>
      <c r="R95" s="13" t="s">
        <v>34</v>
      </c>
      <c r="S95" s="20">
        <f t="shared" si="1"/>
        <v>1.0000000000000001E-5</v>
      </c>
      <c r="T95" s="13" t="s">
        <v>36</v>
      </c>
      <c r="U95" s="13" t="s">
        <v>37</v>
      </c>
      <c r="V95" s="20" t="s">
        <v>48</v>
      </c>
      <c r="W95" s="13" t="s">
        <v>34</v>
      </c>
      <c r="X95" s="13" t="s">
        <v>43</v>
      </c>
      <c r="Y95" s="13">
        <v>1</v>
      </c>
      <c r="Z95" s="13" t="s">
        <v>39</v>
      </c>
      <c r="AA95" s="13" t="s">
        <v>43</v>
      </c>
      <c r="AB95" s="13">
        <v>6</v>
      </c>
      <c r="AC95" s="13" t="s">
        <v>62</v>
      </c>
      <c r="AD95" s="13" t="s">
        <v>32</v>
      </c>
      <c r="AE95" s="13">
        <v>0.9</v>
      </c>
      <c r="AF95" s="21" t="s">
        <v>125</v>
      </c>
      <c r="AG95" s="13">
        <v>2014</v>
      </c>
      <c r="AH95" s="21" t="s">
        <v>126</v>
      </c>
      <c r="AI95" s="2">
        <v>51</v>
      </c>
      <c r="AJ95" s="2">
        <v>2</v>
      </c>
      <c r="AK95" s="2">
        <v>1.5</v>
      </c>
    </row>
    <row r="96" spans="1:37" x14ac:dyDescent="0.3">
      <c r="A96" s="11">
        <v>3.6681524023555299</v>
      </c>
      <c r="B96" s="11">
        <v>436.44400978585503</v>
      </c>
      <c r="C96" s="13" t="s">
        <v>33</v>
      </c>
      <c r="D96" s="13" t="s">
        <v>47</v>
      </c>
      <c r="E96" s="10" t="s">
        <v>170</v>
      </c>
      <c r="F96" s="13" t="s">
        <v>34</v>
      </c>
      <c r="G96" s="13">
        <v>0.46</v>
      </c>
      <c r="H96" s="13" t="s">
        <v>34</v>
      </c>
      <c r="I96" s="13" t="s">
        <v>34</v>
      </c>
      <c r="J96" s="13" t="s">
        <v>34</v>
      </c>
      <c r="K96" s="13" t="s">
        <v>34</v>
      </c>
      <c r="L96" s="13">
        <v>0</v>
      </c>
      <c r="M96" s="13">
        <v>48.5</v>
      </c>
      <c r="N96" s="13">
        <v>1610</v>
      </c>
      <c r="O96" s="13" t="s">
        <v>34</v>
      </c>
      <c r="P96" s="13" t="s">
        <v>34</v>
      </c>
      <c r="Q96" s="13" t="s">
        <v>34</v>
      </c>
      <c r="R96" s="13" t="s">
        <v>34</v>
      </c>
      <c r="S96" s="20">
        <f t="shared" si="1"/>
        <v>1.0000000000000001E-5</v>
      </c>
      <c r="T96" s="13" t="s">
        <v>36</v>
      </c>
      <c r="U96" s="13" t="s">
        <v>37</v>
      </c>
      <c r="V96" s="20" t="s">
        <v>48</v>
      </c>
      <c r="W96" s="13" t="s">
        <v>34</v>
      </c>
      <c r="X96" s="13" t="s">
        <v>43</v>
      </c>
      <c r="Y96" s="13">
        <v>1</v>
      </c>
      <c r="Z96" s="13" t="s">
        <v>39</v>
      </c>
      <c r="AA96" s="13" t="s">
        <v>43</v>
      </c>
      <c r="AB96" s="13">
        <v>6</v>
      </c>
      <c r="AC96" s="13" t="s">
        <v>63</v>
      </c>
      <c r="AD96" s="13" t="s">
        <v>32</v>
      </c>
      <c r="AE96" s="13">
        <v>0.9</v>
      </c>
      <c r="AF96" s="21" t="s">
        <v>125</v>
      </c>
      <c r="AG96" s="13">
        <v>2014</v>
      </c>
      <c r="AH96" s="21" t="s">
        <v>126</v>
      </c>
      <c r="AI96" s="2">
        <v>51</v>
      </c>
      <c r="AJ96" s="2">
        <v>2</v>
      </c>
      <c r="AK96" s="2">
        <v>1.5</v>
      </c>
    </row>
    <row r="97" spans="1:37" x14ac:dyDescent="0.3">
      <c r="A97" s="11">
        <v>4.7876011819297899</v>
      </c>
      <c r="B97" s="11">
        <v>573.48919382665997</v>
      </c>
      <c r="C97" s="13" t="s">
        <v>33</v>
      </c>
      <c r="D97" s="13" t="s">
        <v>47</v>
      </c>
      <c r="E97" s="10" t="s">
        <v>170</v>
      </c>
      <c r="F97" s="13" t="s">
        <v>34</v>
      </c>
      <c r="G97" s="13">
        <v>0.46</v>
      </c>
      <c r="H97" s="13" t="s">
        <v>34</v>
      </c>
      <c r="I97" s="13" t="s">
        <v>34</v>
      </c>
      <c r="J97" s="13" t="s">
        <v>34</v>
      </c>
      <c r="K97" s="13" t="s">
        <v>34</v>
      </c>
      <c r="L97" s="13">
        <v>0</v>
      </c>
      <c r="M97" s="13">
        <v>48.5</v>
      </c>
      <c r="N97" s="13">
        <v>1610</v>
      </c>
      <c r="O97" s="13" t="s">
        <v>34</v>
      </c>
      <c r="P97" s="13" t="s">
        <v>34</v>
      </c>
      <c r="Q97" s="13" t="s">
        <v>34</v>
      </c>
      <c r="R97" s="13" t="s">
        <v>34</v>
      </c>
      <c r="S97" s="20">
        <f t="shared" si="1"/>
        <v>1.0000000000000001E-5</v>
      </c>
      <c r="T97" s="13" t="s">
        <v>36</v>
      </c>
      <c r="U97" s="13" t="s">
        <v>37</v>
      </c>
      <c r="V97" s="20" t="s">
        <v>48</v>
      </c>
      <c r="W97" s="13" t="s">
        <v>34</v>
      </c>
      <c r="X97" s="13" t="s">
        <v>43</v>
      </c>
      <c r="Y97" s="13">
        <v>1</v>
      </c>
      <c r="Z97" s="13" t="s">
        <v>39</v>
      </c>
      <c r="AA97" s="13" t="s">
        <v>43</v>
      </c>
      <c r="AB97" s="13">
        <v>6</v>
      </c>
      <c r="AC97" s="13" t="s">
        <v>64</v>
      </c>
      <c r="AD97" s="13" t="s">
        <v>32</v>
      </c>
      <c r="AE97" s="13">
        <v>0.9</v>
      </c>
      <c r="AF97" s="21" t="s">
        <v>125</v>
      </c>
      <c r="AG97" s="13">
        <v>2014</v>
      </c>
      <c r="AH97" s="21" t="s">
        <v>126</v>
      </c>
      <c r="AI97" s="2">
        <v>51</v>
      </c>
      <c r="AJ97" s="2">
        <v>2</v>
      </c>
      <c r="AK97" s="2">
        <v>1.5</v>
      </c>
    </row>
    <row r="98" spans="1:37" x14ac:dyDescent="0.3">
      <c r="A98" s="11">
        <v>4.9442578604573697</v>
      </c>
      <c r="B98" s="11">
        <v>503.89736322214793</v>
      </c>
      <c r="C98" s="13" t="s">
        <v>33</v>
      </c>
      <c r="D98" s="13" t="s">
        <v>47</v>
      </c>
      <c r="E98" s="10" t="s">
        <v>170</v>
      </c>
      <c r="F98" s="13" t="s">
        <v>34</v>
      </c>
      <c r="G98" s="13">
        <v>0.46</v>
      </c>
      <c r="H98" s="13" t="s">
        <v>34</v>
      </c>
      <c r="I98" s="13" t="s">
        <v>34</v>
      </c>
      <c r="J98" s="13" t="s">
        <v>34</v>
      </c>
      <c r="K98" s="13" t="s">
        <v>34</v>
      </c>
      <c r="L98" s="13">
        <v>0</v>
      </c>
      <c r="M98" s="13">
        <v>48.5</v>
      </c>
      <c r="N98" s="13">
        <v>1610</v>
      </c>
      <c r="O98" s="13" t="s">
        <v>34</v>
      </c>
      <c r="P98" s="13" t="s">
        <v>34</v>
      </c>
      <c r="Q98" s="13" t="s">
        <v>34</v>
      </c>
      <c r="R98" s="13" t="s">
        <v>34</v>
      </c>
      <c r="S98" s="20">
        <f t="shared" si="1"/>
        <v>1.0000000000000001E-5</v>
      </c>
      <c r="T98" s="13" t="s">
        <v>36</v>
      </c>
      <c r="U98" s="13" t="s">
        <v>37</v>
      </c>
      <c r="V98" s="20" t="s">
        <v>48</v>
      </c>
      <c r="W98" s="13" t="s">
        <v>34</v>
      </c>
      <c r="X98" s="13" t="s">
        <v>43</v>
      </c>
      <c r="Y98" s="13">
        <v>1</v>
      </c>
      <c r="Z98" s="13" t="s">
        <v>39</v>
      </c>
      <c r="AA98" s="13" t="s">
        <v>43</v>
      </c>
      <c r="AB98" s="13">
        <v>6</v>
      </c>
      <c r="AC98" s="13" t="s">
        <v>65</v>
      </c>
      <c r="AD98" s="13" t="s">
        <v>32</v>
      </c>
      <c r="AE98" s="13">
        <v>0.9</v>
      </c>
      <c r="AF98" s="21" t="s">
        <v>125</v>
      </c>
      <c r="AG98" s="13">
        <v>2014</v>
      </c>
      <c r="AH98" s="21" t="s">
        <v>126</v>
      </c>
      <c r="AI98" s="2">
        <v>51</v>
      </c>
      <c r="AJ98" s="2">
        <v>2</v>
      </c>
      <c r="AK98" s="2">
        <v>1.5</v>
      </c>
    </row>
    <row r="99" spans="1:37" x14ac:dyDescent="0.3">
      <c r="A99" s="11">
        <v>5.1121257792086103</v>
      </c>
      <c r="B99" s="11">
        <v>539.62885417225903</v>
      </c>
      <c r="C99" s="13" t="s">
        <v>33</v>
      </c>
      <c r="D99" s="13" t="s">
        <v>47</v>
      </c>
      <c r="E99" s="10" t="s">
        <v>170</v>
      </c>
      <c r="F99" s="13" t="s">
        <v>34</v>
      </c>
      <c r="G99" s="13">
        <v>0.46</v>
      </c>
      <c r="H99" s="13" t="s">
        <v>34</v>
      </c>
      <c r="I99" s="13" t="s">
        <v>34</v>
      </c>
      <c r="J99" s="13" t="s">
        <v>34</v>
      </c>
      <c r="K99" s="13" t="s">
        <v>34</v>
      </c>
      <c r="L99" s="13">
        <v>0</v>
      </c>
      <c r="M99" s="13">
        <v>48.5</v>
      </c>
      <c r="N99" s="13">
        <v>1610</v>
      </c>
      <c r="O99" s="13" t="s">
        <v>34</v>
      </c>
      <c r="P99" s="13" t="s">
        <v>34</v>
      </c>
      <c r="Q99" s="13" t="s">
        <v>34</v>
      </c>
      <c r="R99" s="13" t="s">
        <v>34</v>
      </c>
      <c r="S99" s="20">
        <f t="shared" si="1"/>
        <v>1.0000000000000001E-5</v>
      </c>
      <c r="T99" s="13" t="s">
        <v>36</v>
      </c>
      <c r="U99" s="13" t="s">
        <v>37</v>
      </c>
      <c r="V99" s="20" t="s">
        <v>48</v>
      </c>
      <c r="W99" s="13" t="s">
        <v>34</v>
      </c>
      <c r="X99" s="13" t="s">
        <v>43</v>
      </c>
      <c r="Y99" s="13">
        <v>1</v>
      </c>
      <c r="Z99" s="13" t="s">
        <v>39</v>
      </c>
      <c r="AA99" s="13" t="s">
        <v>43</v>
      </c>
      <c r="AB99" s="13">
        <v>6</v>
      </c>
      <c r="AC99" s="13" t="s">
        <v>66</v>
      </c>
      <c r="AD99" s="13" t="s">
        <v>32</v>
      </c>
      <c r="AE99" s="13">
        <v>0.9</v>
      </c>
      <c r="AF99" s="21" t="s">
        <v>125</v>
      </c>
      <c r="AG99" s="13">
        <v>2014</v>
      </c>
      <c r="AH99" s="21" t="s">
        <v>126</v>
      </c>
      <c r="AI99" s="2">
        <v>51</v>
      </c>
      <c r="AJ99" s="2">
        <v>2</v>
      </c>
      <c r="AK99" s="2">
        <v>1.5</v>
      </c>
    </row>
    <row r="100" spans="1:37" x14ac:dyDescent="0.3">
      <c r="A100" s="11">
        <v>5.2581725867199296</v>
      </c>
      <c r="B100" s="11">
        <v>419.397117468999</v>
      </c>
      <c r="C100" s="13" t="s">
        <v>33</v>
      </c>
      <c r="D100" s="13" t="s">
        <v>47</v>
      </c>
      <c r="E100" s="10" t="s">
        <v>170</v>
      </c>
      <c r="F100" s="13" t="s">
        <v>34</v>
      </c>
      <c r="G100" s="13">
        <v>0.46</v>
      </c>
      <c r="H100" s="13" t="s">
        <v>34</v>
      </c>
      <c r="I100" s="13" t="s">
        <v>34</v>
      </c>
      <c r="J100" s="13" t="s">
        <v>34</v>
      </c>
      <c r="K100" s="13" t="s">
        <v>34</v>
      </c>
      <c r="L100" s="13">
        <v>0</v>
      </c>
      <c r="M100" s="13">
        <v>48.5</v>
      </c>
      <c r="N100" s="13">
        <v>1610</v>
      </c>
      <c r="O100" s="13" t="s">
        <v>34</v>
      </c>
      <c r="P100" s="13" t="s">
        <v>34</v>
      </c>
      <c r="Q100" s="13" t="s">
        <v>34</v>
      </c>
      <c r="R100" s="13" t="s">
        <v>34</v>
      </c>
      <c r="S100" s="20">
        <f t="shared" si="1"/>
        <v>1.0000000000000001E-5</v>
      </c>
      <c r="T100" s="13" t="s">
        <v>36</v>
      </c>
      <c r="U100" s="13" t="s">
        <v>37</v>
      </c>
      <c r="V100" s="20" t="s">
        <v>48</v>
      </c>
      <c r="W100" s="13" t="s">
        <v>34</v>
      </c>
      <c r="X100" s="13" t="s">
        <v>43</v>
      </c>
      <c r="Y100" s="13">
        <v>1</v>
      </c>
      <c r="Z100" s="13" t="s">
        <v>39</v>
      </c>
      <c r="AA100" s="13" t="s">
        <v>43</v>
      </c>
      <c r="AB100" s="13">
        <v>6</v>
      </c>
      <c r="AC100" s="13" t="s">
        <v>67</v>
      </c>
      <c r="AD100" s="13" t="s">
        <v>32</v>
      </c>
      <c r="AE100" s="13">
        <v>0.9</v>
      </c>
      <c r="AF100" s="21" t="s">
        <v>125</v>
      </c>
      <c r="AG100" s="13">
        <v>2014</v>
      </c>
      <c r="AH100" s="21" t="s">
        <v>126</v>
      </c>
      <c r="AI100" s="2">
        <v>51</v>
      </c>
      <c r="AJ100" s="2">
        <v>2</v>
      </c>
      <c r="AK100" s="2">
        <v>1.5</v>
      </c>
    </row>
    <row r="101" spans="1:37" x14ac:dyDescent="0.3">
      <c r="A101" s="11">
        <v>5.3423642757558696</v>
      </c>
      <c r="B101" s="11">
        <v>487.91181260177802</v>
      </c>
      <c r="C101" s="13" t="s">
        <v>33</v>
      </c>
      <c r="D101" s="13" t="s">
        <v>47</v>
      </c>
      <c r="E101" s="10" t="s">
        <v>170</v>
      </c>
      <c r="F101" s="13" t="s">
        <v>34</v>
      </c>
      <c r="G101" s="13">
        <v>0.46</v>
      </c>
      <c r="H101" s="13" t="s">
        <v>34</v>
      </c>
      <c r="I101" s="13" t="s">
        <v>34</v>
      </c>
      <c r="J101" s="13" t="s">
        <v>34</v>
      </c>
      <c r="K101" s="13" t="s">
        <v>34</v>
      </c>
      <c r="L101" s="13">
        <v>0</v>
      </c>
      <c r="M101" s="13">
        <v>48.5</v>
      </c>
      <c r="N101" s="13">
        <v>1610</v>
      </c>
      <c r="O101" s="13" t="s">
        <v>34</v>
      </c>
      <c r="P101" s="13" t="s">
        <v>34</v>
      </c>
      <c r="Q101" s="13" t="s">
        <v>34</v>
      </c>
      <c r="R101" s="13" t="s">
        <v>34</v>
      </c>
      <c r="S101" s="20">
        <f t="shared" si="1"/>
        <v>1.0000000000000001E-5</v>
      </c>
      <c r="T101" s="13" t="s">
        <v>36</v>
      </c>
      <c r="U101" s="13" t="s">
        <v>37</v>
      </c>
      <c r="V101" s="20" t="s">
        <v>48</v>
      </c>
      <c r="W101" s="13" t="s">
        <v>34</v>
      </c>
      <c r="X101" s="13" t="s">
        <v>43</v>
      </c>
      <c r="Y101" s="13">
        <v>1</v>
      </c>
      <c r="Z101" s="13" t="s">
        <v>39</v>
      </c>
      <c r="AA101" s="13" t="s">
        <v>43</v>
      </c>
      <c r="AB101" s="13">
        <v>6</v>
      </c>
      <c r="AC101" s="13" t="s">
        <v>68</v>
      </c>
      <c r="AD101" s="13" t="s">
        <v>32</v>
      </c>
      <c r="AE101" s="13">
        <v>0.9</v>
      </c>
      <c r="AF101" s="21" t="s">
        <v>125</v>
      </c>
      <c r="AG101" s="13">
        <v>2014</v>
      </c>
      <c r="AH101" s="21" t="s">
        <v>126</v>
      </c>
      <c r="AI101" s="2">
        <v>51</v>
      </c>
      <c r="AJ101" s="2">
        <v>2</v>
      </c>
      <c r="AK101" s="2">
        <v>1.5</v>
      </c>
    </row>
    <row r="102" spans="1:37" x14ac:dyDescent="0.3">
      <c r="A102" s="11">
        <v>5.8583390557046799</v>
      </c>
      <c r="B102" s="11">
        <v>611.02017993054505</v>
      </c>
      <c r="C102" s="13" t="s">
        <v>33</v>
      </c>
      <c r="D102" s="13" t="s">
        <v>47</v>
      </c>
      <c r="E102" s="10" t="s">
        <v>170</v>
      </c>
      <c r="F102" s="13" t="s">
        <v>34</v>
      </c>
      <c r="G102" s="13">
        <v>0.46</v>
      </c>
      <c r="H102" s="13" t="s">
        <v>34</v>
      </c>
      <c r="I102" s="13" t="s">
        <v>34</v>
      </c>
      <c r="J102" s="13" t="s">
        <v>34</v>
      </c>
      <c r="K102" s="13" t="s">
        <v>34</v>
      </c>
      <c r="L102" s="13">
        <v>0</v>
      </c>
      <c r="M102" s="13">
        <v>48.5</v>
      </c>
      <c r="N102" s="13">
        <v>1610</v>
      </c>
      <c r="O102" s="13" t="s">
        <v>34</v>
      </c>
      <c r="P102" s="13" t="s">
        <v>34</v>
      </c>
      <c r="Q102" s="13" t="s">
        <v>34</v>
      </c>
      <c r="R102" s="13" t="s">
        <v>34</v>
      </c>
      <c r="S102" s="20">
        <f t="shared" si="1"/>
        <v>1.0000000000000001E-5</v>
      </c>
      <c r="T102" s="13" t="s">
        <v>36</v>
      </c>
      <c r="U102" s="13" t="s">
        <v>37</v>
      </c>
      <c r="V102" s="20" t="s">
        <v>48</v>
      </c>
      <c r="W102" s="13" t="s">
        <v>34</v>
      </c>
      <c r="X102" s="13" t="s">
        <v>43</v>
      </c>
      <c r="Y102" s="13">
        <v>1</v>
      </c>
      <c r="Z102" s="13" t="s">
        <v>39</v>
      </c>
      <c r="AA102" s="13" t="s">
        <v>43</v>
      </c>
      <c r="AB102" s="13">
        <v>6</v>
      </c>
      <c r="AC102" s="13" t="s">
        <v>69</v>
      </c>
      <c r="AD102" s="13" t="s">
        <v>32</v>
      </c>
      <c r="AE102" s="13">
        <v>0.9</v>
      </c>
      <c r="AF102" s="21" t="s">
        <v>125</v>
      </c>
      <c r="AG102" s="13">
        <v>2014</v>
      </c>
      <c r="AH102" s="21" t="s">
        <v>126</v>
      </c>
      <c r="AI102" s="2">
        <v>51</v>
      </c>
      <c r="AJ102" s="2">
        <v>2</v>
      </c>
      <c r="AK102" s="2">
        <v>1.5</v>
      </c>
    </row>
    <row r="103" spans="1:37" x14ac:dyDescent="0.3">
      <c r="A103" s="11">
        <v>6.0279251721913498</v>
      </c>
      <c r="B103" s="11">
        <v>617.12652941718</v>
      </c>
      <c r="C103" s="13" t="s">
        <v>33</v>
      </c>
      <c r="D103" s="13" t="s">
        <v>47</v>
      </c>
      <c r="E103" s="10" t="s">
        <v>170</v>
      </c>
      <c r="F103" s="13" t="s">
        <v>34</v>
      </c>
      <c r="G103" s="13">
        <v>0.46</v>
      </c>
      <c r="H103" s="13" t="s">
        <v>34</v>
      </c>
      <c r="I103" s="13" t="s">
        <v>34</v>
      </c>
      <c r="J103" s="13" t="s">
        <v>34</v>
      </c>
      <c r="K103" s="13" t="s">
        <v>34</v>
      </c>
      <c r="L103" s="13">
        <v>0</v>
      </c>
      <c r="M103" s="13">
        <v>48.5</v>
      </c>
      <c r="N103" s="13">
        <v>1610</v>
      </c>
      <c r="O103" s="13" t="s">
        <v>34</v>
      </c>
      <c r="P103" s="13" t="s">
        <v>34</v>
      </c>
      <c r="Q103" s="13" t="s">
        <v>34</v>
      </c>
      <c r="R103" s="13" t="s">
        <v>34</v>
      </c>
      <c r="S103" s="20">
        <f t="shared" si="1"/>
        <v>1.0000000000000001E-5</v>
      </c>
      <c r="T103" s="13" t="s">
        <v>36</v>
      </c>
      <c r="U103" s="13" t="s">
        <v>37</v>
      </c>
      <c r="V103" s="20" t="s">
        <v>48</v>
      </c>
      <c r="W103" s="13" t="s">
        <v>34</v>
      </c>
      <c r="X103" s="13" t="s">
        <v>43</v>
      </c>
      <c r="Y103" s="13">
        <v>1</v>
      </c>
      <c r="Z103" s="13" t="s">
        <v>39</v>
      </c>
      <c r="AA103" s="13" t="s">
        <v>43</v>
      </c>
      <c r="AB103" s="13">
        <v>6</v>
      </c>
      <c r="AC103" s="13" t="s">
        <v>70</v>
      </c>
      <c r="AD103" s="13" t="s">
        <v>32</v>
      </c>
      <c r="AE103" s="13">
        <v>0.9</v>
      </c>
      <c r="AF103" s="21" t="s">
        <v>125</v>
      </c>
      <c r="AG103" s="13">
        <v>2014</v>
      </c>
      <c r="AH103" s="21" t="s">
        <v>126</v>
      </c>
      <c r="AI103" s="2">
        <v>51</v>
      </c>
      <c r="AJ103" s="2">
        <v>2</v>
      </c>
      <c r="AK103" s="2">
        <v>1.5</v>
      </c>
    </row>
    <row r="104" spans="1:37" x14ac:dyDescent="0.3">
      <c r="A104" s="11">
        <v>6.20299043034544</v>
      </c>
      <c r="B104" s="11">
        <v>976.05629834885099</v>
      </c>
      <c r="C104" s="13" t="s">
        <v>33</v>
      </c>
      <c r="D104" s="13" t="s">
        <v>47</v>
      </c>
      <c r="E104" s="10" t="s">
        <v>170</v>
      </c>
      <c r="F104" s="13" t="s">
        <v>34</v>
      </c>
      <c r="G104" s="13">
        <v>0.46</v>
      </c>
      <c r="H104" s="13" t="s">
        <v>34</v>
      </c>
      <c r="I104" s="13" t="s">
        <v>34</v>
      </c>
      <c r="J104" s="13" t="s">
        <v>34</v>
      </c>
      <c r="K104" s="13" t="s">
        <v>34</v>
      </c>
      <c r="L104" s="13">
        <v>0</v>
      </c>
      <c r="M104" s="13">
        <v>48.5</v>
      </c>
      <c r="N104" s="13">
        <v>1610</v>
      </c>
      <c r="O104" s="13" t="s">
        <v>34</v>
      </c>
      <c r="P104" s="13" t="s">
        <v>34</v>
      </c>
      <c r="Q104" s="13" t="s">
        <v>34</v>
      </c>
      <c r="R104" s="13" t="s">
        <v>34</v>
      </c>
      <c r="S104" s="20">
        <f t="shared" si="1"/>
        <v>1.0000000000000001E-5</v>
      </c>
      <c r="T104" s="13" t="s">
        <v>36</v>
      </c>
      <c r="U104" s="13" t="s">
        <v>37</v>
      </c>
      <c r="V104" s="20" t="s">
        <v>48</v>
      </c>
      <c r="W104" s="13" t="s">
        <v>34</v>
      </c>
      <c r="X104" s="13" t="s">
        <v>43</v>
      </c>
      <c r="Y104" s="13">
        <v>1</v>
      </c>
      <c r="Z104" s="13" t="s">
        <v>39</v>
      </c>
      <c r="AA104" s="13" t="s">
        <v>43</v>
      </c>
      <c r="AB104" s="13">
        <v>6</v>
      </c>
      <c r="AC104" s="13" t="s">
        <v>71</v>
      </c>
      <c r="AD104" s="13" t="s">
        <v>32</v>
      </c>
      <c r="AE104" s="13">
        <v>0.9</v>
      </c>
      <c r="AF104" s="21" t="s">
        <v>125</v>
      </c>
      <c r="AG104" s="13">
        <v>2014</v>
      </c>
      <c r="AH104" s="21" t="s">
        <v>126</v>
      </c>
      <c r="AI104" s="2">
        <v>51</v>
      </c>
      <c r="AJ104" s="2">
        <v>2</v>
      </c>
      <c r="AK104" s="2">
        <v>1.5</v>
      </c>
    </row>
    <row r="105" spans="1:37" x14ac:dyDescent="0.3">
      <c r="A105" s="11">
        <v>6.45790415548203</v>
      </c>
      <c r="B105" s="11">
        <v>975.46565442529197</v>
      </c>
      <c r="C105" s="13" t="s">
        <v>33</v>
      </c>
      <c r="D105" s="13" t="s">
        <v>47</v>
      </c>
      <c r="E105" s="10" t="s">
        <v>170</v>
      </c>
      <c r="F105" s="13" t="s">
        <v>34</v>
      </c>
      <c r="G105" s="13">
        <v>0.46</v>
      </c>
      <c r="H105" s="13" t="s">
        <v>34</v>
      </c>
      <c r="I105" s="13" t="s">
        <v>34</v>
      </c>
      <c r="J105" s="13" t="s">
        <v>34</v>
      </c>
      <c r="K105" s="13" t="s">
        <v>34</v>
      </c>
      <c r="L105" s="13">
        <v>0</v>
      </c>
      <c r="M105" s="13">
        <v>48.5</v>
      </c>
      <c r="N105" s="13">
        <v>1610</v>
      </c>
      <c r="O105" s="13" t="s">
        <v>34</v>
      </c>
      <c r="P105" s="13" t="s">
        <v>34</v>
      </c>
      <c r="Q105" s="13" t="s">
        <v>34</v>
      </c>
      <c r="R105" s="13" t="s">
        <v>34</v>
      </c>
      <c r="S105" s="20">
        <f t="shared" si="1"/>
        <v>1.0000000000000001E-5</v>
      </c>
      <c r="T105" s="13" t="s">
        <v>36</v>
      </c>
      <c r="U105" s="13" t="s">
        <v>37</v>
      </c>
      <c r="V105" s="20" t="s">
        <v>48</v>
      </c>
      <c r="W105" s="13" t="s">
        <v>34</v>
      </c>
      <c r="X105" s="13" t="s">
        <v>43</v>
      </c>
      <c r="Y105" s="13">
        <v>1</v>
      </c>
      <c r="Z105" s="13" t="s">
        <v>39</v>
      </c>
      <c r="AA105" s="13" t="s">
        <v>43</v>
      </c>
      <c r="AB105" s="13">
        <v>6</v>
      </c>
      <c r="AC105" s="13" t="s">
        <v>72</v>
      </c>
      <c r="AD105" s="13" t="s">
        <v>32</v>
      </c>
      <c r="AE105" s="13">
        <v>0.9</v>
      </c>
      <c r="AF105" s="21" t="s">
        <v>125</v>
      </c>
      <c r="AG105" s="13">
        <v>2014</v>
      </c>
      <c r="AH105" s="21" t="s">
        <v>126</v>
      </c>
      <c r="AI105" s="2">
        <v>51</v>
      </c>
      <c r="AJ105" s="2">
        <v>2</v>
      </c>
      <c r="AK105" s="2">
        <v>1.5</v>
      </c>
    </row>
    <row r="106" spans="1:37" x14ac:dyDescent="0.3">
      <c r="A106" s="11">
        <v>6.5559273362881498</v>
      </c>
      <c r="B106" s="11">
        <v>1099.9643066818098</v>
      </c>
      <c r="C106" s="13" t="s">
        <v>33</v>
      </c>
      <c r="D106" s="13" t="s">
        <v>47</v>
      </c>
      <c r="E106" s="10" t="s">
        <v>170</v>
      </c>
      <c r="F106" s="13" t="s">
        <v>34</v>
      </c>
      <c r="G106" s="13">
        <v>0.46</v>
      </c>
      <c r="H106" s="13" t="s">
        <v>34</v>
      </c>
      <c r="I106" s="13" t="s">
        <v>34</v>
      </c>
      <c r="J106" s="13" t="s">
        <v>34</v>
      </c>
      <c r="K106" s="13" t="s">
        <v>34</v>
      </c>
      <c r="L106" s="13">
        <v>0</v>
      </c>
      <c r="M106" s="13">
        <v>48.5</v>
      </c>
      <c r="N106" s="13">
        <v>1610</v>
      </c>
      <c r="O106" s="13" t="s">
        <v>34</v>
      </c>
      <c r="P106" s="13" t="s">
        <v>34</v>
      </c>
      <c r="Q106" s="13" t="s">
        <v>34</v>
      </c>
      <c r="R106" s="13" t="s">
        <v>34</v>
      </c>
      <c r="S106" s="20">
        <f t="shared" si="1"/>
        <v>1.0000000000000001E-5</v>
      </c>
      <c r="T106" s="13" t="s">
        <v>36</v>
      </c>
      <c r="U106" s="13" t="s">
        <v>37</v>
      </c>
      <c r="V106" s="20" t="s">
        <v>48</v>
      </c>
      <c r="W106" s="13" t="s">
        <v>34</v>
      </c>
      <c r="X106" s="13" t="s">
        <v>43</v>
      </c>
      <c r="Y106" s="13">
        <v>1</v>
      </c>
      <c r="Z106" s="13" t="s">
        <v>39</v>
      </c>
      <c r="AA106" s="13" t="s">
        <v>43</v>
      </c>
      <c r="AB106" s="13">
        <v>6</v>
      </c>
      <c r="AC106" s="13" t="s">
        <v>73</v>
      </c>
      <c r="AD106" s="13" t="s">
        <v>32</v>
      </c>
      <c r="AE106" s="13">
        <v>0.9</v>
      </c>
      <c r="AF106" s="21" t="s">
        <v>125</v>
      </c>
      <c r="AG106" s="13">
        <v>2014</v>
      </c>
      <c r="AH106" s="21" t="s">
        <v>126</v>
      </c>
      <c r="AI106" s="2">
        <v>51</v>
      </c>
      <c r="AJ106" s="2">
        <v>2</v>
      </c>
      <c r="AK106" s="2">
        <v>1.5</v>
      </c>
    </row>
    <row r="107" spans="1:37" x14ac:dyDescent="0.3">
      <c r="A107" s="11">
        <v>6.5932122271469202</v>
      </c>
      <c r="B107" s="11">
        <v>978.600610634948</v>
      </c>
      <c r="C107" s="13" t="s">
        <v>33</v>
      </c>
      <c r="D107" s="13" t="s">
        <v>47</v>
      </c>
      <c r="E107" s="10" t="s">
        <v>170</v>
      </c>
      <c r="F107" s="13" t="s">
        <v>34</v>
      </c>
      <c r="G107" s="13">
        <v>0.46</v>
      </c>
      <c r="H107" s="13" t="s">
        <v>34</v>
      </c>
      <c r="I107" s="13" t="s">
        <v>34</v>
      </c>
      <c r="J107" s="13" t="s">
        <v>34</v>
      </c>
      <c r="K107" s="13" t="s">
        <v>34</v>
      </c>
      <c r="L107" s="13">
        <v>0</v>
      </c>
      <c r="M107" s="13">
        <v>48.5</v>
      </c>
      <c r="N107" s="13">
        <v>1610</v>
      </c>
      <c r="O107" s="13" t="s">
        <v>34</v>
      </c>
      <c r="P107" s="13" t="s">
        <v>34</v>
      </c>
      <c r="Q107" s="13" t="s">
        <v>34</v>
      </c>
      <c r="R107" s="13" t="s">
        <v>34</v>
      </c>
      <c r="S107" s="20">
        <f t="shared" si="1"/>
        <v>1.0000000000000001E-5</v>
      </c>
      <c r="T107" s="13" t="s">
        <v>36</v>
      </c>
      <c r="U107" s="13" t="s">
        <v>37</v>
      </c>
      <c r="V107" s="20" t="s">
        <v>48</v>
      </c>
      <c r="W107" s="13" t="s">
        <v>34</v>
      </c>
      <c r="X107" s="13" t="s">
        <v>43</v>
      </c>
      <c r="Y107" s="13">
        <v>1</v>
      </c>
      <c r="Z107" s="13" t="s">
        <v>39</v>
      </c>
      <c r="AA107" s="13" t="s">
        <v>43</v>
      </c>
      <c r="AB107" s="13">
        <v>6</v>
      </c>
      <c r="AC107" s="13" t="s">
        <v>74</v>
      </c>
      <c r="AD107" s="13" t="s">
        <v>32</v>
      </c>
      <c r="AE107" s="13">
        <v>0.9</v>
      </c>
      <c r="AF107" s="21" t="s">
        <v>125</v>
      </c>
      <c r="AG107" s="13">
        <v>2014</v>
      </c>
      <c r="AH107" s="21" t="s">
        <v>126</v>
      </c>
      <c r="AI107" s="2">
        <v>51</v>
      </c>
      <c r="AJ107" s="2">
        <v>2</v>
      </c>
      <c r="AK107" s="2">
        <v>1.5</v>
      </c>
    </row>
    <row r="108" spans="1:37" x14ac:dyDescent="0.3">
      <c r="A108" s="11">
        <v>6.7174951966761602</v>
      </c>
      <c r="B108" s="11">
        <v>1098.18328808155</v>
      </c>
      <c r="C108" s="13" t="s">
        <v>33</v>
      </c>
      <c r="D108" s="13" t="s">
        <v>47</v>
      </c>
      <c r="E108" s="10" t="s">
        <v>170</v>
      </c>
      <c r="F108" s="13" t="s">
        <v>34</v>
      </c>
      <c r="G108" s="13">
        <v>0.46</v>
      </c>
      <c r="H108" s="13" t="s">
        <v>34</v>
      </c>
      <c r="I108" s="13" t="s">
        <v>34</v>
      </c>
      <c r="J108" s="13" t="s">
        <v>34</v>
      </c>
      <c r="K108" s="13" t="s">
        <v>34</v>
      </c>
      <c r="L108" s="13">
        <v>0</v>
      </c>
      <c r="M108" s="13">
        <v>48.5</v>
      </c>
      <c r="N108" s="13">
        <v>1610</v>
      </c>
      <c r="O108" s="13" t="s">
        <v>34</v>
      </c>
      <c r="P108" s="13" t="s">
        <v>34</v>
      </c>
      <c r="Q108" s="13" t="s">
        <v>34</v>
      </c>
      <c r="R108" s="13" t="s">
        <v>34</v>
      </c>
      <c r="S108" s="20">
        <f t="shared" si="1"/>
        <v>1.0000000000000001E-5</v>
      </c>
      <c r="T108" s="13" t="s">
        <v>36</v>
      </c>
      <c r="U108" s="13" t="s">
        <v>37</v>
      </c>
      <c r="V108" s="20" t="s">
        <v>48</v>
      </c>
      <c r="W108" s="13" t="s">
        <v>34</v>
      </c>
      <c r="X108" s="13" t="s">
        <v>43</v>
      </c>
      <c r="Y108" s="13">
        <v>1</v>
      </c>
      <c r="Z108" s="13" t="s">
        <v>39</v>
      </c>
      <c r="AA108" s="13" t="s">
        <v>43</v>
      </c>
      <c r="AB108" s="13">
        <v>6</v>
      </c>
      <c r="AC108" s="13" t="s">
        <v>75</v>
      </c>
      <c r="AD108" s="13" t="s">
        <v>32</v>
      </c>
      <c r="AE108" s="13">
        <v>0.9</v>
      </c>
      <c r="AF108" s="21" t="s">
        <v>125</v>
      </c>
      <c r="AG108" s="13">
        <v>2014</v>
      </c>
      <c r="AH108" s="21" t="s">
        <v>126</v>
      </c>
      <c r="AI108" s="2">
        <v>51</v>
      </c>
      <c r="AJ108" s="2">
        <v>2</v>
      </c>
      <c r="AK108" s="2">
        <v>1.5</v>
      </c>
    </row>
    <row r="109" spans="1:37" x14ac:dyDescent="0.3">
      <c r="A109" s="11">
        <v>7.18135131198368</v>
      </c>
      <c r="B109" s="11">
        <v>1270.6149664422398</v>
      </c>
      <c r="C109" s="13" t="s">
        <v>33</v>
      </c>
      <c r="D109" s="13" t="s">
        <v>47</v>
      </c>
      <c r="E109" s="10" t="s">
        <v>170</v>
      </c>
      <c r="F109" s="13" t="s">
        <v>34</v>
      </c>
      <c r="G109" s="13">
        <v>0.46</v>
      </c>
      <c r="H109" s="13" t="s">
        <v>34</v>
      </c>
      <c r="I109" s="13" t="s">
        <v>34</v>
      </c>
      <c r="J109" s="13" t="s">
        <v>34</v>
      </c>
      <c r="K109" s="13" t="s">
        <v>34</v>
      </c>
      <c r="L109" s="13">
        <v>0</v>
      </c>
      <c r="M109" s="13">
        <v>48.5</v>
      </c>
      <c r="N109" s="13">
        <v>1610</v>
      </c>
      <c r="O109" s="13" t="s">
        <v>34</v>
      </c>
      <c r="P109" s="13" t="s">
        <v>34</v>
      </c>
      <c r="Q109" s="13" t="s">
        <v>34</v>
      </c>
      <c r="R109" s="13" t="s">
        <v>34</v>
      </c>
      <c r="S109" s="20">
        <f t="shared" si="1"/>
        <v>1.0000000000000001E-5</v>
      </c>
      <c r="T109" s="13" t="s">
        <v>36</v>
      </c>
      <c r="U109" s="13" t="s">
        <v>37</v>
      </c>
      <c r="V109" s="20" t="s">
        <v>48</v>
      </c>
      <c r="W109" s="13" t="s">
        <v>34</v>
      </c>
      <c r="X109" s="13" t="s">
        <v>43</v>
      </c>
      <c r="Y109" s="13">
        <v>1</v>
      </c>
      <c r="Z109" s="13" t="s">
        <v>39</v>
      </c>
      <c r="AA109" s="13" t="s">
        <v>43</v>
      </c>
      <c r="AB109" s="13">
        <v>6</v>
      </c>
      <c r="AC109" s="13" t="s">
        <v>76</v>
      </c>
      <c r="AD109" s="13" t="s">
        <v>32</v>
      </c>
      <c r="AE109" s="13">
        <v>0.9</v>
      </c>
      <c r="AF109" s="21" t="s">
        <v>125</v>
      </c>
      <c r="AG109" s="13">
        <v>2014</v>
      </c>
      <c r="AH109" s="21" t="s">
        <v>126</v>
      </c>
      <c r="AI109" s="2">
        <v>51</v>
      </c>
      <c r="AJ109" s="2">
        <v>2</v>
      </c>
      <c r="AK109" s="2">
        <v>1.5</v>
      </c>
    </row>
    <row r="110" spans="1:37" x14ac:dyDescent="0.3">
      <c r="A110" s="11">
        <v>7.4243044717730999</v>
      </c>
      <c r="B110" s="11">
        <v>1282.6095815052699</v>
      </c>
      <c r="C110" s="13" t="s">
        <v>33</v>
      </c>
      <c r="D110" s="13" t="s">
        <v>47</v>
      </c>
      <c r="E110" s="10" t="s">
        <v>170</v>
      </c>
      <c r="F110" s="13" t="s">
        <v>34</v>
      </c>
      <c r="G110" s="13">
        <v>0.46</v>
      </c>
      <c r="H110" s="13" t="s">
        <v>34</v>
      </c>
      <c r="I110" s="13" t="s">
        <v>34</v>
      </c>
      <c r="J110" s="13" t="s">
        <v>34</v>
      </c>
      <c r="K110" s="13" t="s">
        <v>34</v>
      </c>
      <c r="L110" s="13">
        <v>0</v>
      </c>
      <c r="M110" s="13">
        <v>48.5</v>
      </c>
      <c r="N110" s="13">
        <v>1610</v>
      </c>
      <c r="O110" s="13" t="s">
        <v>34</v>
      </c>
      <c r="P110" s="13" t="s">
        <v>34</v>
      </c>
      <c r="Q110" s="13" t="s">
        <v>34</v>
      </c>
      <c r="R110" s="13" t="s">
        <v>34</v>
      </c>
      <c r="S110" s="20">
        <f t="shared" si="1"/>
        <v>1.0000000000000001E-5</v>
      </c>
      <c r="T110" s="13" t="s">
        <v>36</v>
      </c>
      <c r="U110" s="13" t="s">
        <v>37</v>
      </c>
      <c r="V110" s="20" t="s">
        <v>48</v>
      </c>
      <c r="W110" s="13" t="s">
        <v>34</v>
      </c>
      <c r="X110" s="13" t="s">
        <v>43</v>
      </c>
      <c r="Y110" s="13">
        <v>1</v>
      </c>
      <c r="Z110" s="13" t="s">
        <v>39</v>
      </c>
      <c r="AA110" s="13" t="s">
        <v>43</v>
      </c>
      <c r="AB110" s="13">
        <v>6</v>
      </c>
      <c r="AC110" s="13" t="s">
        <v>77</v>
      </c>
      <c r="AD110" s="13" t="s">
        <v>32</v>
      </c>
      <c r="AE110" s="13">
        <v>0.9</v>
      </c>
      <c r="AF110" s="21" t="s">
        <v>125</v>
      </c>
      <c r="AG110" s="13">
        <v>2014</v>
      </c>
      <c r="AH110" s="21" t="s">
        <v>126</v>
      </c>
      <c r="AI110" s="2">
        <v>51</v>
      </c>
      <c r="AJ110" s="2">
        <v>2</v>
      </c>
      <c r="AK110" s="2">
        <v>1.5</v>
      </c>
    </row>
    <row r="111" spans="1:37" x14ac:dyDescent="0.3">
      <c r="A111" s="11">
        <v>7.7418274132800597</v>
      </c>
      <c r="B111" s="11">
        <v>1321.53755948257</v>
      </c>
      <c r="C111" s="13" t="s">
        <v>33</v>
      </c>
      <c r="D111" s="13" t="s">
        <v>47</v>
      </c>
      <c r="E111" s="10" t="s">
        <v>170</v>
      </c>
      <c r="F111" s="13" t="s">
        <v>34</v>
      </c>
      <c r="G111" s="13">
        <v>0.46</v>
      </c>
      <c r="H111" s="13" t="s">
        <v>34</v>
      </c>
      <c r="I111" s="13" t="s">
        <v>34</v>
      </c>
      <c r="J111" s="13" t="s">
        <v>34</v>
      </c>
      <c r="K111" s="13" t="s">
        <v>34</v>
      </c>
      <c r="L111" s="13">
        <v>0</v>
      </c>
      <c r="M111" s="13">
        <v>48.5</v>
      </c>
      <c r="N111" s="13">
        <v>1610</v>
      </c>
      <c r="O111" s="13" t="s">
        <v>34</v>
      </c>
      <c r="P111" s="13" t="s">
        <v>34</v>
      </c>
      <c r="Q111" s="13" t="s">
        <v>34</v>
      </c>
      <c r="R111" s="13" t="s">
        <v>34</v>
      </c>
      <c r="S111" s="20">
        <f t="shared" si="1"/>
        <v>1.0000000000000001E-5</v>
      </c>
      <c r="T111" s="13" t="s">
        <v>36</v>
      </c>
      <c r="U111" s="13" t="s">
        <v>37</v>
      </c>
      <c r="V111" s="20" t="s">
        <v>48</v>
      </c>
      <c r="W111" s="13" t="s">
        <v>34</v>
      </c>
      <c r="X111" s="13" t="s">
        <v>43</v>
      </c>
      <c r="Y111" s="13">
        <v>1</v>
      </c>
      <c r="Z111" s="13" t="s">
        <v>39</v>
      </c>
      <c r="AA111" s="13" t="s">
        <v>43</v>
      </c>
      <c r="AB111" s="13">
        <v>6</v>
      </c>
      <c r="AC111" s="13" t="s">
        <v>78</v>
      </c>
      <c r="AD111" s="13" t="s">
        <v>32</v>
      </c>
      <c r="AE111" s="13">
        <v>0.9</v>
      </c>
      <c r="AF111" s="21" t="s">
        <v>125</v>
      </c>
      <c r="AG111" s="13">
        <v>2014</v>
      </c>
      <c r="AH111" s="21" t="s">
        <v>126</v>
      </c>
      <c r="AI111" s="2">
        <v>51</v>
      </c>
      <c r="AJ111" s="2">
        <v>2</v>
      </c>
      <c r="AK111" s="2">
        <v>1.5</v>
      </c>
    </row>
    <row r="112" spans="1:37" x14ac:dyDescent="0.3">
      <c r="A112" s="11">
        <v>7.8652849740932602</v>
      </c>
      <c r="B112" s="11">
        <v>1351.1392431809099</v>
      </c>
      <c r="C112" s="13" t="s">
        <v>33</v>
      </c>
      <c r="D112" s="13" t="s">
        <v>47</v>
      </c>
      <c r="E112" s="10" t="s">
        <v>170</v>
      </c>
      <c r="F112" s="13" t="s">
        <v>34</v>
      </c>
      <c r="G112" s="13">
        <v>0.46</v>
      </c>
      <c r="H112" s="13" t="s">
        <v>34</v>
      </c>
      <c r="I112" s="13" t="s">
        <v>34</v>
      </c>
      <c r="J112" s="13" t="s">
        <v>34</v>
      </c>
      <c r="K112" s="13" t="s">
        <v>34</v>
      </c>
      <c r="L112" s="13">
        <v>0</v>
      </c>
      <c r="M112" s="13">
        <v>48.5</v>
      </c>
      <c r="N112" s="13">
        <v>1610</v>
      </c>
      <c r="O112" s="13" t="s">
        <v>34</v>
      </c>
      <c r="P112" s="13" t="s">
        <v>34</v>
      </c>
      <c r="Q112" s="13" t="s">
        <v>34</v>
      </c>
      <c r="R112" s="13" t="s">
        <v>34</v>
      </c>
      <c r="S112" s="20">
        <f t="shared" si="1"/>
        <v>1.0000000000000001E-5</v>
      </c>
      <c r="T112" s="13" t="s">
        <v>36</v>
      </c>
      <c r="U112" s="13" t="s">
        <v>37</v>
      </c>
      <c r="V112" s="20" t="s">
        <v>48</v>
      </c>
      <c r="W112" s="13" t="s">
        <v>34</v>
      </c>
      <c r="X112" s="13" t="s">
        <v>43</v>
      </c>
      <c r="Y112" s="13">
        <v>1</v>
      </c>
      <c r="Z112" s="13" t="s">
        <v>39</v>
      </c>
      <c r="AA112" s="13" t="s">
        <v>43</v>
      </c>
      <c r="AB112" s="13">
        <v>6</v>
      </c>
      <c r="AC112" s="13" t="s">
        <v>79</v>
      </c>
      <c r="AD112" s="13" t="s">
        <v>32</v>
      </c>
      <c r="AE112" s="13">
        <v>0.9</v>
      </c>
      <c r="AF112" s="21" t="s">
        <v>125</v>
      </c>
      <c r="AG112" s="13">
        <v>2014</v>
      </c>
      <c r="AH112" s="21" t="s">
        <v>126</v>
      </c>
      <c r="AI112" s="2">
        <v>51</v>
      </c>
      <c r="AJ112" s="2">
        <v>2</v>
      </c>
      <c r="AK112" s="2">
        <v>1.5</v>
      </c>
    </row>
    <row r="113" spans="1:37" x14ac:dyDescent="0.3">
      <c r="A113" s="11">
        <v>8.0164526846591802</v>
      </c>
      <c r="B113" s="11">
        <v>1346.0719993842301</v>
      </c>
      <c r="C113" s="13" t="s">
        <v>33</v>
      </c>
      <c r="D113" s="13" t="s">
        <v>47</v>
      </c>
      <c r="E113" s="10" t="s">
        <v>170</v>
      </c>
      <c r="F113" s="13" t="s">
        <v>34</v>
      </c>
      <c r="G113" s="13">
        <v>0.46</v>
      </c>
      <c r="H113" s="13" t="s">
        <v>34</v>
      </c>
      <c r="I113" s="13" t="s">
        <v>34</v>
      </c>
      <c r="J113" s="13" t="s">
        <v>34</v>
      </c>
      <c r="K113" s="13" t="s">
        <v>34</v>
      </c>
      <c r="L113" s="13">
        <v>0</v>
      </c>
      <c r="M113" s="13">
        <v>48.5</v>
      </c>
      <c r="N113" s="13">
        <v>1610</v>
      </c>
      <c r="O113" s="13" t="s">
        <v>34</v>
      </c>
      <c r="P113" s="13" t="s">
        <v>34</v>
      </c>
      <c r="Q113" s="13" t="s">
        <v>34</v>
      </c>
      <c r="R113" s="13" t="s">
        <v>34</v>
      </c>
      <c r="S113" s="20">
        <f t="shared" si="1"/>
        <v>1.0000000000000001E-5</v>
      </c>
      <c r="T113" s="13" t="s">
        <v>36</v>
      </c>
      <c r="U113" s="13" t="s">
        <v>37</v>
      </c>
      <c r="V113" s="20" t="s">
        <v>48</v>
      </c>
      <c r="W113" s="13" t="s">
        <v>34</v>
      </c>
      <c r="X113" s="13" t="s">
        <v>43</v>
      </c>
      <c r="Y113" s="13">
        <v>1</v>
      </c>
      <c r="Z113" s="13" t="s">
        <v>39</v>
      </c>
      <c r="AA113" s="13" t="s">
        <v>43</v>
      </c>
      <c r="AB113" s="13">
        <v>6</v>
      </c>
      <c r="AC113" s="13" t="s">
        <v>80</v>
      </c>
      <c r="AD113" s="13" t="s">
        <v>32</v>
      </c>
      <c r="AE113" s="13">
        <v>0.9</v>
      </c>
      <c r="AF113" s="21" t="s">
        <v>125</v>
      </c>
      <c r="AG113" s="13">
        <v>2014</v>
      </c>
      <c r="AH113" s="21" t="s">
        <v>126</v>
      </c>
      <c r="AI113" s="2">
        <v>51</v>
      </c>
      <c r="AJ113" s="2">
        <v>2</v>
      </c>
      <c r="AK113" s="2">
        <v>1.5</v>
      </c>
    </row>
    <row r="114" spans="1:37" x14ac:dyDescent="0.3">
      <c r="A114" s="11">
        <v>8.5524731048546503</v>
      </c>
      <c r="B114" s="11">
        <v>1381.54698211611</v>
      </c>
      <c r="C114" s="13" t="s">
        <v>33</v>
      </c>
      <c r="D114" s="13" t="s">
        <v>47</v>
      </c>
      <c r="E114" s="10" t="s">
        <v>170</v>
      </c>
      <c r="F114" s="13" t="s">
        <v>34</v>
      </c>
      <c r="G114" s="13">
        <v>0.46</v>
      </c>
      <c r="H114" s="13" t="s">
        <v>34</v>
      </c>
      <c r="I114" s="13" t="s">
        <v>34</v>
      </c>
      <c r="J114" s="13" t="s">
        <v>34</v>
      </c>
      <c r="K114" s="13" t="s">
        <v>34</v>
      </c>
      <c r="L114" s="13">
        <v>0</v>
      </c>
      <c r="M114" s="13">
        <v>48.5</v>
      </c>
      <c r="N114" s="13">
        <v>1610</v>
      </c>
      <c r="O114" s="13" t="s">
        <v>34</v>
      </c>
      <c r="P114" s="13" t="s">
        <v>34</v>
      </c>
      <c r="Q114" s="13" t="s">
        <v>34</v>
      </c>
      <c r="R114" s="13" t="s">
        <v>34</v>
      </c>
      <c r="S114" s="20">
        <f t="shared" si="1"/>
        <v>1.0000000000000001E-5</v>
      </c>
      <c r="T114" s="13" t="s">
        <v>36</v>
      </c>
      <c r="U114" s="13" t="s">
        <v>37</v>
      </c>
      <c r="V114" s="20" t="s">
        <v>48</v>
      </c>
      <c r="W114" s="13" t="s">
        <v>34</v>
      </c>
      <c r="X114" s="13" t="s">
        <v>43</v>
      </c>
      <c r="Y114" s="13">
        <v>1</v>
      </c>
      <c r="Z114" s="13" t="s">
        <v>39</v>
      </c>
      <c r="AA114" s="13" t="s">
        <v>43</v>
      </c>
      <c r="AB114" s="13">
        <v>6</v>
      </c>
      <c r="AC114" s="13" t="s">
        <v>81</v>
      </c>
      <c r="AD114" s="13" t="s">
        <v>32</v>
      </c>
      <c r="AE114" s="13">
        <v>0.9</v>
      </c>
      <c r="AF114" s="21" t="s">
        <v>125</v>
      </c>
      <c r="AG114" s="13">
        <v>2014</v>
      </c>
      <c r="AH114" s="21" t="s">
        <v>126</v>
      </c>
      <c r="AI114" s="2">
        <v>51</v>
      </c>
      <c r="AJ114" s="2">
        <v>2</v>
      </c>
      <c r="AK114" s="2">
        <v>1.5</v>
      </c>
    </row>
    <row r="115" spans="1:37" x14ac:dyDescent="0.3">
      <c r="A115" s="11">
        <v>8.7856325375521305</v>
      </c>
      <c r="B115" s="11">
        <v>1385.4828774484799</v>
      </c>
      <c r="C115" s="13" t="s">
        <v>33</v>
      </c>
      <c r="D115" s="13" t="s">
        <v>47</v>
      </c>
      <c r="E115" s="10" t="s">
        <v>170</v>
      </c>
      <c r="F115" s="13" t="s">
        <v>34</v>
      </c>
      <c r="G115" s="13">
        <v>0.46</v>
      </c>
      <c r="H115" s="13" t="s">
        <v>34</v>
      </c>
      <c r="I115" s="13" t="s">
        <v>34</v>
      </c>
      <c r="J115" s="13" t="s">
        <v>34</v>
      </c>
      <c r="K115" s="13" t="s">
        <v>34</v>
      </c>
      <c r="L115" s="13">
        <v>0</v>
      </c>
      <c r="M115" s="13">
        <v>48.5</v>
      </c>
      <c r="N115" s="13">
        <v>1610</v>
      </c>
      <c r="O115" s="13" t="s">
        <v>34</v>
      </c>
      <c r="P115" s="13" t="s">
        <v>34</v>
      </c>
      <c r="Q115" s="13" t="s">
        <v>34</v>
      </c>
      <c r="R115" s="13" t="s">
        <v>34</v>
      </c>
      <c r="S115" s="20">
        <f t="shared" si="1"/>
        <v>1.0000000000000001E-5</v>
      </c>
      <c r="T115" s="13" t="s">
        <v>36</v>
      </c>
      <c r="U115" s="13" t="s">
        <v>37</v>
      </c>
      <c r="V115" s="20" t="s">
        <v>48</v>
      </c>
      <c r="W115" s="13" t="s">
        <v>34</v>
      </c>
      <c r="X115" s="13" t="s">
        <v>43</v>
      </c>
      <c r="Y115" s="13">
        <v>1</v>
      </c>
      <c r="Z115" s="13" t="s">
        <v>39</v>
      </c>
      <c r="AA115" s="13" t="s">
        <v>43</v>
      </c>
      <c r="AB115" s="13">
        <v>6</v>
      </c>
      <c r="AC115" s="13" t="s">
        <v>82</v>
      </c>
      <c r="AD115" s="13" t="s">
        <v>32</v>
      </c>
      <c r="AE115" s="13">
        <v>0.9</v>
      </c>
      <c r="AF115" s="21" t="s">
        <v>125</v>
      </c>
      <c r="AG115" s="13">
        <v>2014</v>
      </c>
      <c r="AH115" s="21" t="s">
        <v>126</v>
      </c>
      <c r="AI115" s="2">
        <v>51</v>
      </c>
      <c r="AJ115" s="2">
        <v>2</v>
      </c>
      <c r="AK115" s="2">
        <v>1.5</v>
      </c>
    </row>
    <row r="116" spans="1:37" x14ac:dyDescent="0.3">
      <c r="A116" s="11">
        <v>9.08167800736625</v>
      </c>
      <c r="B116" s="11">
        <v>1434.50502498532</v>
      </c>
      <c r="C116" s="13" t="s">
        <v>33</v>
      </c>
      <c r="D116" s="13" t="s">
        <v>47</v>
      </c>
      <c r="E116" s="10" t="s">
        <v>170</v>
      </c>
      <c r="F116" s="13" t="s">
        <v>34</v>
      </c>
      <c r="G116" s="13">
        <v>0.46</v>
      </c>
      <c r="H116" s="13" t="s">
        <v>34</v>
      </c>
      <c r="I116" s="13" t="s">
        <v>34</v>
      </c>
      <c r="J116" s="13" t="s">
        <v>34</v>
      </c>
      <c r="K116" s="13" t="s">
        <v>34</v>
      </c>
      <c r="L116" s="13">
        <v>0</v>
      </c>
      <c r="M116" s="13">
        <v>48.5</v>
      </c>
      <c r="N116" s="13">
        <v>1610</v>
      </c>
      <c r="O116" s="13" t="s">
        <v>34</v>
      </c>
      <c r="P116" s="13" t="s">
        <v>34</v>
      </c>
      <c r="Q116" s="13" t="s">
        <v>34</v>
      </c>
      <c r="R116" s="13" t="s">
        <v>34</v>
      </c>
      <c r="S116" s="20">
        <f t="shared" si="1"/>
        <v>1.0000000000000001E-5</v>
      </c>
      <c r="T116" s="13" t="s">
        <v>36</v>
      </c>
      <c r="U116" s="13" t="s">
        <v>37</v>
      </c>
      <c r="V116" s="20" t="s">
        <v>48</v>
      </c>
      <c r="W116" s="13" t="s">
        <v>34</v>
      </c>
      <c r="X116" s="13" t="s">
        <v>43</v>
      </c>
      <c r="Y116" s="13">
        <v>1</v>
      </c>
      <c r="Z116" s="13" t="s">
        <v>39</v>
      </c>
      <c r="AA116" s="13" t="s">
        <v>43</v>
      </c>
      <c r="AB116" s="13">
        <v>6</v>
      </c>
      <c r="AC116" s="13" t="s">
        <v>83</v>
      </c>
      <c r="AD116" s="13" t="s">
        <v>32</v>
      </c>
      <c r="AE116" s="13">
        <v>0.9</v>
      </c>
      <c r="AF116" s="21" t="s">
        <v>125</v>
      </c>
      <c r="AG116" s="13">
        <v>2014</v>
      </c>
      <c r="AH116" s="21" t="s">
        <v>126</v>
      </c>
      <c r="AI116" s="2">
        <v>51</v>
      </c>
      <c r="AJ116" s="2">
        <v>2</v>
      </c>
      <c r="AK116" s="2">
        <v>1.5</v>
      </c>
    </row>
    <row r="117" spans="1:37" x14ac:dyDescent="0.3">
      <c r="A117" s="11">
        <v>9.3246311671556601</v>
      </c>
      <c r="B117" s="11">
        <v>1449.1287627439899</v>
      </c>
      <c r="C117" s="13" t="s">
        <v>33</v>
      </c>
      <c r="D117" s="13" t="s">
        <v>47</v>
      </c>
      <c r="E117" s="10" t="s">
        <v>170</v>
      </c>
      <c r="F117" s="13" t="s">
        <v>34</v>
      </c>
      <c r="G117" s="13">
        <v>0.46</v>
      </c>
      <c r="H117" s="13" t="s">
        <v>34</v>
      </c>
      <c r="I117" s="13" t="s">
        <v>34</v>
      </c>
      <c r="J117" s="13" t="s">
        <v>34</v>
      </c>
      <c r="K117" s="13" t="s">
        <v>34</v>
      </c>
      <c r="L117" s="13">
        <v>0</v>
      </c>
      <c r="M117" s="13">
        <v>48.5</v>
      </c>
      <c r="N117" s="13">
        <v>1610</v>
      </c>
      <c r="O117" s="13" t="s">
        <v>34</v>
      </c>
      <c r="P117" s="13" t="s">
        <v>34</v>
      </c>
      <c r="Q117" s="13" t="s">
        <v>34</v>
      </c>
      <c r="R117" s="13" t="s">
        <v>34</v>
      </c>
      <c r="S117" s="20">
        <f t="shared" si="1"/>
        <v>1.0000000000000001E-5</v>
      </c>
      <c r="T117" s="13" t="s">
        <v>36</v>
      </c>
      <c r="U117" s="13" t="s">
        <v>37</v>
      </c>
      <c r="V117" s="20" t="s">
        <v>48</v>
      </c>
      <c r="W117" s="13" t="s">
        <v>34</v>
      </c>
      <c r="X117" s="13" t="s">
        <v>43</v>
      </c>
      <c r="Y117" s="13">
        <v>1</v>
      </c>
      <c r="Z117" s="13" t="s">
        <v>39</v>
      </c>
      <c r="AA117" s="13" t="s">
        <v>43</v>
      </c>
      <c r="AB117" s="13">
        <v>6</v>
      </c>
      <c r="AC117" s="13" t="s">
        <v>84</v>
      </c>
      <c r="AD117" s="13" t="s">
        <v>32</v>
      </c>
      <c r="AE117" s="13">
        <v>0.9</v>
      </c>
      <c r="AF117" s="21" t="s">
        <v>125</v>
      </c>
      <c r="AG117" s="13">
        <v>2014</v>
      </c>
      <c r="AH117" s="21" t="s">
        <v>126</v>
      </c>
      <c r="AI117" s="2">
        <v>51</v>
      </c>
      <c r="AJ117" s="2">
        <v>2</v>
      </c>
      <c r="AK117" s="2">
        <v>1.5</v>
      </c>
    </row>
    <row r="118" spans="1:37" x14ac:dyDescent="0.3">
      <c r="A118" s="11">
        <v>9.4390763532407806</v>
      </c>
      <c r="B118" s="11">
        <v>1402.1866670567399</v>
      </c>
      <c r="C118" s="13" t="s">
        <v>33</v>
      </c>
      <c r="D118" s="13" t="s">
        <v>47</v>
      </c>
      <c r="E118" s="10" t="s">
        <v>170</v>
      </c>
      <c r="F118" s="13" t="s">
        <v>34</v>
      </c>
      <c r="G118" s="13">
        <v>0.46</v>
      </c>
      <c r="H118" s="13" t="s">
        <v>34</v>
      </c>
      <c r="I118" s="13" t="s">
        <v>34</v>
      </c>
      <c r="J118" s="13" t="s">
        <v>34</v>
      </c>
      <c r="K118" s="13" t="s">
        <v>34</v>
      </c>
      <c r="L118" s="13">
        <v>0</v>
      </c>
      <c r="M118" s="13">
        <v>48.5</v>
      </c>
      <c r="N118" s="13">
        <v>1610</v>
      </c>
      <c r="O118" s="13" t="s">
        <v>34</v>
      </c>
      <c r="P118" s="13" t="s">
        <v>34</v>
      </c>
      <c r="Q118" s="13" t="s">
        <v>34</v>
      </c>
      <c r="R118" s="13" t="s">
        <v>34</v>
      </c>
      <c r="S118" s="20">
        <f t="shared" si="1"/>
        <v>1.0000000000000001E-5</v>
      </c>
      <c r="T118" s="13" t="s">
        <v>36</v>
      </c>
      <c r="U118" s="13" t="s">
        <v>37</v>
      </c>
      <c r="V118" s="20" t="s">
        <v>48</v>
      </c>
      <c r="W118" s="13" t="s">
        <v>34</v>
      </c>
      <c r="X118" s="13" t="s">
        <v>43</v>
      </c>
      <c r="Y118" s="13">
        <v>1</v>
      </c>
      <c r="Z118" s="13" t="s">
        <v>39</v>
      </c>
      <c r="AA118" s="13" t="s">
        <v>43</v>
      </c>
      <c r="AB118" s="13">
        <v>6</v>
      </c>
      <c r="AC118" s="13" t="s">
        <v>85</v>
      </c>
      <c r="AD118" s="13" t="s">
        <v>32</v>
      </c>
      <c r="AE118" s="13">
        <v>0.9</v>
      </c>
      <c r="AF118" s="21" t="s">
        <v>125</v>
      </c>
      <c r="AG118" s="13">
        <v>2014</v>
      </c>
      <c r="AH118" s="21" t="s">
        <v>126</v>
      </c>
      <c r="AI118" s="2">
        <v>51</v>
      </c>
      <c r="AJ118" s="2">
        <v>2</v>
      </c>
      <c r="AK118" s="2">
        <v>1.5</v>
      </c>
    </row>
    <row r="119" spans="1:37" x14ac:dyDescent="0.3">
      <c r="A119" s="11">
        <v>9.4677570385167602</v>
      </c>
      <c r="B119" s="11">
        <v>1505.27325385721</v>
      </c>
      <c r="C119" s="13" t="s">
        <v>33</v>
      </c>
      <c r="D119" s="13" t="s">
        <v>47</v>
      </c>
      <c r="E119" s="10" t="s">
        <v>170</v>
      </c>
      <c r="F119" s="13" t="s">
        <v>34</v>
      </c>
      <c r="G119" s="13">
        <v>0.46</v>
      </c>
      <c r="H119" s="13" t="s">
        <v>34</v>
      </c>
      <c r="I119" s="13" t="s">
        <v>34</v>
      </c>
      <c r="J119" s="13" t="s">
        <v>34</v>
      </c>
      <c r="K119" s="13" t="s">
        <v>34</v>
      </c>
      <c r="L119" s="13">
        <v>0</v>
      </c>
      <c r="M119" s="13">
        <v>48.5</v>
      </c>
      <c r="N119" s="13">
        <v>1610</v>
      </c>
      <c r="O119" s="13" t="s">
        <v>34</v>
      </c>
      <c r="P119" s="13" t="s">
        <v>34</v>
      </c>
      <c r="Q119" s="13" t="s">
        <v>34</v>
      </c>
      <c r="R119" s="13" t="s">
        <v>34</v>
      </c>
      <c r="S119" s="20">
        <f t="shared" si="1"/>
        <v>1.0000000000000001E-5</v>
      </c>
      <c r="T119" s="13" t="s">
        <v>36</v>
      </c>
      <c r="U119" s="13" t="s">
        <v>37</v>
      </c>
      <c r="V119" s="20" t="s">
        <v>48</v>
      </c>
      <c r="W119" s="13" t="s">
        <v>34</v>
      </c>
      <c r="X119" s="13" t="s">
        <v>43</v>
      </c>
      <c r="Y119" s="13">
        <v>1</v>
      </c>
      <c r="Z119" s="13" t="s">
        <v>39</v>
      </c>
      <c r="AA119" s="13" t="s">
        <v>43</v>
      </c>
      <c r="AB119" s="13">
        <v>6</v>
      </c>
      <c r="AC119" s="13" t="s">
        <v>86</v>
      </c>
      <c r="AD119" s="13" t="s">
        <v>32</v>
      </c>
      <c r="AE119" s="13">
        <v>0.9</v>
      </c>
      <c r="AF119" s="21" t="s">
        <v>125</v>
      </c>
      <c r="AG119" s="13">
        <v>2014</v>
      </c>
      <c r="AH119" s="21" t="s">
        <v>126</v>
      </c>
      <c r="AI119" s="2">
        <v>51</v>
      </c>
      <c r="AJ119" s="2">
        <v>2</v>
      </c>
      <c r="AK119" s="2">
        <v>1.5</v>
      </c>
    </row>
    <row r="120" spans="1:37" x14ac:dyDescent="0.3">
      <c r="A120" s="11">
        <v>9.5702761700639201</v>
      </c>
      <c r="B120" s="11">
        <v>1907.0149713580199</v>
      </c>
      <c r="C120" s="13" t="s">
        <v>33</v>
      </c>
      <c r="D120" s="13" t="s">
        <v>47</v>
      </c>
      <c r="E120" s="10" t="s">
        <v>170</v>
      </c>
      <c r="F120" s="13" t="s">
        <v>34</v>
      </c>
      <c r="G120" s="13">
        <v>0.46</v>
      </c>
      <c r="H120" s="13" t="s">
        <v>34</v>
      </c>
      <c r="I120" s="13" t="s">
        <v>34</v>
      </c>
      <c r="J120" s="13" t="s">
        <v>34</v>
      </c>
      <c r="K120" s="13" t="s">
        <v>34</v>
      </c>
      <c r="L120" s="13">
        <v>0</v>
      </c>
      <c r="M120" s="13">
        <v>48.5</v>
      </c>
      <c r="N120" s="13">
        <v>1610</v>
      </c>
      <c r="O120" s="13" t="s">
        <v>34</v>
      </c>
      <c r="P120" s="13" t="s">
        <v>34</v>
      </c>
      <c r="Q120" s="13" t="s">
        <v>34</v>
      </c>
      <c r="R120" s="13" t="s">
        <v>34</v>
      </c>
      <c r="S120" s="20">
        <f t="shared" si="1"/>
        <v>1.0000000000000001E-5</v>
      </c>
      <c r="T120" s="13" t="s">
        <v>36</v>
      </c>
      <c r="U120" s="13" t="s">
        <v>37</v>
      </c>
      <c r="V120" s="20" t="s">
        <v>48</v>
      </c>
      <c r="W120" s="13" t="s">
        <v>34</v>
      </c>
      <c r="X120" s="13" t="s">
        <v>43</v>
      </c>
      <c r="Y120" s="13">
        <v>1</v>
      </c>
      <c r="Z120" s="13" t="s">
        <v>39</v>
      </c>
      <c r="AA120" s="13" t="s">
        <v>43</v>
      </c>
      <c r="AB120" s="13">
        <v>6</v>
      </c>
      <c r="AC120" s="13" t="s">
        <v>87</v>
      </c>
      <c r="AD120" s="13" t="s">
        <v>32</v>
      </c>
      <c r="AE120" s="13">
        <v>0.9</v>
      </c>
      <c r="AF120" s="21" t="s">
        <v>125</v>
      </c>
      <c r="AG120" s="13">
        <v>2014</v>
      </c>
      <c r="AH120" s="21" t="s">
        <v>126</v>
      </c>
      <c r="AI120" s="2">
        <v>51</v>
      </c>
      <c r="AJ120" s="2">
        <v>2</v>
      </c>
      <c r="AK120" s="2">
        <v>1.5</v>
      </c>
    </row>
    <row r="121" spans="1:37" x14ac:dyDescent="0.3">
      <c r="A121" s="11">
        <v>9.7323594897725592</v>
      </c>
      <c r="B121" s="11">
        <v>1915.27100510271</v>
      </c>
      <c r="C121" s="13" t="s">
        <v>33</v>
      </c>
      <c r="D121" s="13" t="s">
        <v>47</v>
      </c>
      <c r="E121" s="10" t="s">
        <v>170</v>
      </c>
      <c r="F121" s="13" t="s">
        <v>34</v>
      </c>
      <c r="G121" s="13">
        <v>0.46</v>
      </c>
      <c r="H121" s="13" t="s">
        <v>34</v>
      </c>
      <c r="I121" s="13" t="s">
        <v>34</v>
      </c>
      <c r="J121" s="13" t="s">
        <v>34</v>
      </c>
      <c r="K121" s="13" t="s">
        <v>34</v>
      </c>
      <c r="L121" s="13">
        <v>0</v>
      </c>
      <c r="M121" s="13">
        <v>48.5</v>
      </c>
      <c r="N121" s="13">
        <v>1610</v>
      </c>
      <c r="O121" s="13" t="s">
        <v>34</v>
      </c>
      <c r="P121" s="13" t="s">
        <v>34</v>
      </c>
      <c r="Q121" s="13" t="s">
        <v>34</v>
      </c>
      <c r="R121" s="13" t="s">
        <v>34</v>
      </c>
      <c r="S121" s="20">
        <f t="shared" si="1"/>
        <v>1.0000000000000001E-5</v>
      </c>
      <c r="T121" s="13" t="s">
        <v>36</v>
      </c>
      <c r="U121" s="13" t="s">
        <v>37</v>
      </c>
      <c r="V121" s="20" t="s">
        <v>48</v>
      </c>
      <c r="W121" s="13" t="s">
        <v>34</v>
      </c>
      <c r="X121" s="13" t="s">
        <v>43</v>
      </c>
      <c r="Y121" s="13">
        <v>1</v>
      </c>
      <c r="Z121" s="13" t="s">
        <v>39</v>
      </c>
      <c r="AA121" s="13" t="s">
        <v>43</v>
      </c>
      <c r="AB121" s="13">
        <v>6</v>
      </c>
      <c r="AC121" s="13" t="s">
        <v>88</v>
      </c>
      <c r="AD121" s="13" t="s">
        <v>32</v>
      </c>
      <c r="AE121" s="13">
        <v>0.9</v>
      </c>
      <c r="AF121" s="21" t="s">
        <v>125</v>
      </c>
      <c r="AG121" s="13">
        <v>2014</v>
      </c>
      <c r="AH121" s="21" t="s">
        <v>126</v>
      </c>
      <c r="AI121" s="2">
        <v>51</v>
      </c>
      <c r="AJ121" s="2">
        <v>2</v>
      </c>
      <c r="AK121" s="2">
        <v>1.5</v>
      </c>
    </row>
    <row r="122" spans="1:37" x14ac:dyDescent="0.3">
      <c r="A122" s="11">
        <v>10.1277597436377</v>
      </c>
      <c r="B122" s="11">
        <v>1786.7378005067999</v>
      </c>
      <c r="C122" s="13" t="s">
        <v>33</v>
      </c>
      <c r="D122" s="13" t="s">
        <v>47</v>
      </c>
      <c r="E122" s="10" t="s">
        <v>170</v>
      </c>
      <c r="F122" s="13" t="s">
        <v>34</v>
      </c>
      <c r="G122" s="13">
        <v>0.46</v>
      </c>
      <c r="H122" s="13" t="s">
        <v>34</v>
      </c>
      <c r="I122" s="13" t="s">
        <v>34</v>
      </c>
      <c r="J122" s="13" t="s">
        <v>34</v>
      </c>
      <c r="K122" s="13" t="s">
        <v>34</v>
      </c>
      <c r="L122" s="13">
        <v>0</v>
      </c>
      <c r="M122" s="13">
        <v>48.5</v>
      </c>
      <c r="N122" s="13">
        <v>1610</v>
      </c>
      <c r="O122" s="13" t="s">
        <v>34</v>
      </c>
      <c r="P122" s="13" t="s">
        <v>34</v>
      </c>
      <c r="Q122" s="13" t="s">
        <v>34</v>
      </c>
      <c r="R122" s="13" t="s">
        <v>34</v>
      </c>
      <c r="S122" s="20">
        <f t="shared" si="1"/>
        <v>1.0000000000000001E-5</v>
      </c>
      <c r="T122" s="13" t="s">
        <v>36</v>
      </c>
      <c r="U122" s="13" t="s">
        <v>37</v>
      </c>
      <c r="V122" s="20" t="s">
        <v>48</v>
      </c>
      <c r="W122" s="13" t="s">
        <v>34</v>
      </c>
      <c r="X122" s="13" t="s">
        <v>43</v>
      </c>
      <c r="Y122" s="13">
        <v>1</v>
      </c>
      <c r="Z122" s="13" t="s">
        <v>39</v>
      </c>
      <c r="AA122" s="13" t="s">
        <v>43</v>
      </c>
      <c r="AB122" s="13">
        <v>6</v>
      </c>
      <c r="AC122" s="13" t="s">
        <v>89</v>
      </c>
      <c r="AD122" s="13" t="s">
        <v>32</v>
      </c>
      <c r="AE122" s="13">
        <v>0.9</v>
      </c>
      <c r="AF122" s="21" t="s">
        <v>125</v>
      </c>
      <c r="AG122" s="13">
        <v>2014</v>
      </c>
      <c r="AH122" s="21" t="s">
        <v>126</v>
      </c>
      <c r="AI122" s="2">
        <v>51</v>
      </c>
      <c r="AJ122" s="2">
        <v>2</v>
      </c>
      <c r="AK122" s="2">
        <v>1.5</v>
      </c>
    </row>
    <row r="123" spans="1:37" x14ac:dyDescent="0.3">
      <c r="A123" s="11">
        <v>10.1925651884877</v>
      </c>
      <c r="B123" s="11">
        <v>1929.6760212788799</v>
      </c>
      <c r="C123" s="13" t="s">
        <v>33</v>
      </c>
      <c r="D123" s="13" t="s">
        <v>47</v>
      </c>
      <c r="E123" s="10" t="s">
        <v>170</v>
      </c>
      <c r="F123" s="13" t="s">
        <v>34</v>
      </c>
      <c r="G123" s="13">
        <v>0.46</v>
      </c>
      <c r="H123" s="13" t="s">
        <v>34</v>
      </c>
      <c r="I123" s="13" t="s">
        <v>34</v>
      </c>
      <c r="J123" s="13" t="s">
        <v>34</v>
      </c>
      <c r="K123" s="13" t="s">
        <v>34</v>
      </c>
      <c r="L123" s="13">
        <v>0</v>
      </c>
      <c r="M123" s="13">
        <v>48.5</v>
      </c>
      <c r="N123" s="13">
        <v>1610</v>
      </c>
      <c r="O123" s="13" t="s">
        <v>34</v>
      </c>
      <c r="P123" s="13" t="s">
        <v>34</v>
      </c>
      <c r="Q123" s="13" t="s">
        <v>34</v>
      </c>
      <c r="R123" s="13" t="s">
        <v>34</v>
      </c>
      <c r="S123" s="20">
        <f t="shared" si="1"/>
        <v>1.0000000000000001E-5</v>
      </c>
      <c r="T123" s="13" t="s">
        <v>36</v>
      </c>
      <c r="U123" s="13" t="s">
        <v>37</v>
      </c>
      <c r="V123" s="20" t="s">
        <v>48</v>
      </c>
      <c r="W123" s="13" t="s">
        <v>34</v>
      </c>
      <c r="X123" s="13" t="s">
        <v>43</v>
      </c>
      <c r="Y123" s="13">
        <v>1</v>
      </c>
      <c r="Z123" s="13" t="s">
        <v>39</v>
      </c>
      <c r="AA123" s="13" t="s">
        <v>43</v>
      </c>
      <c r="AB123" s="13">
        <v>6</v>
      </c>
      <c r="AC123" s="13" t="s">
        <v>90</v>
      </c>
      <c r="AD123" s="13" t="s">
        <v>32</v>
      </c>
      <c r="AE123" s="13">
        <v>0.9</v>
      </c>
      <c r="AF123" s="21" t="s">
        <v>125</v>
      </c>
      <c r="AG123" s="13">
        <v>2014</v>
      </c>
      <c r="AH123" s="21" t="s">
        <v>126</v>
      </c>
      <c r="AI123" s="2">
        <v>51</v>
      </c>
      <c r="AJ123" s="2">
        <v>2</v>
      </c>
      <c r="AK123" s="2">
        <v>1.5</v>
      </c>
    </row>
    <row r="124" spans="1:37" x14ac:dyDescent="0.3">
      <c r="A124" s="11">
        <v>10.278402730091299</v>
      </c>
      <c r="B124" s="11">
        <v>1783.33023940934</v>
      </c>
      <c r="C124" s="13" t="s">
        <v>33</v>
      </c>
      <c r="D124" s="13" t="s">
        <v>47</v>
      </c>
      <c r="E124" s="10" t="s">
        <v>170</v>
      </c>
      <c r="F124" s="13" t="s">
        <v>34</v>
      </c>
      <c r="G124" s="13">
        <v>0.46</v>
      </c>
      <c r="H124" s="13" t="s">
        <v>34</v>
      </c>
      <c r="I124" s="13" t="s">
        <v>34</v>
      </c>
      <c r="J124" s="13" t="s">
        <v>34</v>
      </c>
      <c r="K124" s="13" t="s">
        <v>34</v>
      </c>
      <c r="L124" s="13">
        <v>0</v>
      </c>
      <c r="M124" s="13">
        <v>48.5</v>
      </c>
      <c r="N124" s="13">
        <v>1610</v>
      </c>
      <c r="O124" s="13" t="s">
        <v>34</v>
      </c>
      <c r="P124" s="13" t="s">
        <v>34</v>
      </c>
      <c r="Q124" s="13" t="s">
        <v>34</v>
      </c>
      <c r="R124" s="13" t="s">
        <v>34</v>
      </c>
      <c r="S124" s="20">
        <f t="shared" si="1"/>
        <v>1.0000000000000001E-5</v>
      </c>
      <c r="T124" s="13" t="s">
        <v>36</v>
      </c>
      <c r="U124" s="13" t="s">
        <v>37</v>
      </c>
      <c r="V124" s="20" t="s">
        <v>48</v>
      </c>
      <c r="W124" s="13" t="s">
        <v>34</v>
      </c>
      <c r="X124" s="13" t="s">
        <v>43</v>
      </c>
      <c r="Y124" s="13">
        <v>1</v>
      </c>
      <c r="Z124" s="13" t="s">
        <v>39</v>
      </c>
      <c r="AA124" s="13" t="s">
        <v>43</v>
      </c>
      <c r="AB124" s="13">
        <v>6</v>
      </c>
      <c r="AC124" s="13" t="s">
        <v>91</v>
      </c>
      <c r="AD124" s="13" t="s">
        <v>32</v>
      </c>
      <c r="AE124" s="13">
        <v>0.9</v>
      </c>
      <c r="AF124" s="21" t="s">
        <v>125</v>
      </c>
      <c r="AG124" s="13">
        <v>2014</v>
      </c>
      <c r="AH124" s="21" t="s">
        <v>126</v>
      </c>
      <c r="AI124" s="2">
        <v>51</v>
      </c>
      <c r="AJ124" s="2">
        <v>2</v>
      </c>
      <c r="AK124" s="2">
        <v>1.5</v>
      </c>
    </row>
    <row r="125" spans="1:37" x14ac:dyDescent="0.3">
      <c r="A125" s="11">
        <v>10.3505670349792</v>
      </c>
      <c r="B125" s="11">
        <v>1932.0634661909498</v>
      </c>
      <c r="C125" s="13" t="s">
        <v>33</v>
      </c>
      <c r="D125" s="13" t="s">
        <v>47</v>
      </c>
      <c r="E125" s="10" t="s">
        <v>170</v>
      </c>
      <c r="F125" s="13" t="s">
        <v>34</v>
      </c>
      <c r="G125" s="13">
        <v>0.46</v>
      </c>
      <c r="H125" s="13" t="s">
        <v>34</v>
      </c>
      <c r="I125" s="13" t="s">
        <v>34</v>
      </c>
      <c r="J125" s="13" t="s">
        <v>34</v>
      </c>
      <c r="K125" s="13" t="s">
        <v>34</v>
      </c>
      <c r="L125" s="13">
        <v>0</v>
      </c>
      <c r="M125" s="13">
        <v>48.5</v>
      </c>
      <c r="N125" s="13">
        <v>1610</v>
      </c>
      <c r="O125" s="13" t="s">
        <v>34</v>
      </c>
      <c r="P125" s="13" t="s">
        <v>34</v>
      </c>
      <c r="Q125" s="13" t="s">
        <v>34</v>
      </c>
      <c r="R125" s="13" t="s">
        <v>34</v>
      </c>
      <c r="S125" s="20">
        <f t="shared" si="1"/>
        <v>1.0000000000000001E-5</v>
      </c>
      <c r="T125" s="13" t="s">
        <v>36</v>
      </c>
      <c r="U125" s="13" t="s">
        <v>37</v>
      </c>
      <c r="V125" s="20" t="s">
        <v>48</v>
      </c>
      <c r="W125" s="13" t="s">
        <v>34</v>
      </c>
      <c r="X125" s="13" t="s">
        <v>43</v>
      </c>
      <c r="Y125" s="13">
        <v>1</v>
      </c>
      <c r="Z125" s="13" t="s">
        <v>39</v>
      </c>
      <c r="AA125" s="13" t="s">
        <v>43</v>
      </c>
      <c r="AB125" s="13">
        <v>6</v>
      </c>
      <c r="AC125" s="13" t="s">
        <v>92</v>
      </c>
      <c r="AD125" s="13" t="s">
        <v>32</v>
      </c>
      <c r="AE125" s="13">
        <v>0.9</v>
      </c>
      <c r="AF125" s="21" t="s">
        <v>125</v>
      </c>
      <c r="AG125" s="13">
        <v>2014</v>
      </c>
      <c r="AH125" s="21" t="s">
        <v>126</v>
      </c>
      <c r="AI125" s="2">
        <v>51</v>
      </c>
      <c r="AJ125" s="2">
        <v>2</v>
      </c>
      <c r="AK125" s="2">
        <v>1.5</v>
      </c>
    </row>
    <row r="126" spans="1:37" x14ac:dyDescent="0.3">
      <c r="A126" s="11">
        <v>10.817989164183301</v>
      </c>
      <c r="B126" s="11">
        <v>1834.70803934168</v>
      </c>
      <c r="C126" s="13" t="s">
        <v>33</v>
      </c>
      <c r="D126" s="13" t="s">
        <v>47</v>
      </c>
      <c r="E126" s="10" t="s">
        <v>170</v>
      </c>
      <c r="F126" s="13" t="s">
        <v>34</v>
      </c>
      <c r="G126" s="13">
        <v>0.46</v>
      </c>
      <c r="H126" s="13" t="s">
        <v>34</v>
      </c>
      <c r="I126" s="13" t="s">
        <v>34</v>
      </c>
      <c r="J126" s="13" t="s">
        <v>34</v>
      </c>
      <c r="K126" s="13" t="s">
        <v>34</v>
      </c>
      <c r="L126" s="13">
        <v>0</v>
      </c>
      <c r="M126" s="13">
        <v>48.5</v>
      </c>
      <c r="N126" s="13">
        <v>1610</v>
      </c>
      <c r="O126" s="13" t="s">
        <v>34</v>
      </c>
      <c r="P126" s="13" t="s">
        <v>34</v>
      </c>
      <c r="Q126" s="13" t="s">
        <v>34</v>
      </c>
      <c r="R126" s="13" t="s">
        <v>34</v>
      </c>
      <c r="S126" s="20">
        <f t="shared" si="1"/>
        <v>1.0000000000000001E-5</v>
      </c>
      <c r="T126" s="13" t="s">
        <v>36</v>
      </c>
      <c r="U126" s="13" t="s">
        <v>37</v>
      </c>
      <c r="V126" s="20" t="s">
        <v>48</v>
      </c>
      <c r="W126" s="13" t="s">
        <v>34</v>
      </c>
      <c r="X126" s="13" t="s">
        <v>43</v>
      </c>
      <c r="Y126" s="13">
        <v>1</v>
      </c>
      <c r="Z126" s="13" t="s">
        <v>39</v>
      </c>
      <c r="AA126" s="13" t="s">
        <v>43</v>
      </c>
      <c r="AB126" s="13">
        <v>6</v>
      </c>
      <c r="AC126" s="13" t="s">
        <v>93</v>
      </c>
      <c r="AD126" s="13" t="s">
        <v>32</v>
      </c>
      <c r="AE126" s="13">
        <v>0.9</v>
      </c>
      <c r="AF126" s="21" t="s">
        <v>125</v>
      </c>
      <c r="AG126" s="13">
        <v>2014</v>
      </c>
      <c r="AH126" s="21" t="s">
        <v>126</v>
      </c>
      <c r="AI126" s="2">
        <v>51</v>
      </c>
      <c r="AJ126" s="2">
        <v>2</v>
      </c>
      <c r="AK126" s="2">
        <v>1.5</v>
      </c>
    </row>
    <row r="127" spans="1:37" x14ac:dyDescent="0.3">
      <c r="A127" s="11">
        <v>11.0914538984955</v>
      </c>
      <c r="B127" s="11">
        <v>1998.6275219043901</v>
      </c>
      <c r="C127" s="13" t="s">
        <v>33</v>
      </c>
      <c r="D127" s="13" t="s">
        <v>47</v>
      </c>
      <c r="E127" s="10" t="s">
        <v>170</v>
      </c>
      <c r="F127" s="13" t="s">
        <v>34</v>
      </c>
      <c r="G127" s="13">
        <v>0.46</v>
      </c>
      <c r="H127" s="13" t="s">
        <v>34</v>
      </c>
      <c r="I127" s="13" t="s">
        <v>34</v>
      </c>
      <c r="J127" s="13" t="s">
        <v>34</v>
      </c>
      <c r="K127" s="13" t="s">
        <v>34</v>
      </c>
      <c r="L127" s="13">
        <v>0</v>
      </c>
      <c r="M127" s="13">
        <v>48.5</v>
      </c>
      <c r="N127" s="13">
        <v>1610</v>
      </c>
      <c r="O127" s="13" t="s">
        <v>34</v>
      </c>
      <c r="P127" s="13" t="s">
        <v>34</v>
      </c>
      <c r="Q127" s="13" t="s">
        <v>34</v>
      </c>
      <c r="R127" s="13" t="s">
        <v>34</v>
      </c>
      <c r="S127" s="20">
        <f t="shared" si="1"/>
        <v>1.0000000000000001E-5</v>
      </c>
      <c r="T127" s="13" t="s">
        <v>36</v>
      </c>
      <c r="U127" s="13" t="s">
        <v>37</v>
      </c>
      <c r="V127" s="20" t="s">
        <v>48</v>
      </c>
      <c r="W127" s="13" t="s">
        <v>34</v>
      </c>
      <c r="X127" s="13" t="s">
        <v>43</v>
      </c>
      <c r="Y127" s="13">
        <v>1</v>
      </c>
      <c r="Z127" s="13" t="s">
        <v>39</v>
      </c>
      <c r="AA127" s="13" t="s">
        <v>43</v>
      </c>
      <c r="AB127" s="13">
        <v>6</v>
      </c>
      <c r="AC127" s="13" t="s">
        <v>94</v>
      </c>
      <c r="AD127" s="13" t="s">
        <v>32</v>
      </c>
      <c r="AE127" s="13">
        <v>0.9</v>
      </c>
      <c r="AF127" s="21" t="s">
        <v>125</v>
      </c>
      <c r="AG127" s="13">
        <v>2014</v>
      </c>
      <c r="AH127" s="21" t="s">
        <v>126</v>
      </c>
      <c r="AI127" s="2">
        <v>51</v>
      </c>
      <c r="AJ127" s="2">
        <v>2</v>
      </c>
      <c r="AK127" s="2">
        <v>1.5</v>
      </c>
    </row>
    <row r="128" spans="1:37" x14ac:dyDescent="0.3">
      <c r="A128" s="11">
        <v>11.2868988909003</v>
      </c>
      <c r="B128" s="11">
        <v>1951.8000600674</v>
      </c>
      <c r="C128" s="13" t="s">
        <v>33</v>
      </c>
      <c r="D128" s="13" t="s">
        <v>47</v>
      </c>
      <c r="E128" s="10" t="s">
        <v>170</v>
      </c>
      <c r="F128" s="13" t="s">
        <v>34</v>
      </c>
      <c r="G128" s="13">
        <v>0.46</v>
      </c>
      <c r="H128" s="13" t="s">
        <v>34</v>
      </c>
      <c r="I128" s="13" t="s">
        <v>34</v>
      </c>
      <c r="J128" s="13" t="s">
        <v>34</v>
      </c>
      <c r="K128" s="13" t="s">
        <v>34</v>
      </c>
      <c r="L128" s="13">
        <v>0</v>
      </c>
      <c r="M128" s="13">
        <v>48.5</v>
      </c>
      <c r="N128" s="13">
        <v>1610</v>
      </c>
      <c r="O128" s="13" t="s">
        <v>34</v>
      </c>
      <c r="P128" s="13" t="s">
        <v>34</v>
      </c>
      <c r="Q128" s="13" t="s">
        <v>34</v>
      </c>
      <c r="R128" s="13" t="s">
        <v>34</v>
      </c>
      <c r="S128" s="20">
        <f t="shared" si="1"/>
        <v>1.0000000000000001E-5</v>
      </c>
      <c r="T128" s="13" t="s">
        <v>36</v>
      </c>
      <c r="U128" s="13" t="s">
        <v>37</v>
      </c>
      <c r="V128" s="20" t="s">
        <v>48</v>
      </c>
      <c r="W128" s="13" t="s">
        <v>34</v>
      </c>
      <c r="X128" s="13" t="s">
        <v>43</v>
      </c>
      <c r="Y128" s="13">
        <v>1</v>
      </c>
      <c r="Z128" s="13" t="s">
        <v>39</v>
      </c>
      <c r="AA128" s="13" t="s">
        <v>43</v>
      </c>
      <c r="AB128" s="13">
        <v>6</v>
      </c>
      <c r="AC128" s="13" t="s">
        <v>95</v>
      </c>
      <c r="AD128" s="13" t="s">
        <v>32</v>
      </c>
      <c r="AE128" s="13">
        <v>0.9</v>
      </c>
      <c r="AF128" s="21" t="s">
        <v>125</v>
      </c>
      <c r="AG128" s="13">
        <v>2014</v>
      </c>
      <c r="AH128" s="21" t="s">
        <v>126</v>
      </c>
      <c r="AI128" s="2">
        <v>51</v>
      </c>
      <c r="AJ128" s="2">
        <v>2</v>
      </c>
      <c r="AK128" s="2">
        <v>1.5</v>
      </c>
    </row>
    <row r="129" spans="1:37" x14ac:dyDescent="0.3">
      <c r="A129" s="11">
        <v>11.259837276567399</v>
      </c>
      <c r="B129" s="11">
        <v>2009.0470865046002</v>
      </c>
      <c r="C129" s="13" t="s">
        <v>33</v>
      </c>
      <c r="D129" s="13" t="s">
        <v>47</v>
      </c>
      <c r="E129" s="10" t="s">
        <v>170</v>
      </c>
      <c r="F129" s="13" t="s">
        <v>34</v>
      </c>
      <c r="G129" s="13">
        <v>0.46</v>
      </c>
      <c r="H129" s="13" t="s">
        <v>34</v>
      </c>
      <c r="I129" s="13" t="s">
        <v>34</v>
      </c>
      <c r="J129" s="13" t="s">
        <v>34</v>
      </c>
      <c r="K129" s="13" t="s">
        <v>34</v>
      </c>
      <c r="L129" s="13">
        <v>0</v>
      </c>
      <c r="M129" s="13">
        <v>48.5</v>
      </c>
      <c r="N129" s="13">
        <v>1610</v>
      </c>
      <c r="O129" s="13" t="s">
        <v>34</v>
      </c>
      <c r="P129" s="13" t="s">
        <v>34</v>
      </c>
      <c r="Q129" s="13" t="s">
        <v>34</v>
      </c>
      <c r="R129" s="13" t="s">
        <v>34</v>
      </c>
      <c r="S129" s="20">
        <f t="shared" si="1"/>
        <v>1.0000000000000001E-5</v>
      </c>
      <c r="T129" s="13" t="s">
        <v>36</v>
      </c>
      <c r="U129" s="13" t="s">
        <v>37</v>
      </c>
      <c r="V129" s="20" t="s">
        <v>48</v>
      </c>
      <c r="W129" s="13" t="s">
        <v>34</v>
      </c>
      <c r="X129" s="13" t="s">
        <v>43</v>
      </c>
      <c r="Y129" s="13">
        <v>1</v>
      </c>
      <c r="Z129" s="13" t="s">
        <v>39</v>
      </c>
      <c r="AA129" s="13" t="s">
        <v>43</v>
      </c>
      <c r="AB129" s="13">
        <v>6</v>
      </c>
      <c r="AC129" s="13" t="s">
        <v>96</v>
      </c>
      <c r="AD129" s="13" t="s">
        <v>32</v>
      </c>
      <c r="AE129" s="13">
        <v>0.9</v>
      </c>
      <c r="AF129" s="21" t="s">
        <v>125</v>
      </c>
      <c r="AG129" s="13">
        <v>2014</v>
      </c>
      <c r="AH129" s="21" t="s">
        <v>126</v>
      </c>
      <c r="AI129" s="2">
        <v>51</v>
      </c>
      <c r="AJ129" s="2">
        <v>2</v>
      </c>
      <c r="AK129" s="2">
        <v>1.5</v>
      </c>
    </row>
    <row r="130" spans="1:37" x14ac:dyDescent="0.3">
      <c r="A130" s="11">
        <v>12.1184074680547</v>
      </c>
      <c r="B130" s="11">
        <v>2078.5823024993897</v>
      </c>
      <c r="C130" s="13" t="s">
        <v>33</v>
      </c>
      <c r="D130" s="13" t="s">
        <v>47</v>
      </c>
      <c r="E130" s="10" t="s">
        <v>170</v>
      </c>
      <c r="F130" s="13" t="s">
        <v>34</v>
      </c>
      <c r="G130" s="13">
        <v>0.46</v>
      </c>
      <c r="H130" s="13" t="s">
        <v>34</v>
      </c>
      <c r="I130" s="13" t="s">
        <v>34</v>
      </c>
      <c r="J130" s="13" t="s">
        <v>34</v>
      </c>
      <c r="K130" s="13" t="s">
        <v>34</v>
      </c>
      <c r="L130" s="13">
        <v>0</v>
      </c>
      <c r="M130" s="13">
        <v>48.5</v>
      </c>
      <c r="N130" s="13">
        <v>1610</v>
      </c>
      <c r="O130" s="13" t="s">
        <v>34</v>
      </c>
      <c r="P130" s="13" t="s">
        <v>34</v>
      </c>
      <c r="Q130" s="13" t="s">
        <v>34</v>
      </c>
      <c r="R130" s="13" t="s">
        <v>34</v>
      </c>
      <c r="S130" s="20">
        <f t="shared" si="1"/>
        <v>1.0000000000000001E-5</v>
      </c>
      <c r="T130" s="13" t="s">
        <v>36</v>
      </c>
      <c r="U130" s="13" t="s">
        <v>37</v>
      </c>
      <c r="V130" s="20" t="s">
        <v>48</v>
      </c>
      <c r="W130" s="13" t="s">
        <v>34</v>
      </c>
      <c r="X130" s="13" t="s">
        <v>43</v>
      </c>
      <c r="Y130" s="13">
        <v>1</v>
      </c>
      <c r="Z130" s="13" t="s">
        <v>39</v>
      </c>
      <c r="AA130" s="13" t="s">
        <v>43</v>
      </c>
      <c r="AB130" s="13">
        <v>6</v>
      </c>
      <c r="AC130" s="13" t="s">
        <v>97</v>
      </c>
      <c r="AD130" s="13" t="s">
        <v>32</v>
      </c>
      <c r="AE130" s="13">
        <v>0.9</v>
      </c>
      <c r="AF130" s="21" t="s">
        <v>125</v>
      </c>
      <c r="AG130" s="13">
        <v>2014</v>
      </c>
      <c r="AH130" s="21" t="s">
        <v>126</v>
      </c>
      <c r="AI130" s="2">
        <v>51</v>
      </c>
      <c r="AJ130" s="2">
        <v>2</v>
      </c>
      <c r="AK130" s="2">
        <v>1.5</v>
      </c>
    </row>
    <row r="131" spans="1:37" x14ac:dyDescent="0.3">
      <c r="A131" s="11">
        <v>13.050714776203201</v>
      </c>
      <c r="B131" s="11">
        <v>2082.8684901198098</v>
      </c>
      <c r="C131" s="13" t="s">
        <v>33</v>
      </c>
      <c r="D131" s="13" t="s">
        <v>47</v>
      </c>
      <c r="E131" s="10" t="s">
        <v>170</v>
      </c>
      <c r="F131" s="13" t="s">
        <v>34</v>
      </c>
      <c r="G131" s="13">
        <v>0.46</v>
      </c>
      <c r="H131" s="13" t="s">
        <v>34</v>
      </c>
      <c r="I131" s="13" t="s">
        <v>34</v>
      </c>
      <c r="J131" s="13" t="s">
        <v>34</v>
      </c>
      <c r="K131" s="13" t="s">
        <v>34</v>
      </c>
      <c r="L131" s="13">
        <v>0</v>
      </c>
      <c r="M131" s="13">
        <v>48.5</v>
      </c>
      <c r="N131" s="13">
        <v>1610</v>
      </c>
      <c r="O131" s="13" t="s">
        <v>34</v>
      </c>
      <c r="P131" s="13" t="s">
        <v>34</v>
      </c>
      <c r="Q131" s="13" t="s">
        <v>34</v>
      </c>
      <c r="R131" s="13" t="s">
        <v>34</v>
      </c>
      <c r="S131" s="20">
        <f t="shared" si="1"/>
        <v>1.0000000000000001E-5</v>
      </c>
      <c r="T131" s="13" t="s">
        <v>36</v>
      </c>
      <c r="U131" s="13" t="s">
        <v>37</v>
      </c>
      <c r="V131" s="20" t="s">
        <v>48</v>
      </c>
      <c r="W131" s="13" t="s">
        <v>34</v>
      </c>
      <c r="X131" s="13" t="s">
        <v>43</v>
      </c>
      <c r="Y131" s="13">
        <v>1</v>
      </c>
      <c r="Z131" s="13" t="s">
        <v>39</v>
      </c>
      <c r="AA131" s="13" t="s">
        <v>43</v>
      </c>
      <c r="AB131" s="13">
        <v>6</v>
      </c>
      <c r="AC131" s="13" t="s">
        <v>98</v>
      </c>
      <c r="AD131" s="13" t="s">
        <v>32</v>
      </c>
      <c r="AE131" s="13">
        <v>0.9</v>
      </c>
      <c r="AF131" s="21" t="s">
        <v>125</v>
      </c>
      <c r="AG131" s="13">
        <v>2014</v>
      </c>
      <c r="AH131" s="21" t="s">
        <v>126</v>
      </c>
      <c r="AI131" s="2">
        <v>51</v>
      </c>
      <c r="AJ131" s="2">
        <v>2</v>
      </c>
      <c r="AK131" s="2">
        <v>1.5</v>
      </c>
    </row>
    <row r="132" spans="1:37" x14ac:dyDescent="0.3">
      <c r="A132" s="11">
        <v>13.307069878328999</v>
      </c>
      <c r="B132" s="11">
        <v>2114.0389118615399</v>
      </c>
      <c r="C132" s="13" t="s">
        <v>33</v>
      </c>
      <c r="D132" s="13" t="s">
        <v>47</v>
      </c>
      <c r="E132" s="10" t="s">
        <v>170</v>
      </c>
      <c r="F132" s="13" t="s">
        <v>34</v>
      </c>
      <c r="G132" s="13">
        <v>0.46</v>
      </c>
      <c r="H132" s="13" t="s">
        <v>34</v>
      </c>
      <c r="I132" s="13" t="s">
        <v>34</v>
      </c>
      <c r="J132" s="13" t="s">
        <v>34</v>
      </c>
      <c r="K132" s="13" t="s">
        <v>34</v>
      </c>
      <c r="L132" s="13">
        <v>0</v>
      </c>
      <c r="M132" s="13">
        <v>48.5</v>
      </c>
      <c r="N132" s="13">
        <v>1610</v>
      </c>
      <c r="O132" s="13" t="s">
        <v>34</v>
      </c>
      <c r="P132" s="13" t="s">
        <v>34</v>
      </c>
      <c r="Q132" s="13" t="s">
        <v>34</v>
      </c>
      <c r="R132" s="13" t="s">
        <v>34</v>
      </c>
      <c r="S132" s="20">
        <f t="shared" si="1"/>
        <v>1.0000000000000001E-5</v>
      </c>
      <c r="T132" s="13" t="s">
        <v>36</v>
      </c>
      <c r="U132" s="13" t="s">
        <v>37</v>
      </c>
      <c r="V132" s="20" t="s">
        <v>48</v>
      </c>
      <c r="W132" s="13" t="s">
        <v>34</v>
      </c>
      <c r="X132" s="13" t="s">
        <v>43</v>
      </c>
      <c r="Y132" s="13">
        <v>1</v>
      </c>
      <c r="Z132" s="13" t="s">
        <v>39</v>
      </c>
      <c r="AA132" s="13" t="s">
        <v>43</v>
      </c>
      <c r="AB132" s="13">
        <v>6</v>
      </c>
      <c r="AC132" s="13" t="s">
        <v>99</v>
      </c>
      <c r="AD132" s="13" t="s">
        <v>32</v>
      </c>
      <c r="AE132" s="13">
        <v>0.9</v>
      </c>
      <c r="AF132" s="21" t="s">
        <v>125</v>
      </c>
      <c r="AG132" s="13">
        <v>2014</v>
      </c>
      <c r="AH132" s="21" t="s">
        <v>126</v>
      </c>
      <c r="AI132" s="2">
        <v>51</v>
      </c>
      <c r="AJ132" s="2">
        <v>2</v>
      </c>
      <c r="AK132" s="2">
        <v>1.5</v>
      </c>
    </row>
    <row r="133" spans="1:37" x14ac:dyDescent="0.3">
      <c r="A133" s="11">
        <v>13.232328276837899</v>
      </c>
      <c r="B133" s="11">
        <v>2064.65848361503</v>
      </c>
      <c r="C133" s="13" t="s">
        <v>33</v>
      </c>
      <c r="D133" s="13" t="s">
        <v>47</v>
      </c>
      <c r="E133" s="10" t="s">
        <v>170</v>
      </c>
      <c r="F133" s="13" t="s">
        <v>34</v>
      </c>
      <c r="G133" s="13">
        <v>0.46</v>
      </c>
      <c r="H133" s="13" t="s">
        <v>34</v>
      </c>
      <c r="I133" s="13" t="s">
        <v>34</v>
      </c>
      <c r="J133" s="13" t="s">
        <v>34</v>
      </c>
      <c r="K133" s="13" t="s">
        <v>34</v>
      </c>
      <c r="L133" s="13">
        <v>0</v>
      </c>
      <c r="M133" s="13">
        <v>48.5</v>
      </c>
      <c r="N133" s="13">
        <v>1610</v>
      </c>
      <c r="O133" s="13" t="s">
        <v>34</v>
      </c>
      <c r="P133" s="13" t="s">
        <v>34</v>
      </c>
      <c r="Q133" s="13" t="s">
        <v>34</v>
      </c>
      <c r="R133" s="13" t="s">
        <v>34</v>
      </c>
      <c r="S133" s="20">
        <f t="shared" si="1"/>
        <v>1.0000000000000001E-5</v>
      </c>
      <c r="T133" s="13" t="s">
        <v>36</v>
      </c>
      <c r="U133" s="13" t="s">
        <v>37</v>
      </c>
      <c r="V133" s="20" t="s">
        <v>48</v>
      </c>
      <c r="W133" s="13" t="s">
        <v>34</v>
      </c>
      <c r="X133" s="13" t="s">
        <v>43</v>
      </c>
      <c r="Y133" s="13">
        <v>1</v>
      </c>
      <c r="Z133" s="13" t="s">
        <v>39</v>
      </c>
      <c r="AA133" s="13" t="s">
        <v>43</v>
      </c>
      <c r="AB133" s="13">
        <v>6</v>
      </c>
      <c r="AC133" s="13" t="s">
        <v>100</v>
      </c>
      <c r="AD133" s="13" t="s">
        <v>32</v>
      </c>
      <c r="AE133" s="13">
        <v>0.9</v>
      </c>
      <c r="AF133" s="21" t="s">
        <v>125</v>
      </c>
      <c r="AG133" s="13">
        <v>2014</v>
      </c>
      <c r="AH133" s="21" t="s">
        <v>126</v>
      </c>
      <c r="AI133" s="2">
        <v>51</v>
      </c>
      <c r="AJ133" s="2">
        <v>2</v>
      </c>
      <c r="AK133" s="2">
        <v>1.5</v>
      </c>
    </row>
    <row r="134" spans="1:37" x14ac:dyDescent="0.3">
      <c r="A134" s="11">
        <v>13.5678922945668</v>
      </c>
      <c r="B134" s="11">
        <v>2135.64479639716</v>
      </c>
      <c r="C134" s="13" t="s">
        <v>33</v>
      </c>
      <c r="D134" s="13" t="s">
        <v>47</v>
      </c>
      <c r="E134" s="10" t="s">
        <v>170</v>
      </c>
      <c r="F134" s="13" t="s">
        <v>34</v>
      </c>
      <c r="G134" s="13">
        <v>0.46</v>
      </c>
      <c r="H134" s="13" t="s">
        <v>34</v>
      </c>
      <c r="I134" s="13" t="s">
        <v>34</v>
      </c>
      <c r="J134" s="13" t="s">
        <v>34</v>
      </c>
      <c r="K134" s="13" t="s">
        <v>34</v>
      </c>
      <c r="L134" s="13">
        <v>0</v>
      </c>
      <c r="M134" s="13">
        <v>48.5</v>
      </c>
      <c r="N134" s="13">
        <v>1610</v>
      </c>
      <c r="O134" s="13" t="s">
        <v>34</v>
      </c>
      <c r="P134" s="13" t="s">
        <v>34</v>
      </c>
      <c r="Q134" s="13" t="s">
        <v>34</v>
      </c>
      <c r="R134" s="13" t="s">
        <v>34</v>
      </c>
      <c r="S134" s="20">
        <f t="shared" si="1"/>
        <v>1.0000000000000001E-5</v>
      </c>
      <c r="T134" s="13" t="s">
        <v>36</v>
      </c>
      <c r="U134" s="13" t="s">
        <v>37</v>
      </c>
      <c r="V134" s="20" t="s">
        <v>48</v>
      </c>
      <c r="W134" s="13" t="s">
        <v>34</v>
      </c>
      <c r="X134" s="13" t="s">
        <v>43</v>
      </c>
      <c r="Y134" s="13">
        <v>1</v>
      </c>
      <c r="Z134" s="13" t="s">
        <v>39</v>
      </c>
      <c r="AA134" s="13" t="s">
        <v>43</v>
      </c>
      <c r="AB134" s="13">
        <v>6</v>
      </c>
      <c r="AC134" s="13" t="s">
        <v>101</v>
      </c>
      <c r="AD134" s="13" t="s">
        <v>32</v>
      </c>
      <c r="AE134" s="13">
        <v>0.9</v>
      </c>
      <c r="AF134" s="21" t="s">
        <v>125</v>
      </c>
      <c r="AG134" s="13">
        <v>2014</v>
      </c>
      <c r="AH134" s="21" t="s">
        <v>126</v>
      </c>
      <c r="AI134" s="2">
        <v>51</v>
      </c>
      <c r="AJ134" s="2">
        <v>2</v>
      </c>
      <c r="AK134" s="2">
        <v>1.5</v>
      </c>
    </row>
    <row r="135" spans="1:37" x14ac:dyDescent="0.3">
      <c r="A135" s="11">
        <v>13.713423642757499</v>
      </c>
      <c r="B135" s="11">
        <v>2129.5990257744802</v>
      </c>
      <c r="C135" s="13" t="s">
        <v>33</v>
      </c>
      <c r="D135" s="13" t="s">
        <v>47</v>
      </c>
      <c r="E135" s="10" t="s">
        <v>170</v>
      </c>
      <c r="F135" s="13" t="s">
        <v>34</v>
      </c>
      <c r="G135" s="13">
        <v>0.46</v>
      </c>
      <c r="H135" s="13" t="s">
        <v>34</v>
      </c>
      <c r="I135" s="13" t="s">
        <v>34</v>
      </c>
      <c r="J135" s="13" t="s">
        <v>34</v>
      </c>
      <c r="K135" s="13" t="s">
        <v>34</v>
      </c>
      <c r="L135" s="13">
        <v>0</v>
      </c>
      <c r="M135" s="13">
        <v>48.5</v>
      </c>
      <c r="N135" s="13">
        <v>1610</v>
      </c>
      <c r="O135" s="13" t="s">
        <v>34</v>
      </c>
      <c r="P135" s="13" t="s">
        <v>34</v>
      </c>
      <c r="Q135" s="13" t="s">
        <v>34</v>
      </c>
      <c r="R135" s="13" t="s">
        <v>34</v>
      </c>
      <c r="S135" s="20">
        <f t="shared" si="1"/>
        <v>1.0000000000000001E-5</v>
      </c>
      <c r="T135" s="13" t="s">
        <v>36</v>
      </c>
      <c r="U135" s="13" t="s">
        <v>37</v>
      </c>
      <c r="V135" s="20" t="s">
        <v>48</v>
      </c>
      <c r="W135" s="13" t="s">
        <v>34</v>
      </c>
      <c r="X135" s="13" t="s">
        <v>43</v>
      </c>
      <c r="Y135" s="13">
        <v>1</v>
      </c>
      <c r="Z135" s="13" t="s">
        <v>39</v>
      </c>
      <c r="AA135" s="13" t="s">
        <v>43</v>
      </c>
      <c r="AB135" s="13">
        <v>6</v>
      </c>
      <c r="AC135" s="13" t="s">
        <v>102</v>
      </c>
      <c r="AD135" s="13" t="s">
        <v>32</v>
      </c>
      <c r="AE135" s="13">
        <v>0.9</v>
      </c>
      <c r="AF135" s="21" t="s">
        <v>125</v>
      </c>
      <c r="AG135" s="13">
        <v>2014</v>
      </c>
      <c r="AH135" s="21" t="s">
        <v>126</v>
      </c>
      <c r="AI135" s="2">
        <v>51</v>
      </c>
      <c r="AJ135" s="2">
        <v>2</v>
      </c>
      <c r="AK135" s="2">
        <v>1.5</v>
      </c>
    </row>
    <row r="136" spans="1:37" x14ac:dyDescent="0.3">
      <c r="A136" s="11">
        <v>13.8457248683854</v>
      </c>
      <c r="B136" s="11">
        <v>2134.4453348908601</v>
      </c>
      <c r="C136" s="13" t="s">
        <v>33</v>
      </c>
      <c r="D136" s="13" t="s">
        <v>47</v>
      </c>
      <c r="E136" s="10" t="s">
        <v>170</v>
      </c>
      <c r="F136" s="13" t="s">
        <v>34</v>
      </c>
      <c r="G136" s="13">
        <v>0.46</v>
      </c>
      <c r="H136" s="13" t="s">
        <v>34</v>
      </c>
      <c r="I136" s="13" t="s">
        <v>34</v>
      </c>
      <c r="J136" s="13" t="s">
        <v>34</v>
      </c>
      <c r="K136" s="13" t="s">
        <v>34</v>
      </c>
      <c r="L136" s="13">
        <v>0</v>
      </c>
      <c r="M136" s="13">
        <v>48.5</v>
      </c>
      <c r="N136" s="13">
        <v>1610</v>
      </c>
      <c r="O136" s="13" t="s">
        <v>34</v>
      </c>
      <c r="P136" s="13" t="s">
        <v>34</v>
      </c>
      <c r="Q136" s="13" t="s">
        <v>34</v>
      </c>
      <c r="R136" s="13" t="s">
        <v>34</v>
      </c>
      <c r="S136" s="20">
        <f t="shared" si="1"/>
        <v>1.0000000000000001E-5</v>
      </c>
      <c r="T136" s="13" t="s">
        <v>36</v>
      </c>
      <c r="U136" s="13" t="s">
        <v>37</v>
      </c>
      <c r="V136" s="20" t="s">
        <v>48</v>
      </c>
      <c r="W136" s="13" t="s">
        <v>34</v>
      </c>
      <c r="X136" s="13" t="s">
        <v>43</v>
      </c>
      <c r="Y136" s="13">
        <v>1</v>
      </c>
      <c r="Z136" s="13" t="s">
        <v>39</v>
      </c>
      <c r="AA136" s="13" t="s">
        <v>43</v>
      </c>
      <c r="AB136" s="13">
        <v>6</v>
      </c>
      <c r="AC136" s="13" t="s">
        <v>103</v>
      </c>
      <c r="AD136" s="13" t="s">
        <v>32</v>
      </c>
      <c r="AE136" s="13">
        <v>0.9</v>
      </c>
      <c r="AF136" s="21" t="s">
        <v>125</v>
      </c>
      <c r="AG136" s="13">
        <v>2014</v>
      </c>
      <c r="AH136" s="21" t="s">
        <v>126</v>
      </c>
      <c r="AI136" s="2">
        <v>51</v>
      </c>
      <c r="AJ136" s="2">
        <v>2</v>
      </c>
      <c r="AK136" s="2">
        <v>1.5</v>
      </c>
    </row>
    <row r="137" spans="1:37" x14ac:dyDescent="0.3">
      <c r="A137" s="11">
        <v>14.426204408580499</v>
      </c>
      <c r="B137" s="11">
        <v>2213.2998855923297</v>
      </c>
      <c r="C137" s="13" t="s">
        <v>33</v>
      </c>
      <c r="D137" s="13" t="s">
        <v>47</v>
      </c>
      <c r="E137" s="10" t="s">
        <v>170</v>
      </c>
      <c r="F137" s="13" t="s">
        <v>34</v>
      </c>
      <c r="G137" s="13">
        <v>0.46</v>
      </c>
      <c r="H137" s="13" t="s">
        <v>34</v>
      </c>
      <c r="I137" s="13" t="s">
        <v>34</v>
      </c>
      <c r="J137" s="13" t="s">
        <v>34</v>
      </c>
      <c r="K137" s="13" t="s">
        <v>34</v>
      </c>
      <c r="L137" s="13">
        <v>0</v>
      </c>
      <c r="M137" s="13">
        <v>48.5</v>
      </c>
      <c r="N137" s="13">
        <v>1610</v>
      </c>
      <c r="O137" s="13" t="s">
        <v>34</v>
      </c>
      <c r="P137" s="13" t="s">
        <v>34</v>
      </c>
      <c r="Q137" s="13" t="s">
        <v>34</v>
      </c>
      <c r="R137" s="13" t="s">
        <v>34</v>
      </c>
      <c r="S137" s="20">
        <f t="shared" si="1"/>
        <v>1.0000000000000001E-5</v>
      </c>
      <c r="T137" s="13" t="s">
        <v>36</v>
      </c>
      <c r="U137" s="13" t="s">
        <v>37</v>
      </c>
      <c r="V137" s="20" t="s">
        <v>48</v>
      </c>
      <c r="W137" s="13" t="s">
        <v>34</v>
      </c>
      <c r="X137" s="13" t="s">
        <v>43</v>
      </c>
      <c r="Y137" s="13">
        <v>1</v>
      </c>
      <c r="Z137" s="13" t="s">
        <v>39</v>
      </c>
      <c r="AA137" s="13" t="s">
        <v>43</v>
      </c>
      <c r="AB137" s="13">
        <v>6</v>
      </c>
      <c r="AC137" s="13" t="s">
        <v>104</v>
      </c>
      <c r="AD137" s="13" t="s">
        <v>32</v>
      </c>
      <c r="AE137" s="13">
        <v>0.9</v>
      </c>
      <c r="AF137" s="21" t="s">
        <v>125</v>
      </c>
      <c r="AG137" s="13">
        <v>2014</v>
      </c>
      <c r="AH137" s="21" t="s">
        <v>126</v>
      </c>
      <c r="AI137" s="2">
        <v>51</v>
      </c>
      <c r="AJ137" s="2">
        <v>2</v>
      </c>
      <c r="AK137" s="2">
        <v>1.5</v>
      </c>
    </row>
    <row r="138" spans="1:37" x14ac:dyDescent="0.3">
      <c r="A138" s="11">
        <v>14.5842062550721</v>
      </c>
      <c r="B138" s="11">
        <v>2213.3917103966401</v>
      </c>
      <c r="C138" s="13" t="s">
        <v>33</v>
      </c>
      <c r="D138" s="13" t="s">
        <v>47</v>
      </c>
      <c r="E138" s="10" t="s">
        <v>170</v>
      </c>
      <c r="F138" s="13" t="s">
        <v>34</v>
      </c>
      <c r="G138" s="13">
        <v>0.46</v>
      </c>
      <c r="H138" s="13" t="s">
        <v>34</v>
      </c>
      <c r="I138" s="13" t="s">
        <v>34</v>
      </c>
      <c r="J138" s="13" t="s">
        <v>34</v>
      </c>
      <c r="K138" s="13" t="s">
        <v>34</v>
      </c>
      <c r="L138" s="13">
        <v>0</v>
      </c>
      <c r="M138" s="13">
        <v>48.5</v>
      </c>
      <c r="N138" s="13">
        <v>1610</v>
      </c>
      <c r="O138" s="13" t="s">
        <v>34</v>
      </c>
      <c r="P138" s="13" t="s">
        <v>34</v>
      </c>
      <c r="Q138" s="13" t="s">
        <v>34</v>
      </c>
      <c r="R138" s="13" t="s">
        <v>34</v>
      </c>
      <c r="S138" s="20">
        <f t="shared" si="1"/>
        <v>1.0000000000000001E-5</v>
      </c>
      <c r="T138" s="13" t="s">
        <v>36</v>
      </c>
      <c r="U138" s="13" t="s">
        <v>37</v>
      </c>
      <c r="V138" s="20" t="s">
        <v>48</v>
      </c>
      <c r="W138" s="13" t="s">
        <v>34</v>
      </c>
      <c r="X138" s="13" t="s">
        <v>43</v>
      </c>
      <c r="Y138" s="13">
        <v>1</v>
      </c>
      <c r="Z138" s="13" t="s">
        <v>39</v>
      </c>
      <c r="AA138" s="13" t="s">
        <v>43</v>
      </c>
      <c r="AB138" s="13">
        <v>6</v>
      </c>
      <c r="AC138" s="13" t="s">
        <v>105</v>
      </c>
      <c r="AD138" s="13" t="s">
        <v>32</v>
      </c>
      <c r="AE138" s="13">
        <v>0.9</v>
      </c>
      <c r="AF138" s="21" t="s">
        <v>125</v>
      </c>
      <c r="AG138" s="13">
        <v>2014</v>
      </c>
      <c r="AH138" s="21" t="s">
        <v>126</v>
      </c>
      <c r="AI138" s="2">
        <v>51</v>
      </c>
      <c r="AJ138" s="2">
        <v>2</v>
      </c>
      <c r="AK138" s="2">
        <v>1.5</v>
      </c>
    </row>
    <row r="139" spans="1:37" x14ac:dyDescent="0.3">
      <c r="A139" s="11">
        <v>2.9769787266509899</v>
      </c>
      <c r="B139" s="11">
        <v>185.502123739854</v>
      </c>
      <c r="C139" s="13" t="s">
        <v>33</v>
      </c>
      <c r="D139" s="13" t="s">
        <v>47</v>
      </c>
      <c r="E139" s="10" t="s">
        <v>170</v>
      </c>
      <c r="F139" s="13" t="s">
        <v>34</v>
      </c>
      <c r="G139" s="13">
        <v>0.46</v>
      </c>
      <c r="H139" s="13" t="s">
        <v>34</v>
      </c>
      <c r="I139" s="13" t="s">
        <v>34</v>
      </c>
      <c r="J139" s="13" t="s">
        <v>34</v>
      </c>
      <c r="K139" s="13" t="s">
        <v>34</v>
      </c>
      <c r="L139" s="13">
        <v>0</v>
      </c>
      <c r="M139" s="13">
        <v>48.5</v>
      </c>
      <c r="N139" s="13">
        <v>1610</v>
      </c>
      <c r="O139" s="13" t="s">
        <v>34</v>
      </c>
      <c r="P139" s="13" t="s">
        <v>34</v>
      </c>
      <c r="Q139" s="13" t="s">
        <v>34</v>
      </c>
      <c r="R139" s="13" t="s">
        <v>34</v>
      </c>
      <c r="S139" s="20">
        <f t="shared" si="1"/>
        <v>1.0000000000000001E-5</v>
      </c>
      <c r="T139" s="10" t="s">
        <v>49</v>
      </c>
      <c r="U139" s="10" t="s">
        <v>50</v>
      </c>
      <c r="V139" s="20" t="s">
        <v>48</v>
      </c>
      <c r="W139" s="13" t="s">
        <v>34</v>
      </c>
      <c r="X139" s="13" t="s">
        <v>43</v>
      </c>
      <c r="Y139" s="13">
        <v>1</v>
      </c>
      <c r="Z139" s="10" t="s">
        <v>51</v>
      </c>
      <c r="AA139" s="13" t="s">
        <v>43</v>
      </c>
      <c r="AB139" s="13">
        <v>6</v>
      </c>
      <c r="AC139" s="13" t="s">
        <v>106</v>
      </c>
      <c r="AD139" s="13" t="s">
        <v>32</v>
      </c>
      <c r="AE139" s="13">
        <v>0.9</v>
      </c>
      <c r="AF139" s="21" t="s">
        <v>125</v>
      </c>
      <c r="AG139" s="13">
        <v>2014</v>
      </c>
      <c r="AH139" s="21" t="s">
        <v>126</v>
      </c>
      <c r="AI139" s="2">
        <v>51</v>
      </c>
      <c r="AJ139" s="2">
        <v>2</v>
      </c>
      <c r="AK139" s="2">
        <v>1.5</v>
      </c>
    </row>
    <row r="140" spans="1:37" x14ac:dyDescent="0.3">
      <c r="A140" s="11">
        <v>3.1694168730188399</v>
      </c>
      <c r="B140" s="11">
        <v>115.42449391704299</v>
      </c>
      <c r="C140" s="13" t="s">
        <v>33</v>
      </c>
      <c r="D140" s="13" t="s">
        <v>47</v>
      </c>
      <c r="E140" s="10" t="s">
        <v>170</v>
      </c>
      <c r="F140" s="13" t="s">
        <v>34</v>
      </c>
      <c r="G140" s="13">
        <v>0.46</v>
      </c>
      <c r="H140" s="13" t="s">
        <v>34</v>
      </c>
      <c r="I140" s="13" t="s">
        <v>34</v>
      </c>
      <c r="J140" s="13" t="s">
        <v>34</v>
      </c>
      <c r="K140" s="13" t="s">
        <v>34</v>
      </c>
      <c r="L140" s="13">
        <v>0</v>
      </c>
      <c r="M140" s="13">
        <v>48.5</v>
      </c>
      <c r="N140" s="13">
        <v>1610</v>
      </c>
      <c r="O140" s="13" t="s">
        <v>34</v>
      </c>
      <c r="P140" s="13" t="s">
        <v>34</v>
      </c>
      <c r="Q140" s="13" t="s">
        <v>34</v>
      </c>
      <c r="R140" s="13" t="s">
        <v>34</v>
      </c>
      <c r="S140" s="20">
        <f t="shared" si="1"/>
        <v>1.0000000000000001E-5</v>
      </c>
      <c r="T140" s="10" t="s">
        <v>49</v>
      </c>
      <c r="U140" s="10" t="s">
        <v>50</v>
      </c>
      <c r="V140" s="20" t="s">
        <v>48</v>
      </c>
      <c r="W140" s="13" t="s">
        <v>34</v>
      </c>
      <c r="X140" s="13" t="s">
        <v>43</v>
      </c>
      <c r="Y140" s="13">
        <v>1</v>
      </c>
      <c r="Z140" s="10" t="s">
        <v>51</v>
      </c>
      <c r="AA140" s="13" t="s">
        <v>43</v>
      </c>
      <c r="AB140" s="13">
        <v>6</v>
      </c>
      <c r="AC140" s="13" t="s">
        <v>107</v>
      </c>
      <c r="AD140" s="13" t="s">
        <v>32</v>
      </c>
      <c r="AE140" s="13">
        <v>0.9</v>
      </c>
      <c r="AF140" s="21" t="s">
        <v>125</v>
      </c>
      <c r="AG140" s="13">
        <v>2014</v>
      </c>
      <c r="AH140" s="21" t="s">
        <v>126</v>
      </c>
      <c r="AI140" s="2">
        <v>51</v>
      </c>
      <c r="AJ140" s="2">
        <v>2</v>
      </c>
      <c r="AK140" s="2">
        <v>1.5</v>
      </c>
    </row>
    <row r="141" spans="1:37" x14ac:dyDescent="0.3">
      <c r="A141" s="11">
        <v>3.43860118490245</v>
      </c>
      <c r="B141" s="11">
        <v>125.425198943624</v>
      </c>
      <c r="C141" s="13" t="s">
        <v>33</v>
      </c>
      <c r="D141" s="13" t="s">
        <v>47</v>
      </c>
      <c r="E141" s="10" t="s">
        <v>170</v>
      </c>
      <c r="F141" s="13" t="s">
        <v>34</v>
      </c>
      <c r="G141" s="13">
        <v>0.46</v>
      </c>
      <c r="H141" s="13" t="s">
        <v>34</v>
      </c>
      <c r="I141" s="13" t="s">
        <v>34</v>
      </c>
      <c r="J141" s="13" t="s">
        <v>34</v>
      </c>
      <c r="K141" s="13" t="s">
        <v>34</v>
      </c>
      <c r="L141" s="13">
        <v>0</v>
      </c>
      <c r="M141" s="13">
        <v>48.5</v>
      </c>
      <c r="N141" s="13">
        <v>1610</v>
      </c>
      <c r="O141" s="13" t="s">
        <v>34</v>
      </c>
      <c r="P141" s="13" t="s">
        <v>34</v>
      </c>
      <c r="Q141" s="13" t="s">
        <v>34</v>
      </c>
      <c r="R141" s="13" t="s">
        <v>34</v>
      </c>
      <c r="S141" s="20">
        <f t="shared" si="1"/>
        <v>1.0000000000000001E-5</v>
      </c>
      <c r="T141" s="10" t="s">
        <v>49</v>
      </c>
      <c r="U141" s="10" t="s">
        <v>50</v>
      </c>
      <c r="V141" s="20" t="s">
        <v>48</v>
      </c>
      <c r="W141" s="13" t="s">
        <v>34</v>
      </c>
      <c r="X141" s="13" t="s">
        <v>43</v>
      </c>
      <c r="Y141" s="13">
        <v>1</v>
      </c>
      <c r="Z141" s="10" t="s">
        <v>51</v>
      </c>
      <c r="AA141" s="13" t="s">
        <v>43</v>
      </c>
      <c r="AB141" s="13">
        <v>6</v>
      </c>
      <c r="AC141" s="13" t="s">
        <v>108</v>
      </c>
      <c r="AD141" s="13" t="s">
        <v>32</v>
      </c>
      <c r="AE141" s="13">
        <v>0.9</v>
      </c>
      <c r="AF141" s="21" t="s">
        <v>125</v>
      </c>
      <c r="AG141" s="13">
        <v>2014</v>
      </c>
      <c r="AH141" s="21" t="s">
        <v>126</v>
      </c>
      <c r="AI141" s="2">
        <v>51</v>
      </c>
      <c r="AJ141" s="2">
        <v>2</v>
      </c>
      <c r="AK141" s="2">
        <v>1.5</v>
      </c>
    </row>
    <row r="142" spans="1:37" x14ac:dyDescent="0.3">
      <c r="A142" s="11">
        <v>3.62545518863016</v>
      </c>
      <c r="B142" s="11">
        <v>125.89252160841799</v>
      </c>
      <c r="C142" s="13" t="s">
        <v>33</v>
      </c>
      <c r="D142" s="13" t="s">
        <v>47</v>
      </c>
      <c r="E142" s="10" t="s">
        <v>170</v>
      </c>
      <c r="F142" s="13" t="s">
        <v>34</v>
      </c>
      <c r="G142" s="13">
        <v>0.46</v>
      </c>
      <c r="H142" s="13" t="s">
        <v>34</v>
      </c>
      <c r="I142" s="13" t="s">
        <v>34</v>
      </c>
      <c r="J142" s="13" t="s">
        <v>34</v>
      </c>
      <c r="K142" s="13" t="s">
        <v>34</v>
      </c>
      <c r="L142" s="13">
        <v>0</v>
      </c>
      <c r="M142" s="13">
        <v>48.5</v>
      </c>
      <c r="N142" s="13">
        <v>1610</v>
      </c>
      <c r="O142" s="13" t="s">
        <v>34</v>
      </c>
      <c r="P142" s="13" t="s">
        <v>34</v>
      </c>
      <c r="Q142" s="13" t="s">
        <v>34</v>
      </c>
      <c r="R142" s="13" t="s">
        <v>34</v>
      </c>
      <c r="S142" s="20">
        <f t="shared" si="1"/>
        <v>1.0000000000000001E-5</v>
      </c>
      <c r="T142" s="10" t="s">
        <v>49</v>
      </c>
      <c r="U142" s="10" t="s">
        <v>50</v>
      </c>
      <c r="V142" s="20" t="s">
        <v>48</v>
      </c>
      <c r="W142" s="13" t="s">
        <v>34</v>
      </c>
      <c r="X142" s="13" t="s">
        <v>43</v>
      </c>
      <c r="Y142" s="13">
        <v>1</v>
      </c>
      <c r="Z142" s="10" t="s">
        <v>51</v>
      </c>
      <c r="AA142" s="13" t="s">
        <v>43</v>
      </c>
      <c r="AB142" s="13">
        <v>6</v>
      </c>
      <c r="AC142" s="13" t="s">
        <v>109</v>
      </c>
      <c r="AD142" s="13" t="s">
        <v>32</v>
      </c>
      <c r="AE142" s="13">
        <v>0.9</v>
      </c>
      <c r="AF142" s="21" t="s">
        <v>125</v>
      </c>
      <c r="AG142" s="13">
        <v>2014</v>
      </c>
      <c r="AH142" s="21" t="s">
        <v>126</v>
      </c>
      <c r="AI142" s="2">
        <v>51</v>
      </c>
      <c r="AJ142" s="2">
        <v>2</v>
      </c>
      <c r="AK142" s="2">
        <v>1.5</v>
      </c>
    </row>
    <row r="143" spans="1:37" x14ac:dyDescent="0.3">
      <c r="A143" s="11">
        <v>4.3051792662879498</v>
      </c>
      <c r="B143" s="11">
        <v>334.09851355817801</v>
      </c>
      <c r="C143" s="13" t="s">
        <v>33</v>
      </c>
      <c r="D143" s="13" t="s">
        <v>47</v>
      </c>
      <c r="E143" s="10" t="s">
        <v>170</v>
      </c>
      <c r="F143" s="13" t="s">
        <v>34</v>
      </c>
      <c r="G143" s="13">
        <v>0.46</v>
      </c>
      <c r="H143" s="13" t="s">
        <v>34</v>
      </c>
      <c r="I143" s="13" t="s">
        <v>34</v>
      </c>
      <c r="J143" s="13" t="s">
        <v>34</v>
      </c>
      <c r="K143" s="13" t="s">
        <v>34</v>
      </c>
      <c r="L143" s="13">
        <v>0</v>
      </c>
      <c r="M143" s="13">
        <v>48.5</v>
      </c>
      <c r="N143" s="13">
        <v>1610</v>
      </c>
      <c r="O143" s="13" t="s">
        <v>34</v>
      </c>
      <c r="P143" s="13" t="s">
        <v>34</v>
      </c>
      <c r="Q143" s="13" t="s">
        <v>34</v>
      </c>
      <c r="R143" s="13" t="s">
        <v>34</v>
      </c>
      <c r="S143" s="20">
        <f t="shared" si="1"/>
        <v>1.0000000000000001E-5</v>
      </c>
      <c r="T143" s="10" t="s">
        <v>49</v>
      </c>
      <c r="U143" s="10" t="s">
        <v>50</v>
      </c>
      <c r="V143" s="20" t="s">
        <v>48</v>
      </c>
      <c r="W143" s="13" t="s">
        <v>34</v>
      </c>
      <c r="X143" s="13" t="s">
        <v>43</v>
      </c>
      <c r="Y143" s="13">
        <v>1</v>
      </c>
      <c r="Z143" s="10" t="s">
        <v>51</v>
      </c>
      <c r="AA143" s="13" t="s">
        <v>43</v>
      </c>
      <c r="AB143" s="13">
        <v>6</v>
      </c>
      <c r="AC143" s="13" t="s">
        <v>110</v>
      </c>
      <c r="AD143" s="13" t="s">
        <v>32</v>
      </c>
      <c r="AE143" s="13">
        <v>0.9</v>
      </c>
      <c r="AF143" s="21" t="s">
        <v>125</v>
      </c>
      <c r="AG143" s="13">
        <v>2014</v>
      </c>
      <c r="AH143" s="21" t="s">
        <v>126</v>
      </c>
      <c r="AI143" s="2">
        <v>51</v>
      </c>
      <c r="AJ143" s="2">
        <v>2</v>
      </c>
      <c r="AK143" s="2">
        <v>1.5</v>
      </c>
    </row>
    <row r="144" spans="1:37" x14ac:dyDescent="0.3">
      <c r="A144" s="11">
        <v>4.5104702055198302</v>
      </c>
      <c r="B144" s="11">
        <v>363.39455397989303</v>
      </c>
      <c r="C144" s="13" t="s">
        <v>33</v>
      </c>
      <c r="D144" s="13" t="s">
        <v>47</v>
      </c>
      <c r="E144" s="10" t="s">
        <v>170</v>
      </c>
      <c r="F144" s="13" t="s">
        <v>34</v>
      </c>
      <c r="G144" s="13">
        <v>0.46</v>
      </c>
      <c r="H144" s="13" t="s">
        <v>34</v>
      </c>
      <c r="I144" s="13" t="s">
        <v>34</v>
      </c>
      <c r="J144" s="13" t="s">
        <v>34</v>
      </c>
      <c r="K144" s="13" t="s">
        <v>34</v>
      </c>
      <c r="L144" s="13">
        <v>0</v>
      </c>
      <c r="M144" s="13">
        <v>48.5</v>
      </c>
      <c r="N144" s="13">
        <v>1610</v>
      </c>
      <c r="O144" s="13" t="s">
        <v>34</v>
      </c>
      <c r="P144" s="13" t="s">
        <v>34</v>
      </c>
      <c r="Q144" s="13" t="s">
        <v>34</v>
      </c>
      <c r="R144" s="13" t="s">
        <v>34</v>
      </c>
      <c r="S144" s="20">
        <f t="shared" si="1"/>
        <v>1.0000000000000001E-5</v>
      </c>
      <c r="T144" s="10" t="s">
        <v>49</v>
      </c>
      <c r="U144" s="10" t="s">
        <v>50</v>
      </c>
      <c r="V144" s="20" t="s">
        <v>48</v>
      </c>
      <c r="W144" s="13" t="s">
        <v>34</v>
      </c>
      <c r="X144" s="13" t="s">
        <v>43</v>
      </c>
      <c r="Y144" s="13">
        <v>1</v>
      </c>
      <c r="Z144" s="10" t="s">
        <v>51</v>
      </c>
      <c r="AA144" s="13" t="s">
        <v>43</v>
      </c>
      <c r="AB144" s="13">
        <v>6</v>
      </c>
      <c r="AC144" s="13" t="s">
        <v>111</v>
      </c>
      <c r="AD144" s="13" t="s">
        <v>32</v>
      </c>
      <c r="AE144" s="13">
        <v>0.9</v>
      </c>
      <c r="AF144" s="21" t="s">
        <v>125</v>
      </c>
      <c r="AG144" s="13">
        <v>2014</v>
      </c>
      <c r="AH144" s="21" t="s">
        <v>126</v>
      </c>
      <c r="AI144" s="2">
        <v>51</v>
      </c>
      <c r="AJ144" s="2">
        <v>2</v>
      </c>
      <c r="AK144" s="2">
        <v>1.5</v>
      </c>
    </row>
    <row r="145" spans="1:37" x14ac:dyDescent="0.3">
      <c r="A145" s="11">
        <v>5.0717481324260696</v>
      </c>
      <c r="B145" s="11">
        <v>599.13460682263099</v>
      </c>
      <c r="C145" s="13" t="s">
        <v>33</v>
      </c>
      <c r="D145" s="13" t="s">
        <v>47</v>
      </c>
      <c r="E145" s="10" t="s">
        <v>170</v>
      </c>
      <c r="F145" s="13" t="s">
        <v>34</v>
      </c>
      <c r="G145" s="13">
        <v>0.46</v>
      </c>
      <c r="H145" s="13" t="s">
        <v>34</v>
      </c>
      <c r="I145" s="13" t="s">
        <v>34</v>
      </c>
      <c r="J145" s="13" t="s">
        <v>34</v>
      </c>
      <c r="K145" s="13" t="s">
        <v>34</v>
      </c>
      <c r="L145" s="13">
        <v>0</v>
      </c>
      <c r="M145" s="13">
        <v>48.5</v>
      </c>
      <c r="N145" s="13">
        <v>1610</v>
      </c>
      <c r="O145" s="13" t="s">
        <v>34</v>
      </c>
      <c r="P145" s="13" t="s">
        <v>34</v>
      </c>
      <c r="Q145" s="13" t="s">
        <v>34</v>
      </c>
      <c r="R145" s="13" t="s">
        <v>34</v>
      </c>
      <c r="S145" s="20">
        <f t="shared" si="1"/>
        <v>1.0000000000000001E-5</v>
      </c>
      <c r="T145" s="10" t="s">
        <v>49</v>
      </c>
      <c r="U145" s="10" t="s">
        <v>50</v>
      </c>
      <c r="V145" s="20" t="s">
        <v>48</v>
      </c>
      <c r="W145" s="13" t="s">
        <v>34</v>
      </c>
      <c r="X145" s="13" t="s">
        <v>43</v>
      </c>
      <c r="Y145" s="13">
        <v>1</v>
      </c>
      <c r="Z145" s="10" t="s">
        <v>51</v>
      </c>
      <c r="AA145" s="13" t="s">
        <v>43</v>
      </c>
      <c r="AB145" s="13">
        <v>6</v>
      </c>
      <c r="AC145" s="13" t="s">
        <v>112</v>
      </c>
      <c r="AD145" s="13" t="s">
        <v>32</v>
      </c>
      <c r="AE145" s="13">
        <v>0.9</v>
      </c>
      <c r="AF145" s="21" t="s">
        <v>125</v>
      </c>
      <c r="AG145" s="13">
        <v>2014</v>
      </c>
      <c r="AH145" s="21" t="s">
        <v>126</v>
      </c>
      <c r="AI145" s="2">
        <v>51</v>
      </c>
      <c r="AJ145" s="2">
        <v>2</v>
      </c>
      <c r="AK145" s="2">
        <v>1.5</v>
      </c>
    </row>
    <row r="146" spans="1:37" x14ac:dyDescent="0.3">
      <c r="A146" s="11">
        <v>5.3183095074598903</v>
      </c>
      <c r="B146" s="11">
        <v>556.70737337652997</v>
      </c>
      <c r="C146" s="13" t="s">
        <v>33</v>
      </c>
      <c r="D146" s="13" t="s">
        <v>47</v>
      </c>
      <c r="E146" s="10" t="s">
        <v>170</v>
      </c>
      <c r="F146" s="13" t="s">
        <v>34</v>
      </c>
      <c r="G146" s="13">
        <v>0.46</v>
      </c>
      <c r="H146" s="13" t="s">
        <v>34</v>
      </c>
      <c r="I146" s="13" t="s">
        <v>34</v>
      </c>
      <c r="J146" s="13" t="s">
        <v>34</v>
      </c>
      <c r="K146" s="13" t="s">
        <v>34</v>
      </c>
      <c r="L146" s="13">
        <v>0</v>
      </c>
      <c r="M146" s="13">
        <v>48.5</v>
      </c>
      <c r="N146" s="13">
        <v>1610</v>
      </c>
      <c r="O146" s="13" t="s">
        <v>34</v>
      </c>
      <c r="P146" s="13" t="s">
        <v>34</v>
      </c>
      <c r="Q146" s="13" t="s">
        <v>34</v>
      </c>
      <c r="R146" s="13" t="s">
        <v>34</v>
      </c>
      <c r="S146" s="20">
        <f t="shared" si="1"/>
        <v>1.0000000000000001E-5</v>
      </c>
      <c r="T146" s="10" t="s">
        <v>49</v>
      </c>
      <c r="U146" s="10" t="s">
        <v>50</v>
      </c>
      <c r="V146" s="20" t="s">
        <v>48</v>
      </c>
      <c r="W146" s="13" t="s">
        <v>34</v>
      </c>
      <c r="X146" s="13" t="s">
        <v>43</v>
      </c>
      <c r="Y146" s="13">
        <v>1</v>
      </c>
      <c r="Z146" s="10" t="s">
        <v>51</v>
      </c>
      <c r="AA146" s="13" t="s">
        <v>43</v>
      </c>
      <c r="AB146" s="13">
        <v>6</v>
      </c>
      <c r="AC146" s="13" t="s">
        <v>113</v>
      </c>
      <c r="AD146" s="13" t="s">
        <v>32</v>
      </c>
      <c r="AE146" s="13">
        <v>0.9</v>
      </c>
      <c r="AF146" s="21" t="s">
        <v>125</v>
      </c>
      <c r="AG146" s="13">
        <v>2014</v>
      </c>
      <c r="AH146" s="21" t="s">
        <v>126</v>
      </c>
      <c r="AI146" s="2">
        <v>51</v>
      </c>
      <c r="AJ146" s="2">
        <v>2</v>
      </c>
      <c r="AK146" s="2">
        <v>1.5</v>
      </c>
    </row>
    <row r="147" spans="1:37" x14ac:dyDescent="0.3">
      <c r="A147" s="11">
        <v>5.5616871631604097</v>
      </c>
      <c r="B147" s="11">
        <v>591.43752763779605</v>
      </c>
      <c r="C147" s="13" t="s">
        <v>33</v>
      </c>
      <c r="D147" s="13" t="s">
        <v>47</v>
      </c>
      <c r="E147" s="10" t="s">
        <v>170</v>
      </c>
      <c r="F147" s="13" t="s">
        <v>34</v>
      </c>
      <c r="G147" s="13">
        <v>0.46</v>
      </c>
      <c r="H147" s="13" t="s">
        <v>34</v>
      </c>
      <c r="I147" s="13" t="s">
        <v>34</v>
      </c>
      <c r="J147" s="13" t="s">
        <v>34</v>
      </c>
      <c r="K147" s="13" t="s">
        <v>34</v>
      </c>
      <c r="L147" s="13">
        <v>0</v>
      </c>
      <c r="M147" s="13">
        <v>48.5</v>
      </c>
      <c r="N147" s="13">
        <v>1610</v>
      </c>
      <c r="O147" s="13" t="s">
        <v>34</v>
      </c>
      <c r="P147" s="13" t="s">
        <v>34</v>
      </c>
      <c r="Q147" s="13" t="s">
        <v>34</v>
      </c>
      <c r="R147" s="13" t="s">
        <v>34</v>
      </c>
      <c r="S147" s="20">
        <f t="shared" si="1"/>
        <v>1.0000000000000001E-5</v>
      </c>
      <c r="T147" s="10" t="s">
        <v>49</v>
      </c>
      <c r="U147" s="10" t="s">
        <v>50</v>
      </c>
      <c r="V147" s="20" t="s">
        <v>48</v>
      </c>
      <c r="W147" s="13" t="s">
        <v>34</v>
      </c>
      <c r="X147" s="13" t="s">
        <v>43</v>
      </c>
      <c r="Y147" s="13">
        <v>1</v>
      </c>
      <c r="Z147" s="10" t="s">
        <v>51</v>
      </c>
      <c r="AA147" s="13" t="s">
        <v>43</v>
      </c>
      <c r="AB147" s="13">
        <v>6</v>
      </c>
      <c r="AC147" s="13" t="s">
        <v>114</v>
      </c>
      <c r="AD147" s="13" t="s">
        <v>32</v>
      </c>
      <c r="AE147" s="13">
        <v>0.9</v>
      </c>
      <c r="AF147" s="21" t="s">
        <v>125</v>
      </c>
      <c r="AG147" s="13">
        <v>2014</v>
      </c>
      <c r="AH147" s="21" t="s">
        <v>126</v>
      </c>
      <c r="AI147" s="2">
        <v>51</v>
      </c>
      <c r="AJ147" s="2">
        <v>2</v>
      </c>
      <c r="AK147" s="2">
        <v>1.5</v>
      </c>
    </row>
    <row r="148" spans="1:37" x14ac:dyDescent="0.3">
      <c r="A148" s="11">
        <v>5.88961025448946</v>
      </c>
      <c r="B148" s="11">
        <v>565.87681051149298</v>
      </c>
      <c r="C148" s="13" t="s">
        <v>33</v>
      </c>
      <c r="D148" s="13" t="s">
        <v>47</v>
      </c>
      <c r="E148" s="10" t="s">
        <v>170</v>
      </c>
      <c r="F148" s="13" t="s">
        <v>34</v>
      </c>
      <c r="G148" s="13">
        <v>0.46</v>
      </c>
      <c r="H148" s="13" t="s">
        <v>34</v>
      </c>
      <c r="I148" s="13" t="s">
        <v>34</v>
      </c>
      <c r="J148" s="13" t="s">
        <v>34</v>
      </c>
      <c r="K148" s="13" t="s">
        <v>34</v>
      </c>
      <c r="L148" s="13">
        <v>0</v>
      </c>
      <c r="M148" s="13">
        <v>48.5</v>
      </c>
      <c r="N148" s="13">
        <v>1610</v>
      </c>
      <c r="O148" s="13" t="s">
        <v>34</v>
      </c>
      <c r="P148" s="13" t="s">
        <v>34</v>
      </c>
      <c r="Q148" s="13" t="s">
        <v>34</v>
      </c>
      <c r="R148" s="13" t="s">
        <v>34</v>
      </c>
      <c r="S148" s="20">
        <f t="shared" si="1"/>
        <v>1.0000000000000001E-5</v>
      </c>
      <c r="T148" s="10" t="s">
        <v>49</v>
      </c>
      <c r="U148" s="10" t="s">
        <v>50</v>
      </c>
      <c r="V148" s="20" t="s">
        <v>48</v>
      </c>
      <c r="W148" s="13" t="s">
        <v>34</v>
      </c>
      <c r="X148" s="13" t="s">
        <v>43</v>
      </c>
      <c r="Y148" s="13">
        <v>1</v>
      </c>
      <c r="Z148" s="10" t="s">
        <v>51</v>
      </c>
      <c r="AA148" s="13" t="s">
        <v>43</v>
      </c>
      <c r="AB148" s="13">
        <v>6</v>
      </c>
      <c r="AC148" s="13" t="s">
        <v>115</v>
      </c>
      <c r="AD148" s="13" t="s">
        <v>32</v>
      </c>
      <c r="AE148" s="13">
        <v>0.9</v>
      </c>
      <c r="AF148" s="21" t="s">
        <v>125</v>
      </c>
      <c r="AG148" s="13">
        <v>2014</v>
      </c>
      <c r="AH148" s="21" t="s">
        <v>126</v>
      </c>
      <c r="AI148" s="2">
        <v>51</v>
      </c>
      <c r="AJ148" s="2">
        <v>2</v>
      </c>
      <c r="AK148" s="2">
        <v>1.5</v>
      </c>
    </row>
    <row r="149" spans="1:37" x14ac:dyDescent="0.3">
      <c r="A149" s="11">
        <v>6.8221681198021802</v>
      </c>
      <c r="B149" s="11">
        <v>752.10701254221397</v>
      </c>
      <c r="C149" s="13" t="s">
        <v>33</v>
      </c>
      <c r="D149" s="13" t="s">
        <v>47</v>
      </c>
      <c r="E149" s="10" t="s">
        <v>170</v>
      </c>
      <c r="F149" s="13" t="s">
        <v>34</v>
      </c>
      <c r="G149" s="13">
        <v>0.46</v>
      </c>
      <c r="H149" s="13" t="s">
        <v>34</v>
      </c>
      <c r="I149" s="13" t="s">
        <v>34</v>
      </c>
      <c r="J149" s="13" t="s">
        <v>34</v>
      </c>
      <c r="K149" s="13" t="s">
        <v>34</v>
      </c>
      <c r="L149" s="13">
        <v>0</v>
      </c>
      <c r="M149" s="13">
        <v>48.5</v>
      </c>
      <c r="N149" s="13">
        <v>1610</v>
      </c>
      <c r="O149" s="13" t="s">
        <v>34</v>
      </c>
      <c r="P149" s="13" t="s">
        <v>34</v>
      </c>
      <c r="Q149" s="13" t="s">
        <v>34</v>
      </c>
      <c r="R149" s="13" t="s">
        <v>34</v>
      </c>
      <c r="S149" s="20">
        <f t="shared" si="1"/>
        <v>1.0000000000000001E-5</v>
      </c>
      <c r="T149" s="10" t="s">
        <v>49</v>
      </c>
      <c r="U149" s="10" t="s">
        <v>50</v>
      </c>
      <c r="V149" s="20" t="s">
        <v>48</v>
      </c>
      <c r="W149" s="13" t="s">
        <v>34</v>
      </c>
      <c r="X149" s="13" t="s">
        <v>43</v>
      </c>
      <c r="Y149" s="13">
        <v>1</v>
      </c>
      <c r="Z149" s="10" t="s">
        <v>51</v>
      </c>
      <c r="AA149" s="13" t="s">
        <v>43</v>
      </c>
      <c r="AB149" s="13">
        <v>6</v>
      </c>
      <c r="AC149" s="13" t="s">
        <v>116</v>
      </c>
      <c r="AD149" s="13" t="s">
        <v>32</v>
      </c>
      <c r="AE149" s="13">
        <v>0.9</v>
      </c>
      <c r="AF149" s="21" t="s">
        <v>125</v>
      </c>
      <c r="AG149" s="13">
        <v>2014</v>
      </c>
      <c r="AH149" s="21" t="s">
        <v>126</v>
      </c>
      <c r="AI149" s="2">
        <v>51</v>
      </c>
      <c r="AJ149" s="2">
        <v>2</v>
      </c>
      <c r="AK149" s="2">
        <v>1.5</v>
      </c>
    </row>
    <row r="150" spans="1:37" x14ac:dyDescent="0.3">
      <c r="A150" s="11">
        <v>7.1213126719712596</v>
      </c>
      <c r="B150" s="11">
        <v>694.85388145824595</v>
      </c>
      <c r="C150" s="13" t="s">
        <v>33</v>
      </c>
      <c r="D150" s="13" t="s">
        <v>47</v>
      </c>
      <c r="E150" s="10" t="s">
        <v>170</v>
      </c>
      <c r="F150" s="13" t="s">
        <v>34</v>
      </c>
      <c r="G150" s="13">
        <v>0.46</v>
      </c>
      <c r="H150" s="13" t="s">
        <v>34</v>
      </c>
      <c r="I150" s="13" t="s">
        <v>34</v>
      </c>
      <c r="J150" s="13" t="s">
        <v>34</v>
      </c>
      <c r="K150" s="13" t="s">
        <v>34</v>
      </c>
      <c r="L150" s="13">
        <v>0</v>
      </c>
      <c r="M150" s="13">
        <v>48.5</v>
      </c>
      <c r="N150" s="13">
        <v>1610</v>
      </c>
      <c r="O150" s="13" t="s">
        <v>34</v>
      </c>
      <c r="P150" s="13" t="s">
        <v>34</v>
      </c>
      <c r="Q150" s="13" t="s">
        <v>34</v>
      </c>
      <c r="R150" s="13" t="s">
        <v>34</v>
      </c>
      <c r="S150" s="20">
        <f t="shared" si="1"/>
        <v>1.0000000000000001E-5</v>
      </c>
      <c r="T150" s="10" t="s">
        <v>49</v>
      </c>
      <c r="U150" s="10" t="s">
        <v>50</v>
      </c>
      <c r="V150" s="20" t="s">
        <v>48</v>
      </c>
      <c r="W150" s="13" t="s">
        <v>34</v>
      </c>
      <c r="X150" s="13" t="s">
        <v>43</v>
      </c>
      <c r="Y150" s="13">
        <v>1</v>
      </c>
      <c r="Z150" s="10" t="s">
        <v>51</v>
      </c>
      <c r="AA150" s="13" t="s">
        <v>43</v>
      </c>
      <c r="AB150" s="13">
        <v>6</v>
      </c>
      <c r="AC150" s="13" t="s">
        <v>117</v>
      </c>
      <c r="AD150" s="13" t="s">
        <v>32</v>
      </c>
      <c r="AE150" s="13">
        <v>0.9</v>
      </c>
      <c r="AF150" s="21" t="s">
        <v>125</v>
      </c>
      <c r="AG150" s="13">
        <v>2014</v>
      </c>
      <c r="AH150" s="21" t="s">
        <v>126</v>
      </c>
      <c r="AI150" s="2">
        <v>51</v>
      </c>
      <c r="AJ150" s="2">
        <v>2</v>
      </c>
      <c r="AK150" s="2">
        <v>1.5</v>
      </c>
    </row>
    <row r="151" spans="1:37" x14ac:dyDescent="0.3">
      <c r="A151" s="11">
        <v>7.3247722277164202</v>
      </c>
      <c r="B151" s="11">
        <v>748.65615096138902</v>
      </c>
      <c r="C151" s="13" t="s">
        <v>33</v>
      </c>
      <c r="D151" s="13" t="s">
        <v>47</v>
      </c>
      <c r="E151" s="10" t="s">
        <v>170</v>
      </c>
      <c r="F151" s="13" t="s">
        <v>34</v>
      </c>
      <c r="G151" s="13">
        <v>0.46</v>
      </c>
      <c r="H151" s="13" t="s">
        <v>34</v>
      </c>
      <c r="I151" s="13" t="s">
        <v>34</v>
      </c>
      <c r="J151" s="13" t="s">
        <v>34</v>
      </c>
      <c r="K151" s="13" t="s">
        <v>34</v>
      </c>
      <c r="L151" s="13">
        <v>0</v>
      </c>
      <c r="M151" s="13">
        <v>48.5</v>
      </c>
      <c r="N151" s="13">
        <v>1610</v>
      </c>
      <c r="O151" s="13" t="s">
        <v>34</v>
      </c>
      <c r="P151" s="13" t="s">
        <v>34</v>
      </c>
      <c r="Q151" s="13" t="s">
        <v>34</v>
      </c>
      <c r="R151" s="13" t="s">
        <v>34</v>
      </c>
      <c r="S151" s="20">
        <f t="shared" ref="S151:S157" si="2">0.001/100</f>
        <v>1.0000000000000001E-5</v>
      </c>
      <c r="T151" s="10" t="s">
        <v>49</v>
      </c>
      <c r="U151" s="10" t="s">
        <v>50</v>
      </c>
      <c r="V151" s="20" t="s">
        <v>48</v>
      </c>
      <c r="W151" s="13" t="s">
        <v>34</v>
      </c>
      <c r="X151" s="13" t="s">
        <v>43</v>
      </c>
      <c r="Y151" s="13">
        <v>1</v>
      </c>
      <c r="Z151" s="10" t="s">
        <v>51</v>
      </c>
      <c r="AA151" s="13" t="s">
        <v>43</v>
      </c>
      <c r="AB151" s="13">
        <v>6</v>
      </c>
      <c r="AC151" s="13" t="s">
        <v>118</v>
      </c>
      <c r="AD151" s="13" t="s">
        <v>32</v>
      </c>
      <c r="AE151" s="13">
        <v>0.9</v>
      </c>
      <c r="AF151" s="21" t="s">
        <v>125</v>
      </c>
      <c r="AG151" s="13">
        <v>2014</v>
      </c>
      <c r="AH151" s="21" t="s">
        <v>126</v>
      </c>
      <c r="AI151" s="2">
        <v>51</v>
      </c>
      <c r="AJ151" s="2">
        <v>2</v>
      </c>
      <c r="AK151" s="2">
        <v>1.5</v>
      </c>
    </row>
    <row r="152" spans="1:37" x14ac:dyDescent="0.3">
      <c r="A152" s="11">
        <v>7.3610666037783803</v>
      </c>
      <c r="B152" s="11">
        <v>771.07883677390998</v>
      </c>
      <c r="C152" s="13" t="s">
        <v>33</v>
      </c>
      <c r="D152" s="13" t="s">
        <v>47</v>
      </c>
      <c r="E152" s="10" t="s">
        <v>170</v>
      </c>
      <c r="F152" s="13" t="s">
        <v>34</v>
      </c>
      <c r="G152" s="13">
        <v>0.46</v>
      </c>
      <c r="H152" s="13" t="s">
        <v>34</v>
      </c>
      <c r="I152" s="13" t="s">
        <v>34</v>
      </c>
      <c r="J152" s="13" t="s">
        <v>34</v>
      </c>
      <c r="K152" s="13" t="s">
        <v>34</v>
      </c>
      <c r="L152" s="13">
        <v>0</v>
      </c>
      <c r="M152" s="13">
        <v>48.5</v>
      </c>
      <c r="N152" s="13">
        <v>1610</v>
      </c>
      <c r="O152" s="13" t="s">
        <v>34</v>
      </c>
      <c r="P152" s="13" t="s">
        <v>34</v>
      </c>
      <c r="Q152" s="13" t="s">
        <v>34</v>
      </c>
      <c r="R152" s="13" t="s">
        <v>34</v>
      </c>
      <c r="S152" s="20">
        <f t="shared" si="2"/>
        <v>1.0000000000000001E-5</v>
      </c>
      <c r="T152" s="10" t="s">
        <v>49</v>
      </c>
      <c r="U152" s="10" t="s">
        <v>50</v>
      </c>
      <c r="V152" s="20" t="s">
        <v>48</v>
      </c>
      <c r="W152" s="13" t="s">
        <v>34</v>
      </c>
      <c r="X152" s="13" t="s">
        <v>43</v>
      </c>
      <c r="Y152" s="13">
        <v>1</v>
      </c>
      <c r="Z152" s="10" t="s">
        <v>51</v>
      </c>
      <c r="AA152" s="13" t="s">
        <v>43</v>
      </c>
      <c r="AB152" s="13">
        <v>6</v>
      </c>
      <c r="AC152" s="13" t="s">
        <v>119</v>
      </c>
      <c r="AD152" s="13" t="s">
        <v>32</v>
      </c>
      <c r="AE152" s="13">
        <v>0.9</v>
      </c>
      <c r="AF152" s="21" t="s">
        <v>125</v>
      </c>
      <c r="AG152" s="13">
        <v>2014</v>
      </c>
      <c r="AH152" s="21" t="s">
        <v>126</v>
      </c>
      <c r="AI152" s="2">
        <v>51</v>
      </c>
      <c r="AJ152" s="2">
        <v>2</v>
      </c>
      <c r="AK152" s="2">
        <v>1.5</v>
      </c>
    </row>
    <row r="153" spans="1:37" x14ac:dyDescent="0.3">
      <c r="A153" s="11">
        <v>8.9085183566736692</v>
      </c>
      <c r="B153" s="11">
        <v>796.28246167684597</v>
      </c>
      <c r="C153" s="13" t="s">
        <v>33</v>
      </c>
      <c r="D153" s="13" t="s">
        <v>47</v>
      </c>
      <c r="E153" s="10" t="s">
        <v>170</v>
      </c>
      <c r="F153" s="13" t="s">
        <v>34</v>
      </c>
      <c r="G153" s="13">
        <v>0.46</v>
      </c>
      <c r="H153" s="13" t="s">
        <v>34</v>
      </c>
      <c r="I153" s="13" t="s">
        <v>34</v>
      </c>
      <c r="J153" s="13" t="s">
        <v>34</v>
      </c>
      <c r="K153" s="13" t="s">
        <v>34</v>
      </c>
      <c r="L153" s="13">
        <v>0</v>
      </c>
      <c r="M153" s="13">
        <v>48.5</v>
      </c>
      <c r="N153" s="13">
        <v>1610</v>
      </c>
      <c r="O153" s="13" t="s">
        <v>34</v>
      </c>
      <c r="P153" s="13" t="s">
        <v>34</v>
      </c>
      <c r="Q153" s="13" t="s">
        <v>34</v>
      </c>
      <c r="R153" s="13" t="s">
        <v>34</v>
      </c>
      <c r="S153" s="20">
        <f t="shared" si="2"/>
        <v>1.0000000000000001E-5</v>
      </c>
      <c r="T153" s="10" t="s">
        <v>49</v>
      </c>
      <c r="U153" s="10" t="s">
        <v>50</v>
      </c>
      <c r="V153" s="20" t="s">
        <v>48</v>
      </c>
      <c r="W153" s="13" t="s">
        <v>34</v>
      </c>
      <c r="X153" s="13" t="s">
        <v>43</v>
      </c>
      <c r="Y153" s="13">
        <v>1</v>
      </c>
      <c r="Z153" s="10" t="s">
        <v>51</v>
      </c>
      <c r="AA153" s="13" t="s">
        <v>43</v>
      </c>
      <c r="AB153" s="13">
        <v>6</v>
      </c>
      <c r="AC153" s="13" t="s">
        <v>120</v>
      </c>
      <c r="AD153" s="13" t="s">
        <v>32</v>
      </c>
      <c r="AE153" s="13">
        <v>0.9</v>
      </c>
      <c r="AF153" s="21" t="s">
        <v>125</v>
      </c>
      <c r="AG153" s="13">
        <v>2014</v>
      </c>
      <c r="AH153" s="21" t="s">
        <v>126</v>
      </c>
      <c r="AI153" s="2">
        <v>51</v>
      </c>
      <c r="AJ153" s="2">
        <v>2</v>
      </c>
      <c r="AK153" s="2">
        <v>1.5</v>
      </c>
    </row>
    <row r="154" spans="1:37" x14ac:dyDescent="0.3">
      <c r="A154" s="11">
        <v>7.18134715025906</v>
      </c>
      <c r="B154" s="11">
        <v>772.26606538895101</v>
      </c>
      <c r="C154" s="13" t="s">
        <v>33</v>
      </c>
      <c r="D154" s="13" t="s">
        <v>47</v>
      </c>
      <c r="E154" s="10" t="s">
        <v>170</v>
      </c>
      <c r="F154" s="13" t="s">
        <v>34</v>
      </c>
      <c r="G154" s="13">
        <v>0.46</v>
      </c>
      <c r="H154" s="13" t="s">
        <v>34</v>
      </c>
      <c r="I154" s="13" t="s">
        <v>34</v>
      </c>
      <c r="J154" s="13" t="s">
        <v>34</v>
      </c>
      <c r="K154" s="13" t="s">
        <v>34</v>
      </c>
      <c r="L154" s="13">
        <v>0</v>
      </c>
      <c r="M154" s="13">
        <v>48.5</v>
      </c>
      <c r="N154" s="13">
        <v>1610</v>
      </c>
      <c r="O154" s="13" t="s">
        <v>34</v>
      </c>
      <c r="P154" s="13" t="s">
        <v>34</v>
      </c>
      <c r="Q154" s="13" t="s">
        <v>34</v>
      </c>
      <c r="R154" s="13" t="s">
        <v>34</v>
      </c>
      <c r="S154" s="20">
        <f t="shared" si="2"/>
        <v>1.0000000000000001E-5</v>
      </c>
      <c r="T154" s="10" t="s">
        <v>49</v>
      </c>
      <c r="U154" s="10" t="s">
        <v>50</v>
      </c>
      <c r="V154" s="20" t="s">
        <v>48</v>
      </c>
      <c r="W154" s="13" t="s">
        <v>34</v>
      </c>
      <c r="X154" s="13" t="s">
        <v>43</v>
      </c>
      <c r="Y154" s="13">
        <v>1</v>
      </c>
      <c r="Z154" s="10" t="s">
        <v>51</v>
      </c>
      <c r="AA154" s="13" t="s">
        <v>43</v>
      </c>
      <c r="AB154" s="13">
        <v>6</v>
      </c>
      <c r="AC154" s="13" t="s">
        <v>121</v>
      </c>
      <c r="AD154" s="13" t="s">
        <v>32</v>
      </c>
      <c r="AE154" s="13">
        <v>0.9</v>
      </c>
      <c r="AF154" s="21" t="s">
        <v>125</v>
      </c>
      <c r="AG154" s="13">
        <v>2014</v>
      </c>
      <c r="AH154" s="21" t="s">
        <v>126</v>
      </c>
      <c r="AI154" s="2">
        <v>51</v>
      </c>
      <c r="AJ154" s="2">
        <v>2</v>
      </c>
      <c r="AK154" s="2">
        <v>1.5</v>
      </c>
    </row>
    <row r="155" spans="1:37" x14ac:dyDescent="0.3">
      <c r="A155" s="11">
        <v>4.6943005181347104</v>
      </c>
      <c r="B155" s="11">
        <v>338.21871476888299</v>
      </c>
      <c r="C155" s="13" t="s">
        <v>33</v>
      </c>
      <c r="D155" s="13" t="s">
        <v>47</v>
      </c>
      <c r="E155" s="10" t="s">
        <v>170</v>
      </c>
      <c r="F155" s="13" t="s">
        <v>34</v>
      </c>
      <c r="G155" s="13">
        <v>0.46</v>
      </c>
      <c r="H155" s="13" t="s">
        <v>34</v>
      </c>
      <c r="I155" s="13" t="s">
        <v>34</v>
      </c>
      <c r="J155" s="13" t="s">
        <v>34</v>
      </c>
      <c r="K155" s="13" t="s">
        <v>34</v>
      </c>
      <c r="L155" s="13">
        <v>0</v>
      </c>
      <c r="M155" s="13">
        <v>48.5</v>
      </c>
      <c r="N155" s="13">
        <v>1610</v>
      </c>
      <c r="O155" s="13" t="s">
        <v>34</v>
      </c>
      <c r="P155" s="13" t="s">
        <v>34</v>
      </c>
      <c r="Q155" s="13" t="s">
        <v>34</v>
      </c>
      <c r="R155" s="13" t="s">
        <v>34</v>
      </c>
      <c r="S155" s="20">
        <f t="shared" si="2"/>
        <v>1.0000000000000001E-5</v>
      </c>
      <c r="T155" s="10" t="s">
        <v>49</v>
      </c>
      <c r="U155" s="10" t="s">
        <v>50</v>
      </c>
      <c r="V155" s="20" t="s">
        <v>48</v>
      </c>
      <c r="W155" s="13" t="s">
        <v>34</v>
      </c>
      <c r="X155" s="13" t="s">
        <v>43</v>
      </c>
      <c r="Y155" s="13">
        <v>1</v>
      </c>
      <c r="Z155" s="10" t="s">
        <v>51</v>
      </c>
      <c r="AA155" s="13" t="s">
        <v>43</v>
      </c>
      <c r="AB155" s="13">
        <v>6</v>
      </c>
      <c r="AC155" s="13" t="s">
        <v>122</v>
      </c>
      <c r="AD155" s="13" t="s">
        <v>32</v>
      </c>
      <c r="AE155" s="13">
        <v>0.9</v>
      </c>
      <c r="AF155" s="21" t="s">
        <v>125</v>
      </c>
      <c r="AG155" s="13">
        <v>2014</v>
      </c>
      <c r="AH155" s="21" t="s">
        <v>126</v>
      </c>
      <c r="AI155" s="2">
        <v>51</v>
      </c>
      <c r="AJ155" s="2">
        <v>2</v>
      </c>
      <c r="AK155" s="2">
        <v>1.5</v>
      </c>
    </row>
    <row r="156" spans="1:37" x14ac:dyDescent="0.3">
      <c r="A156" s="11">
        <v>4.9119170984455902</v>
      </c>
      <c r="B156" s="11">
        <v>349.492671927846</v>
      </c>
      <c r="C156" s="13" t="s">
        <v>33</v>
      </c>
      <c r="D156" s="13" t="s">
        <v>47</v>
      </c>
      <c r="E156" s="10" t="s">
        <v>170</v>
      </c>
      <c r="F156" s="13" t="s">
        <v>34</v>
      </c>
      <c r="G156" s="13">
        <v>0.46</v>
      </c>
      <c r="H156" s="13" t="s">
        <v>34</v>
      </c>
      <c r="I156" s="13" t="s">
        <v>34</v>
      </c>
      <c r="J156" s="13" t="s">
        <v>34</v>
      </c>
      <c r="K156" s="13" t="s">
        <v>34</v>
      </c>
      <c r="L156" s="13">
        <v>0</v>
      </c>
      <c r="M156" s="13">
        <v>48.5</v>
      </c>
      <c r="N156" s="13">
        <v>1610</v>
      </c>
      <c r="O156" s="13" t="s">
        <v>34</v>
      </c>
      <c r="P156" s="13" t="s">
        <v>34</v>
      </c>
      <c r="Q156" s="13" t="s">
        <v>34</v>
      </c>
      <c r="R156" s="13" t="s">
        <v>34</v>
      </c>
      <c r="S156" s="20">
        <f t="shared" si="2"/>
        <v>1.0000000000000001E-5</v>
      </c>
      <c r="T156" s="10" t="s">
        <v>49</v>
      </c>
      <c r="U156" s="10" t="s">
        <v>50</v>
      </c>
      <c r="V156" s="20" t="s">
        <v>48</v>
      </c>
      <c r="W156" s="13" t="s">
        <v>34</v>
      </c>
      <c r="X156" s="13" t="s">
        <v>43</v>
      </c>
      <c r="Y156" s="13">
        <v>1</v>
      </c>
      <c r="Z156" s="10" t="s">
        <v>51</v>
      </c>
      <c r="AA156" s="13" t="s">
        <v>43</v>
      </c>
      <c r="AB156" s="13">
        <v>6</v>
      </c>
      <c r="AC156" s="13" t="s">
        <v>123</v>
      </c>
      <c r="AD156" s="13" t="s">
        <v>32</v>
      </c>
      <c r="AE156" s="13">
        <v>0.9</v>
      </c>
      <c r="AF156" s="21" t="s">
        <v>125</v>
      </c>
      <c r="AG156" s="13">
        <v>2014</v>
      </c>
      <c r="AH156" s="21" t="s">
        <v>126</v>
      </c>
      <c r="AI156" s="2">
        <v>51</v>
      </c>
      <c r="AJ156" s="2">
        <v>2</v>
      </c>
      <c r="AK156" s="2">
        <v>1.5</v>
      </c>
    </row>
    <row r="157" spans="1:37" s="15" customFormat="1" ht="16.2" thickBot="1" x14ac:dyDescent="0.35">
      <c r="A157" s="17">
        <v>5.03626943005181</v>
      </c>
      <c r="B157" s="17">
        <v>388.95152198421601</v>
      </c>
      <c r="C157" s="18" t="s">
        <v>33</v>
      </c>
      <c r="D157" s="18" t="s">
        <v>47</v>
      </c>
      <c r="E157" s="10" t="s">
        <v>170</v>
      </c>
      <c r="F157" s="18" t="s">
        <v>34</v>
      </c>
      <c r="G157" s="18">
        <v>0.46</v>
      </c>
      <c r="H157" s="18" t="s">
        <v>34</v>
      </c>
      <c r="I157" s="18" t="s">
        <v>34</v>
      </c>
      <c r="J157" s="18" t="s">
        <v>34</v>
      </c>
      <c r="K157" s="18" t="s">
        <v>34</v>
      </c>
      <c r="L157" s="18">
        <v>0</v>
      </c>
      <c r="M157" s="18">
        <v>48.5</v>
      </c>
      <c r="N157" s="18">
        <v>1610</v>
      </c>
      <c r="O157" s="18" t="s">
        <v>34</v>
      </c>
      <c r="P157" s="18" t="s">
        <v>34</v>
      </c>
      <c r="Q157" s="18" t="s">
        <v>34</v>
      </c>
      <c r="R157" s="18" t="s">
        <v>34</v>
      </c>
      <c r="S157" s="22">
        <f t="shared" si="2"/>
        <v>1.0000000000000001E-5</v>
      </c>
      <c r="T157" s="14" t="s">
        <v>49</v>
      </c>
      <c r="U157" s="14" t="s">
        <v>50</v>
      </c>
      <c r="V157" s="22" t="s">
        <v>48</v>
      </c>
      <c r="W157" s="18" t="s">
        <v>34</v>
      </c>
      <c r="X157" s="18" t="s">
        <v>43</v>
      </c>
      <c r="Y157" s="18">
        <v>1</v>
      </c>
      <c r="Z157" s="14" t="s">
        <v>51</v>
      </c>
      <c r="AA157" s="18" t="s">
        <v>43</v>
      </c>
      <c r="AB157" s="18">
        <v>6</v>
      </c>
      <c r="AC157" s="18" t="s">
        <v>124</v>
      </c>
      <c r="AD157" s="18" t="s">
        <v>32</v>
      </c>
      <c r="AE157" s="18">
        <v>0.9</v>
      </c>
      <c r="AF157" s="23" t="s">
        <v>125</v>
      </c>
      <c r="AG157" s="18">
        <v>2014</v>
      </c>
      <c r="AH157" s="23" t="s">
        <v>126</v>
      </c>
      <c r="AI157" s="2">
        <v>51</v>
      </c>
      <c r="AJ157" s="2">
        <v>2</v>
      </c>
      <c r="AK157" s="2">
        <v>1.5</v>
      </c>
    </row>
    <row r="158" spans="1:37" x14ac:dyDescent="0.3">
      <c r="A158" s="12">
        <v>1.39601139601139</v>
      </c>
      <c r="B158" s="12">
        <v>44.397463002114399</v>
      </c>
      <c r="C158" s="13" t="s">
        <v>33</v>
      </c>
      <c r="D158" s="13" t="s">
        <v>35</v>
      </c>
      <c r="E158" s="10" t="s">
        <v>170</v>
      </c>
      <c r="F158" s="13" t="s">
        <v>34</v>
      </c>
      <c r="G158" s="13">
        <v>0.42</v>
      </c>
      <c r="H158" s="13" t="s">
        <v>34</v>
      </c>
      <c r="I158" s="13" t="s">
        <v>34</v>
      </c>
      <c r="J158" s="13" t="s">
        <v>34</v>
      </c>
      <c r="K158" s="13" t="s">
        <v>34</v>
      </c>
      <c r="L158" s="13">
        <v>0</v>
      </c>
      <c r="M158" s="13" t="s">
        <v>34</v>
      </c>
      <c r="N158" s="13" t="s">
        <v>34</v>
      </c>
      <c r="O158" s="13" t="s">
        <v>34</v>
      </c>
      <c r="P158" s="13" t="s">
        <v>34</v>
      </c>
      <c r="Q158" s="10" t="s">
        <v>34</v>
      </c>
      <c r="R158" s="13">
        <v>2.66</v>
      </c>
      <c r="S158" s="13" t="s">
        <v>34</v>
      </c>
      <c r="T158" s="13" t="s">
        <v>36</v>
      </c>
      <c r="U158" s="13" t="s">
        <v>37</v>
      </c>
      <c r="V158" s="13" t="s">
        <v>48</v>
      </c>
      <c r="W158" s="13" t="s">
        <v>34</v>
      </c>
      <c r="X158" s="13">
        <v>1</v>
      </c>
      <c r="Y158" s="13">
        <v>1</v>
      </c>
      <c r="Z158" s="13" t="s">
        <v>39</v>
      </c>
      <c r="AA158" s="13" t="s">
        <v>34</v>
      </c>
      <c r="AB158" s="13">
        <v>6</v>
      </c>
      <c r="AC158" s="13" t="s">
        <v>123</v>
      </c>
      <c r="AD158" s="13" t="s">
        <v>32</v>
      </c>
      <c r="AE158" s="12">
        <v>0.9819</v>
      </c>
      <c r="AF158" s="13" t="s">
        <v>139</v>
      </c>
      <c r="AG158" s="13">
        <v>2017</v>
      </c>
      <c r="AH158" s="21" t="s">
        <v>140</v>
      </c>
      <c r="AI158" s="2">
        <v>39.1</v>
      </c>
      <c r="AJ158" s="2">
        <v>2.0499999999999998</v>
      </c>
      <c r="AK158" s="2">
        <v>1.5</v>
      </c>
    </row>
    <row r="159" spans="1:37" x14ac:dyDescent="0.3">
      <c r="A159" s="11">
        <v>1.6025641025641</v>
      </c>
      <c r="B159" s="11">
        <v>57.082452431290001</v>
      </c>
      <c r="C159" s="13" t="s">
        <v>33</v>
      </c>
      <c r="D159" s="13" t="s">
        <v>35</v>
      </c>
      <c r="E159" s="10" t="s">
        <v>170</v>
      </c>
      <c r="F159" s="13" t="s">
        <v>34</v>
      </c>
      <c r="G159" s="13">
        <v>0.42</v>
      </c>
      <c r="H159" s="13" t="s">
        <v>34</v>
      </c>
      <c r="I159" s="13" t="s">
        <v>34</v>
      </c>
      <c r="J159" s="13" t="s">
        <v>34</v>
      </c>
      <c r="K159" s="13" t="s">
        <v>34</v>
      </c>
      <c r="L159" s="13">
        <v>0</v>
      </c>
      <c r="M159" s="13" t="s">
        <v>34</v>
      </c>
      <c r="N159" s="13" t="s">
        <v>34</v>
      </c>
      <c r="O159" s="13" t="s">
        <v>34</v>
      </c>
      <c r="P159" s="13" t="s">
        <v>34</v>
      </c>
      <c r="Q159" s="10" t="s">
        <v>34</v>
      </c>
      <c r="R159" s="13">
        <v>2.66</v>
      </c>
      <c r="S159" s="13" t="s">
        <v>34</v>
      </c>
      <c r="T159" s="13" t="s">
        <v>36</v>
      </c>
      <c r="U159" s="13" t="s">
        <v>37</v>
      </c>
      <c r="V159" s="13" t="s">
        <v>48</v>
      </c>
      <c r="W159" s="13" t="s">
        <v>34</v>
      </c>
      <c r="X159" s="13">
        <v>1</v>
      </c>
      <c r="Y159" s="13">
        <v>1</v>
      </c>
      <c r="Z159" s="13" t="s">
        <v>39</v>
      </c>
      <c r="AA159" s="13" t="s">
        <v>34</v>
      </c>
      <c r="AB159" s="13">
        <v>6</v>
      </c>
      <c r="AC159" s="13" t="s">
        <v>124</v>
      </c>
      <c r="AD159" s="13" t="s">
        <v>32</v>
      </c>
      <c r="AE159" s="12">
        <v>0.9819</v>
      </c>
      <c r="AF159" s="13" t="s">
        <v>139</v>
      </c>
      <c r="AG159" s="13">
        <v>2017</v>
      </c>
      <c r="AH159" s="21" t="s">
        <v>140</v>
      </c>
      <c r="AI159" s="2">
        <v>39.1</v>
      </c>
      <c r="AJ159" s="2">
        <v>2.0499999999999998</v>
      </c>
      <c r="AK159" s="2">
        <v>1.5</v>
      </c>
    </row>
    <row r="160" spans="1:37" x14ac:dyDescent="0.3">
      <c r="A160" s="11">
        <v>1.7022792022791999</v>
      </c>
      <c r="B160" s="11">
        <v>69.767441860465595</v>
      </c>
      <c r="C160" s="13" t="s">
        <v>33</v>
      </c>
      <c r="D160" s="13" t="s">
        <v>35</v>
      </c>
      <c r="E160" s="10" t="s">
        <v>170</v>
      </c>
      <c r="F160" s="13" t="s">
        <v>34</v>
      </c>
      <c r="G160" s="13">
        <v>0.42</v>
      </c>
      <c r="H160" s="13" t="s">
        <v>34</v>
      </c>
      <c r="I160" s="13" t="s">
        <v>34</v>
      </c>
      <c r="J160" s="13" t="s">
        <v>34</v>
      </c>
      <c r="K160" s="13" t="s">
        <v>34</v>
      </c>
      <c r="L160" s="13">
        <v>0</v>
      </c>
      <c r="M160" s="13" t="s">
        <v>34</v>
      </c>
      <c r="N160" s="13" t="s">
        <v>34</v>
      </c>
      <c r="O160" s="13" t="s">
        <v>34</v>
      </c>
      <c r="P160" s="13" t="s">
        <v>34</v>
      </c>
      <c r="Q160" s="10" t="s">
        <v>34</v>
      </c>
      <c r="R160" s="13">
        <v>2.66</v>
      </c>
      <c r="S160" s="13" t="s">
        <v>34</v>
      </c>
      <c r="T160" s="13" t="s">
        <v>36</v>
      </c>
      <c r="U160" s="13" t="s">
        <v>37</v>
      </c>
      <c r="V160" s="13" t="s">
        <v>48</v>
      </c>
      <c r="W160" s="13" t="s">
        <v>34</v>
      </c>
      <c r="X160" s="13">
        <v>1</v>
      </c>
      <c r="Y160" s="13">
        <v>1</v>
      </c>
      <c r="Z160" s="13" t="s">
        <v>39</v>
      </c>
      <c r="AA160" s="13" t="s">
        <v>34</v>
      </c>
      <c r="AB160" s="13">
        <v>6</v>
      </c>
      <c r="AC160" s="13" t="s">
        <v>127</v>
      </c>
      <c r="AD160" s="13" t="s">
        <v>32</v>
      </c>
      <c r="AE160" s="12">
        <v>0.9819</v>
      </c>
      <c r="AF160" s="13" t="s">
        <v>139</v>
      </c>
      <c r="AG160" s="13">
        <v>2017</v>
      </c>
      <c r="AH160" s="21" t="s">
        <v>140</v>
      </c>
      <c r="AI160" s="2">
        <v>39.1</v>
      </c>
      <c r="AJ160" s="2">
        <v>2.0499999999999998</v>
      </c>
      <c r="AK160" s="2">
        <v>1.5</v>
      </c>
    </row>
    <row r="161" spans="1:37" x14ac:dyDescent="0.3">
      <c r="A161" s="11">
        <v>1.8589743589743499</v>
      </c>
      <c r="B161" s="11">
        <v>82.452431289640799</v>
      </c>
      <c r="C161" s="13" t="s">
        <v>33</v>
      </c>
      <c r="D161" s="13" t="s">
        <v>35</v>
      </c>
      <c r="E161" s="10" t="s">
        <v>170</v>
      </c>
      <c r="F161" s="13" t="s">
        <v>34</v>
      </c>
      <c r="G161" s="13">
        <v>0.42</v>
      </c>
      <c r="H161" s="13" t="s">
        <v>34</v>
      </c>
      <c r="I161" s="13" t="s">
        <v>34</v>
      </c>
      <c r="J161" s="13" t="s">
        <v>34</v>
      </c>
      <c r="K161" s="13" t="s">
        <v>34</v>
      </c>
      <c r="L161" s="13">
        <v>0</v>
      </c>
      <c r="M161" s="13" t="s">
        <v>34</v>
      </c>
      <c r="N161" s="13" t="s">
        <v>34</v>
      </c>
      <c r="O161" s="13" t="s">
        <v>34</v>
      </c>
      <c r="P161" s="13" t="s">
        <v>34</v>
      </c>
      <c r="Q161" s="10" t="s">
        <v>34</v>
      </c>
      <c r="R161" s="13">
        <v>2.66</v>
      </c>
      <c r="S161" s="13" t="s">
        <v>34</v>
      </c>
      <c r="T161" s="13" t="s">
        <v>36</v>
      </c>
      <c r="U161" s="13" t="s">
        <v>37</v>
      </c>
      <c r="V161" s="13" t="s">
        <v>48</v>
      </c>
      <c r="W161" s="13" t="s">
        <v>34</v>
      </c>
      <c r="X161" s="13">
        <v>1</v>
      </c>
      <c r="Y161" s="13">
        <v>1</v>
      </c>
      <c r="Z161" s="13" t="s">
        <v>39</v>
      </c>
      <c r="AA161" s="13" t="s">
        <v>34</v>
      </c>
      <c r="AB161" s="13">
        <v>6</v>
      </c>
      <c r="AC161" s="13" t="s">
        <v>128</v>
      </c>
      <c r="AD161" s="13" t="s">
        <v>32</v>
      </c>
      <c r="AE161" s="12">
        <v>0.9819</v>
      </c>
      <c r="AF161" s="13" t="s">
        <v>139</v>
      </c>
      <c r="AG161" s="13">
        <v>2017</v>
      </c>
      <c r="AH161" s="21" t="s">
        <v>140</v>
      </c>
      <c r="AI161" s="2">
        <v>39.1</v>
      </c>
      <c r="AJ161" s="2">
        <v>2.0499999999999998</v>
      </c>
      <c r="AK161" s="2">
        <v>1.5</v>
      </c>
    </row>
    <row r="162" spans="1:37" x14ac:dyDescent="0.3">
      <c r="A162" s="11">
        <v>2.8774928774928701</v>
      </c>
      <c r="B162" s="11">
        <v>213.53065539112001</v>
      </c>
      <c r="C162" s="13" t="s">
        <v>33</v>
      </c>
      <c r="D162" s="13" t="s">
        <v>35</v>
      </c>
      <c r="E162" s="10" t="s">
        <v>170</v>
      </c>
      <c r="F162" s="13" t="s">
        <v>34</v>
      </c>
      <c r="G162" s="13">
        <v>0.42</v>
      </c>
      <c r="H162" s="13" t="s">
        <v>34</v>
      </c>
      <c r="I162" s="13" t="s">
        <v>34</v>
      </c>
      <c r="J162" s="13" t="s">
        <v>34</v>
      </c>
      <c r="K162" s="13" t="s">
        <v>34</v>
      </c>
      <c r="L162" s="13">
        <v>0</v>
      </c>
      <c r="M162" s="13" t="s">
        <v>34</v>
      </c>
      <c r="N162" s="13" t="s">
        <v>34</v>
      </c>
      <c r="O162" s="13" t="s">
        <v>34</v>
      </c>
      <c r="P162" s="13" t="s">
        <v>34</v>
      </c>
      <c r="Q162" s="10" t="s">
        <v>34</v>
      </c>
      <c r="R162" s="13">
        <v>2.66</v>
      </c>
      <c r="S162" s="13" t="s">
        <v>34</v>
      </c>
      <c r="T162" s="13" t="s">
        <v>36</v>
      </c>
      <c r="U162" s="13" t="s">
        <v>37</v>
      </c>
      <c r="V162" s="13" t="s">
        <v>48</v>
      </c>
      <c r="W162" s="13" t="s">
        <v>34</v>
      </c>
      <c r="X162" s="13">
        <v>1</v>
      </c>
      <c r="Y162" s="13">
        <v>1</v>
      </c>
      <c r="Z162" s="13" t="s">
        <v>39</v>
      </c>
      <c r="AA162" s="13" t="s">
        <v>34</v>
      </c>
      <c r="AB162" s="13">
        <v>6</v>
      </c>
      <c r="AC162" s="13" t="s">
        <v>129</v>
      </c>
      <c r="AD162" s="13" t="s">
        <v>32</v>
      </c>
      <c r="AE162" s="12">
        <v>0.9819</v>
      </c>
      <c r="AF162" s="13" t="s">
        <v>139</v>
      </c>
      <c r="AG162" s="13">
        <v>2017</v>
      </c>
      <c r="AH162" s="21" t="s">
        <v>140</v>
      </c>
      <c r="AI162" s="2">
        <v>39.1</v>
      </c>
      <c r="AJ162" s="2">
        <v>2.0499999999999998</v>
      </c>
      <c r="AK162" s="2">
        <v>1.5</v>
      </c>
    </row>
    <row r="163" spans="1:37" x14ac:dyDescent="0.3">
      <c r="A163" s="11">
        <v>3.4971509971509902</v>
      </c>
      <c r="B163" s="11">
        <v>285.41226215644798</v>
      </c>
      <c r="C163" s="13" t="s">
        <v>33</v>
      </c>
      <c r="D163" s="13" t="s">
        <v>35</v>
      </c>
      <c r="E163" s="10" t="s">
        <v>170</v>
      </c>
      <c r="F163" s="13" t="s">
        <v>34</v>
      </c>
      <c r="G163" s="13">
        <v>0.42</v>
      </c>
      <c r="H163" s="13" t="s">
        <v>34</v>
      </c>
      <c r="I163" s="13" t="s">
        <v>34</v>
      </c>
      <c r="J163" s="13" t="s">
        <v>34</v>
      </c>
      <c r="K163" s="13" t="s">
        <v>34</v>
      </c>
      <c r="L163" s="13">
        <v>0</v>
      </c>
      <c r="M163" s="13" t="s">
        <v>34</v>
      </c>
      <c r="N163" s="13" t="s">
        <v>34</v>
      </c>
      <c r="O163" s="13" t="s">
        <v>34</v>
      </c>
      <c r="P163" s="13" t="s">
        <v>34</v>
      </c>
      <c r="Q163" s="10" t="s">
        <v>34</v>
      </c>
      <c r="R163" s="13">
        <v>2.66</v>
      </c>
      <c r="S163" s="13" t="s">
        <v>34</v>
      </c>
      <c r="T163" s="13" t="s">
        <v>36</v>
      </c>
      <c r="U163" s="13" t="s">
        <v>37</v>
      </c>
      <c r="V163" s="13" t="s">
        <v>48</v>
      </c>
      <c r="W163" s="13" t="s">
        <v>34</v>
      </c>
      <c r="X163" s="13">
        <v>1</v>
      </c>
      <c r="Y163" s="13">
        <v>1</v>
      </c>
      <c r="Z163" s="13" t="s">
        <v>39</v>
      </c>
      <c r="AA163" s="13" t="s">
        <v>34</v>
      </c>
      <c r="AB163" s="13">
        <v>6</v>
      </c>
      <c r="AC163" s="13" t="s">
        <v>130</v>
      </c>
      <c r="AD163" s="13" t="s">
        <v>32</v>
      </c>
      <c r="AE163" s="12">
        <v>0.9819</v>
      </c>
      <c r="AF163" s="13" t="s">
        <v>139</v>
      </c>
      <c r="AG163" s="13">
        <v>2017</v>
      </c>
      <c r="AH163" s="21" t="s">
        <v>140</v>
      </c>
      <c r="AI163" s="2">
        <v>39.1</v>
      </c>
      <c r="AJ163" s="2">
        <v>2.0499999999999998</v>
      </c>
      <c r="AK163" s="2">
        <v>1.5</v>
      </c>
    </row>
    <row r="164" spans="1:37" x14ac:dyDescent="0.3">
      <c r="A164" s="11">
        <v>3.88888888888888</v>
      </c>
      <c r="B164" s="11">
        <v>357.29386892177502</v>
      </c>
      <c r="C164" s="13" t="s">
        <v>33</v>
      </c>
      <c r="D164" s="13" t="s">
        <v>35</v>
      </c>
      <c r="E164" s="10" t="s">
        <v>170</v>
      </c>
      <c r="F164" s="13" t="s">
        <v>34</v>
      </c>
      <c r="G164" s="13">
        <v>0.42</v>
      </c>
      <c r="H164" s="13" t="s">
        <v>34</v>
      </c>
      <c r="I164" s="13" t="s">
        <v>34</v>
      </c>
      <c r="J164" s="13" t="s">
        <v>34</v>
      </c>
      <c r="K164" s="13" t="s">
        <v>34</v>
      </c>
      <c r="L164" s="13">
        <v>0</v>
      </c>
      <c r="M164" s="13" t="s">
        <v>34</v>
      </c>
      <c r="N164" s="13" t="s">
        <v>34</v>
      </c>
      <c r="O164" s="13" t="s">
        <v>34</v>
      </c>
      <c r="P164" s="13" t="s">
        <v>34</v>
      </c>
      <c r="Q164" s="10" t="s">
        <v>34</v>
      </c>
      <c r="R164" s="13">
        <v>2.66</v>
      </c>
      <c r="S164" s="13" t="s">
        <v>34</v>
      </c>
      <c r="T164" s="13" t="s">
        <v>36</v>
      </c>
      <c r="U164" s="13" t="s">
        <v>37</v>
      </c>
      <c r="V164" s="13" t="s">
        <v>48</v>
      </c>
      <c r="W164" s="13" t="s">
        <v>34</v>
      </c>
      <c r="X164" s="13">
        <v>1</v>
      </c>
      <c r="Y164" s="13">
        <v>1</v>
      </c>
      <c r="Z164" s="13" t="s">
        <v>39</v>
      </c>
      <c r="AA164" s="13" t="s">
        <v>34</v>
      </c>
      <c r="AB164" s="13">
        <v>6</v>
      </c>
      <c r="AC164" s="13" t="s">
        <v>131</v>
      </c>
      <c r="AD164" s="13" t="s">
        <v>32</v>
      </c>
      <c r="AE164" s="12">
        <v>0.9819</v>
      </c>
      <c r="AF164" s="13" t="s">
        <v>139</v>
      </c>
      <c r="AG164" s="13">
        <v>2017</v>
      </c>
      <c r="AH164" s="21" t="s">
        <v>140</v>
      </c>
      <c r="AI164" s="2">
        <v>39.1</v>
      </c>
      <c r="AJ164" s="2">
        <v>2.0499999999999998</v>
      </c>
      <c r="AK164" s="2">
        <v>1.5</v>
      </c>
    </row>
    <row r="165" spans="1:37" x14ac:dyDescent="0.3">
      <c r="A165" s="11">
        <v>4.0527065527065496</v>
      </c>
      <c r="B165" s="11">
        <v>431.289640591965</v>
      </c>
      <c r="C165" s="13" t="s">
        <v>33</v>
      </c>
      <c r="D165" s="13" t="s">
        <v>35</v>
      </c>
      <c r="E165" s="10" t="s">
        <v>170</v>
      </c>
      <c r="F165" s="13" t="s">
        <v>34</v>
      </c>
      <c r="G165" s="13">
        <v>0.42</v>
      </c>
      <c r="H165" s="13" t="s">
        <v>34</v>
      </c>
      <c r="I165" s="13" t="s">
        <v>34</v>
      </c>
      <c r="J165" s="13" t="s">
        <v>34</v>
      </c>
      <c r="K165" s="13" t="s">
        <v>34</v>
      </c>
      <c r="L165" s="13">
        <v>0</v>
      </c>
      <c r="M165" s="13" t="s">
        <v>34</v>
      </c>
      <c r="N165" s="13" t="s">
        <v>34</v>
      </c>
      <c r="O165" s="13" t="s">
        <v>34</v>
      </c>
      <c r="P165" s="13" t="s">
        <v>34</v>
      </c>
      <c r="Q165" s="10" t="s">
        <v>34</v>
      </c>
      <c r="R165" s="13">
        <v>2.66</v>
      </c>
      <c r="S165" s="13" t="s">
        <v>34</v>
      </c>
      <c r="T165" s="13" t="s">
        <v>36</v>
      </c>
      <c r="U165" s="13" t="s">
        <v>37</v>
      </c>
      <c r="V165" s="13" t="s">
        <v>48</v>
      </c>
      <c r="W165" s="13" t="s">
        <v>34</v>
      </c>
      <c r="X165" s="13">
        <v>1</v>
      </c>
      <c r="Y165" s="13">
        <v>1</v>
      </c>
      <c r="Z165" s="13" t="s">
        <v>39</v>
      </c>
      <c r="AA165" s="13" t="s">
        <v>34</v>
      </c>
      <c r="AB165" s="13">
        <v>6</v>
      </c>
      <c r="AC165" s="13" t="s">
        <v>132</v>
      </c>
      <c r="AD165" s="13" t="s">
        <v>32</v>
      </c>
      <c r="AE165" s="12">
        <v>0.9819</v>
      </c>
      <c r="AF165" s="13" t="s">
        <v>139</v>
      </c>
      <c r="AG165" s="13">
        <v>2017</v>
      </c>
      <c r="AH165" s="21" t="s">
        <v>140</v>
      </c>
      <c r="AI165" s="2">
        <v>39.1</v>
      </c>
      <c r="AJ165" s="2">
        <v>2.0499999999999998</v>
      </c>
      <c r="AK165" s="2">
        <v>1.5</v>
      </c>
    </row>
    <row r="166" spans="1:37" x14ac:dyDescent="0.3">
      <c r="A166" s="11">
        <v>4.2948717948717903</v>
      </c>
      <c r="B166" s="11">
        <v>391.12050739957698</v>
      </c>
      <c r="C166" s="13" t="s">
        <v>33</v>
      </c>
      <c r="D166" s="13" t="s">
        <v>35</v>
      </c>
      <c r="E166" s="10" t="s">
        <v>170</v>
      </c>
      <c r="F166" s="13" t="s">
        <v>34</v>
      </c>
      <c r="G166" s="13">
        <v>0.42</v>
      </c>
      <c r="H166" s="13" t="s">
        <v>34</v>
      </c>
      <c r="I166" s="13" t="s">
        <v>34</v>
      </c>
      <c r="J166" s="13" t="s">
        <v>34</v>
      </c>
      <c r="K166" s="13" t="s">
        <v>34</v>
      </c>
      <c r="L166" s="13">
        <v>0</v>
      </c>
      <c r="M166" s="13" t="s">
        <v>34</v>
      </c>
      <c r="N166" s="13" t="s">
        <v>34</v>
      </c>
      <c r="O166" s="13" t="s">
        <v>34</v>
      </c>
      <c r="P166" s="13" t="s">
        <v>34</v>
      </c>
      <c r="Q166" s="10" t="s">
        <v>34</v>
      </c>
      <c r="R166" s="13">
        <v>2.66</v>
      </c>
      <c r="S166" s="13" t="s">
        <v>34</v>
      </c>
      <c r="T166" s="13" t="s">
        <v>36</v>
      </c>
      <c r="U166" s="13" t="s">
        <v>37</v>
      </c>
      <c r="V166" s="13" t="s">
        <v>48</v>
      </c>
      <c r="W166" s="13" t="s">
        <v>34</v>
      </c>
      <c r="X166" s="13">
        <v>1</v>
      </c>
      <c r="Y166" s="13">
        <v>1</v>
      </c>
      <c r="Z166" s="13" t="s">
        <v>39</v>
      </c>
      <c r="AA166" s="13" t="s">
        <v>34</v>
      </c>
      <c r="AB166" s="13">
        <v>6</v>
      </c>
      <c r="AC166" s="13" t="s">
        <v>133</v>
      </c>
      <c r="AD166" s="13" t="s">
        <v>32</v>
      </c>
      <c r="AE166" s="12">
        <v>0.9819</v>
      </c>
      <c r="AF166" s="13" t="s">
        <v>139</v>
      </c>
      <c r="AG166" s="13">
        <v>2017</v>
      </c>
      <c r="AH166" s="21" t="s">
        <v>140</v>
      </c>
      <c r="AI166" s="2">
        <v>39.1</v>
      </c>
      <c r="AJ166" s="2">
        <v>2.0499999999999998</v>
      </c>
      <c r="AK166" s="2">
        <v>1.5</v>
      </c>
    </row>
    <row r="167" spans="1:37" x14ac:dyDescent="0.3">
      <c r="A167" s="11">
        <v>4.5370370370370301</v>
      </c>
      <c r="B167" s="11">
        <v>391.120507399578</v>
      </c>
      <c r="C167" s="13" t="s">
        <v>33</v>
      </c>
      <c r="D167" s="13" t="s">
        <v>35</v>
      </c>
      <c r="E167" s="10" t="s">
        <v>170</v>
      </c>
      <c r="F167" s="13" t="s">
        <v>34</v>
      </c>
      <c r="G167" s="13">
        <v>0.42</v>
      </c>
      <c r="H167" s="13" t="s">
        <v>34</v>
      </c>
      <c r="I167" s="13" t="s">
        <v>34</v>
      </c>
      <c r="J167" s="13" t="s">
        <v>34</v>
      </c>
      <c r="K167" s="13" t="s">
        <v>34</v>
      </c>
      <c r="L167" s="13">
        <v>0</v>
      </c>
      <c r="M167" s="13" t="s">
        <v>34</v>
      </c>
      <c r="N167" s="13" t="s">
        <v>34</v>
      </c>
      <c r="O167" s="13" t="s">
        <v>34</v>
      </c>
      <c r="P167" s="13" t="s">
        <v>34</v>
      </c>
      <c r="Q167" s="10" t="s">
        <v>34</v>
      </c>
      <c r="R167" s="13">
        <v>2.66</v>
      </c>
      <c r="S167" s="13" t="s">
        <v>34</v>
      </c>
      <c r="T167" s="13" t="s">
        <v>36</v>
      </c>
      <c r="U167" s="13" t="s">
        <v>37</v>
      </c>
      <c r="V167" s="13" t="s">
        <v>48</v>
      </c>
      <c r="W167" s="13" t="s">
        <v>34</v>
      </c>
      <c r="X167" s="13">
        <v>1</v>
      </c>
      <c r="Y167" s="13">
        <v>1</v>
      </c>
      <c r="Z167" s="13" t="s">
        <v>39</v>
      </c>
      <c r="AA167" s="13" t="s">
        <v>34</v>
      </c>
      <c r="AB167" s="13">
        <v>6</v>
      </c>
      <c r="AC167" s="13" t="s">
        <v>134</v>
      </c>
      <c r="AD167" s="13" t="s">
        <v>32</v>
      </c>
      <c r="AE167" s="12">
        <v>0.9819</v>
      </c>
      <c r="AF167" s="13" t="s">
        <v>139</v>
      </c>
      <c r="AG167" s="13">
        <v>2017</v>
      </c>
      <c r="AH167" s="21" t="s">
        <v>140</v>
      </c>
      <c r="AI167" s="2">
        <v>39.1</v>
      </c>
      <c r="AJ167" s="2">
        <v>2.0499999999999998</v>
      </c>
      <c r="AK167" s="2">
        <v>1.5</v>
      </c>
    </row>
    <row r="168" spans="1:37" x14ac:dyDescent="0.3">
      <c r="A168" s="11">
        <v>5.5982905982905899</v>
      </c>
      <c r="B168" s="11">
        <v>805.49682875264295</v>
      </c>
      <c r="C168" s="13" t="s">
        <v>33</v>
      </c>
      <c r="D168" s="13" t="s">
        <v>35</v>
      </c>
      <c r="E168" s="10" t="s">
        <v>170</v>
      </c>
      <c r="F168" s="13" t="s">
        <v>34</v>
      </c>
      <c r="G168" s="13">
        <v>0.42</v>
      </c>
      <c r="H168" s="13" t="s">
        <v>34</v>
      </c>
      <c r="I168" s="13" t="s">
        <v>34</v>
      </c>
      <c r="J168" s="13" t="s">
        <v>34</v>
      </c>
      <c r="K168" s="13" t="s">
        <v>34</v>
      </c>
      <c r="L168" s="13">
        <v>0</v>
      </c>
      <c r="M168" s="13" t="s">
        <v>34</v>
      </c>
      <c r="N168" s="13" t="s">
        <v>34</v>
      </c>
      <c r="O168" s="13" t="s">
        <v>34</v>
      </c>
      <c r="P168" s="13" t="s">
        <v>34</v>
      </c>
      <c r="Q168" s="10" t="s">
        <v>34</v>
      </c>
      <c r="R168" s="13">
        <v>2.66</v>
      </c>
      <c r="S168" s="13" t="s">
        <v>34</v>
      </c>
      <c r="T168" s="13" t="s">
        <v>36</v>
      </c>
      <c r="U168" s="13" t="s">
        <v>37</v>
      </c>
      <c r="V168" s="13" t="s">
        <v>48</v>
      </c>
      <c r="W168" s="13" t="s">
        <v>34</v>
      </c>
      <c r="X168" s="13">
        <v>1</v>
      </c>
      <c r="Y168" s="13">
        <v>1</v>
      </c>
      <c r="Z168" s="13" t="s">
        <v>39</v>
      </c>
      <c r="AA168" s="13" t="s">
        <v>34</v>
      </c>
      <c r="AB168" s="13">
        <v>6</v>
      </c>
      <c r="AC168" s="13" t="s">
        <v>135</v>
      </c>
      <c r="AD168" s="13" t="s">
        <v>32</v>
      </c>
      <c r="AE168" s="12">
        <v>0.9819</v>
      </c>
      <c r="AF168" s="13" t="s">
        <v>139</v>
      </c>
      <c r="AG168" s="13">
        <v>2017</v>
      </c>
      <c r="AH168" s="21" t="s">
        <v>140</v>
      </c>
      <c r="AI168" s="2">
        <v>39.1</v>
      </c>
      <c r="AJ168" s="2">
        <v>2.0499999999999998</v>
      </c>
      <c r="AK168" s="2">
        <v>1.5</v>
      </c>
    </row>
    <row r="169" spans="1:37" x14ac:dyDescent="0.3">
      <c r="A169" s="11">
        <v>6.7236467236467199</v>
      </c>
      <c r="B169" s="11">
        <v>1154.33403805496</v>
      </c>
      <c r="C169" s="13" t="s">
        <v>33</v>
      </c>
      <c r="D169" s="13" t="s">
        <v>35</v>
      </c>
      <c r="E169" s="10" t="s">
        <v>170</v>
      </c>
      <c r="F169" s="13" t="s">
        <v>34</v>
      </c>
      <c r="G169" s="13">
        <v>0.42</v>
      </c>
      <c r="H169" s="13" t="s">
        <v>34</v>
      </c>
      <c r="I169" s="13" t="s">
        <v>34</v>
      </c>
      <c r="J169" s="13" t="s">
        <v>34</v>
      </c>
      <c r="K169" s="13" t="s">
        <v>34</v>
      </c>
      <c r="L169" s="13">
        <v>0</v>
      </c>
      <c r="M169" s="13" t="s">
        <v>34</v>
      </c>
      <c r="N169" s="13" t="s">
        <v>34</v>
      </c>
      <c r="O169" s="13" t="s">
        <v>34</v>
      </c>
      <c r="P169" s="13" t="s">
        <v>34</v>
      </c>
      <c r="Q169" s="10" t="s">
        <v>34</v>
      </c>
      <c r="R169" s="13">
        <v>2.66</v>
      </c>
      <c r="S169" s="13" t="s">
        <v>34</v>
      </c>
      <c r="T169" s="13" t="s">
        <v>36</v>
      </c>
      <c r="U169" s="13" t="s">
        <v>37</v>
      </c>
      <c r="V169" s="13" t="s">
        <v>48</v>
      </c>
      <c r="W169" s="13" t="s">
        <v>34</v>
      </c>
      <c r="X169" s="13">
        <v>1</v>
      </c>
      <c r="Y169" s="13">
        <v>1</v>
      </c>
      <c r="Z169" s="13" t="s">
        <v>39</v>
      </c>
      <c r="AA169" s="13" t="s">
        <v>34</v>
      </c>
      <c r="AB169" s="13">
        <v>6</v>
      </c>
      <c r="AC169" s="13" t="s">
        <v>136</v>
      </c>
      <c r="AD169" s="13" t="s">
        <v>32</v>
      </c>
      <c r="AE169" s="12">
        <v>0.9819</v>
      </c>
      <c r="AF169" s="13" t="s">
        <v>139</v>
      </c>
      <c r="AG169" s="13">
        <v>2017</v>
      </c>
      <c r="AH169" s="21" t="s">
        <v>140</v>
      </c>
      <c r="AI169" s="2">
        <v>39.1</v>
      </c>
      <c r="AJ169" s="2">
        <v>2.0499999999999998</v>
      </c>
      <c r="AK169" s="2">
        <v>1.5</v>
      </c>
    </row>
    <row r="170" spans="1:37" x14ac:dyDescent="0.3">
      <c r="A170" s="11">
        <v>8.2407407407407405</v>
      </c>
      <c r="B170" s="11">
        <v>1505.28541226215</v>
      </c>
      <c r="C170" s="13" t="s">
        <v>33</v>
      </c>
      <c r="D170" s="13" t="s">
        <v>35</v>
      </c>
      <c r="E170" s="10" t="s">
        <v>170</v>
      </c>
      <c r="F170" s="13" t="s">
        <v>34</v>
      </c>
      <c r="G170" s="13">
        <v>0.42</v>
      </c>
      <c r="H170" s="13" t="s">
        <v>34</v>
      </c>
      <c r="I170" s="13" t="s">
        <v>34</v>
      </c>
      <c r="J170" s="13" t="s">
        <v>34</v>
      </c>
      <c r="K170" s="13" t="s">
        <v>34</v>
      </c>
      <c r="L170" s="13">
        <v>0</v>
      </c>
      <c r="M170" s="13" t="s">
        <v>34</v>
      </c>
      <c r="N170" s="13" t="s">
        <v>34</v>
      </c>
      <c r="O170" s="13" t="s">
        <v>34</v>
      </c>
      <c r="P170" s="13" t="s">
        <v>34</v>
      </c>
      <c r="Q170" s="10" t="s">
        <v>34</v>
      </c>
      <c r="R170" s="13">
        <v>2.66</v>
      </c>
      <c r="S170" s="13" t="s">
        <v>34</v>
      </c>
      <c r="T170" s="13" t="s">
        <v>36</v>
      </c>
      <c r="U170" s="13" t="s">
        <v>37</v>
      </c>
      <c r="V170" s="13" t="s">
        <v>48</v>
      </c>
      <c r="W170" s="13" t="s">
        <v>34</v>
      </c>
      <c r="X170" s="13">
        <v>1</v>
      </c>
      <c r="Y170" s="13">
        <v>1</v>
      </c>
      <c r="Z170" s="13" t="s">
        <v>39</v>
      </c>
      <c r="AA170" s="13" t="s">
        <v>34</v>
      </c>
      <c r="AB170" s="13">
        <v>6</v>
      </c>
      <c r="AC170" s="13" t="s">
        <v>137</v>
      </c>
      <c r="AD170" s="13" t="s">
        <v>32</v>
      </c>
      <c r="AE170" s="12">
        <v>0.9819</v>
      </c>
      <c r="AF170" s="13" t="s">
        <v>139</v>
      </c>
      <c r="AG170" s="13">
        <v>2017</v>
      </c>
      <c r="AH170" s="21" t="s">
        <v>140</v>
      </c>
      <c r="AI170" s="2">
        <v>39.1</v>
      </c>
      <c r="AJ170" s="2">
        <v>2.0499999999999998</v>
      </c>
      <c r="AK170" s="2">
        <v>1.5</v>
      </c>
    </row>
    <row r="171" spans="1:37" s="15" customFormat="1" ht="16.2" thickBot="1" x14ac:dyDescent="0.35">
      <c r="A171" s="17">
        <v>9.8005698005697894</v>
      </c>
      <c r="B171" s="17">
        <v>1881.60676532769</v>
      </c>
      <c r="C171" s="18" t="s">
        <v>33</v>
      </c>
      <c r="D171" s="18" t="s">
        <v>35</v>
      </c>
      <c r="E171" s="10" t="s">
        <v>170</v>
      </c>
      <c r="F171" s="18" t="s">
        <v>34</v>
      </c>
      <c r="G171" s="18">
        <v>0.42</v>
      </c>
      <c r="H171" s="18" t="s">
        <v>34</v>
      </c>
      <c r="I171" s="18" t="s">
        <v>34</v>
      </c>
      <c r="J171" s="18" t="s">
        <v>34</v>
      </c>
      <c r="K171" s="18" t="s">
        <v>34</v>
      </c>
      <c r="L171" s="18">
        <v>0</v>
      </c>
      <c r="M171" s="18" t="s">
        <v>34</v>
      </c>
      <c r="N171" s="18" t="s">
        <v>34</v>
      </c>
      <c r="O171" s="18" t="s">
        <v>34</v>
      </c>
      <c r="P171" s="18" t="s">
        <v>34</v>
      </c>
      <c r="Q171" s="14" t="s">
        <v>34</v>
      </c>
      <c r="R171" s="18">
        <v>2.66</v>
      </c>
      <c r="S171" s="18" t="s">
        <v>34</v>
      </c>
      <c r="T171" s="18" t="s">
        <v>36</v>
      </c>
      <c r="U171" s="18" t="s">
        <v>37</v>
      </c>
      <c r="V171" s="18" t="s">
        <v>48</v>
      </c>
      <c r="W171" s="18" t="s">
        <v>34</v>
      </c>
      <c r="X171" s="18">
        <v>1</v>
      </c>
      <c r="Y171" s="18">
        <v>1</v>
      </c>
      <c r="Z171" s="18" t="s">
        <v>39</v>
      </c>
      <c r="AA171" s="18" t="s">
        <v>34</v>
      </c>
      <c r="AB171" s="18">
        <v>6</v>
      </c>
      <c r="AC171" s="18" t="s">
        <v>138</v>
      </c>
      <c r="AD171" s="18" t="s">
        <v>32</v>
      </c>
      <c r="AE171" s="19">
        <v>0.9819</v>
      </c>
      <c r="AF171" s="18" t="s">
        <v>139</v>
      </c>
      <c r="AG171" s="18">
        <v>2017</v>
      </c>
      <c r="AH171" s="23" t="s">
        <v>140</v>
      </c>
      <c r="AI171" s="34">
        <v>39.1</v>
      </c>
      <c r="AJ171" s="34">
        <v>2.0499999999999998</v>
      </c>
      <c r="AK171" s="34">
        <v>1.5</v>
      </c>
    </row>
    <row r="172" spans="1:37" x14ac:dyDescent="0.3">
      <c r="A172" s="12">
        <v>10.0004540147879</v>
      </c>
      <c r="B172" s="12">
        <v>1012.6741010468801</v>
      </c>
      <c r="C172" s="13" t="s">
        <v>33</v>
      </c>
      <c r="D172" s="13" t="s">
        <v>35</v>
      </c>
      <c r="E172" s="10" t="s">
        <v>170</v>
      </c>
      <c r="F172" s="13" t="s">
        <v>34</v>
      </c>
      <c r="G172" s="13" t="s">
        <v>34</v>
      </c>
      <c r="H172" s="13" t="s">
        <v>34</v>
      </c>
      <c r="I172" s="13" t="s">
        <v>34</v>
      </c>
      <c r="J172" s="13" t="s">
        <v>34</v>
      </c>
      <c r="K172" s="13" t="s">
        <v>34</v>
      </c>
      <c r="L172" s="13" t="s">
        <v>34</v>
      </c>
      <c r="M172" s="13" t="s">
        <v>34</v>
      </c>
      <c r="N172" s="13">
        <v>1483</v>
      </c>
      <c r="O172" s="13" t="s">
        <v>43</v>
      </c>
      <c r="P172" s="13" t="s">
        <v>43</v>
      </c>
      <c r="Q172" s="13" t="s">
        <v>34</v>
      </c>
      <c r="R172" s="13">
        <v>2.665</v>
      </c>
      <c r="S172" s="13" t="s">
        <v>34</v>
      </c>
      <c r="T172" s="13" t="s">
        <v>36</v>
      </c>
      <c r="U172" s="13" t="s">
        <v>37</v>
      </c>
      <c r="V172" s="13" t="s">
        <v>38</v>
      </c>
      <c r="W172" s="13" t="s">
        <v>34</v>
      </c>
      <c r="X172" s="13">
        <v>0.5</v>
      </c>
      <c r="Y172" s="13">
        <v>1</v>
      </c>
      <c r="Z172" s="13" t="s">
        <v>141</v>
      </c>
      <c r="AA172" s="13" t="s">
        <v>34</v>
      </c>
      <c r="AB172" s="13" t="s">
        <v>34</v>
      </c>
      <c r="AC172" s="13" t="s">
        <v>137</v>
      </c>
      <c r="AD172" s="13" t="s">
        <v>32</v>
      </c>
      <c r="AE172" s="12">
        <v>0.70689999999999997</v>
      </c>
      <c r="AF172" s="21" t="s">
        <v>160</v>
      </c>
      <c r="AG172" s="21">
        <v>2018</v>
      </c>
      <c r="AH172" s="21" t="s">
        <v>161</v>
      </c>
      <c r="AI172" s="2">
        <v>30</v>
      </c>
      <c r="AJ172" s="2">
        <v>2</v>
      </c>
      <c r="AK172" s="2" t="s">
        <v>34</v>
      </c>
    </row>
    <row r="173" spans="1:37" x14ac:dyDescent="0.3">
      <c r="A173" s="11">
        <v>12.0504893270491</v>
      </c>
      <c r="B173" s="11">
        <v>1644.6265108987</v>
      </c>
      <c r="C173" s="13" t="s">
        <v>33</v>
      </c>
      <c r="D173" s="13" t="s">
        <v>35</v>
      </c>
      <c r="E173" s="10" t="s">
        <v>170</v>
      </c>
      <c r="F173" s="13" t="s">
        <v>34</v>
      </c>
      <c r="G173" s="13" t="s">
        <v>34</v>
      </c>
      <c r="H173" s="13" t="s">
        <v>34</v>
      </c>
      <c r="I173" s="13" t="s">
        <v>34</v>
      </c>
      <c r="J173" s="13" t="s">
        <v>34</v>
      </c>
      <c r="K173" s="13" t="s">
        <v>34</v>
      </c>
      <c r="L173" s="13" t="s">
        <v>34</v>
      </c>
      <c r="M173" s="13" t="s">
        <v>34</v>
      </c>
      <c r="N173" s="13">
        <v>1483</v>
      </c>
      <c r="O173" s="13" t="s">
        <v>43</v>
      </c>
      <c r="P173" s="13" t="s">
        <v>43</v>
      </c>
      <c r="Q173" s="13" t="s">
        <v>34</v>
      </c>
      <c r="R173" s="13">
        <v>2.665</v>
      </c>
      <c r="S173" s="13" t="s">
        <v>34</v>
      </c>
      <c r="T173" s="13" t="s">
        <v>36</v>
      </c>
      <c r="U173" s="13" t="s">
        <v>37</v>
      </c>
      <c r="V173" s="13" t="s">
        <v>38</v>
      </c>
      <c r="W173" s="13" t="s">
        <v>34</v>
      </c>
      <c r="X173" s="13">
        <v>0.5</v>
      </c>
      <c r="Y173" s="13">
        <v>1</v>
      </c>
      <c r="Z173" s="13" t="s">
        <v>141</v>
      </c>
      <c r="AA173" s="13" t="s">
        <v>34</v>
      </c>
      <c r="AB173" s="13" t="s">
        <v>34</v>
      </c>
      <c r="AC173" s="13" t="s">
        <v>138</v>
      </c>
      <c r="AD173" s="13" t="s">
        <v>32</v>
      </c>
      <c r="AE173" s="12">
        <v>0.70689999999999997</v>
      </c>
      <c r="AF173" s="21" t="s">
        <v>160</v>
      </c>
      <c r="AG173" s="21">
        <v>2018</v>
      </c>
      <c r="AH173" s="21" t="s">
        <v>161</v>
      </c>
      <c r="AI173" s="2">
        <v>30</v>
      </c>
      <c r="AJ173" s="2">
        <v>2</v>
      </c>
      <c r="AK173" s="2" t="s">
        <v>34</v>
      </c>
    </row>
    <row r="174" spans="1:37" x14ac:dyDescent="0.3">
      <c r="A174" s="11">
        <v>14.0004847375931</v>
      </c>
      <c r="B174" s="11">
        <v>3194.88297439091</v>
      </c>
      <c r="C174" s="13" t="s">
        <v>33</v>
      </c>
      <c r="D174" s="13" t="s">
        <v>35</v>
      </c>
      <c r="E174" s="10" t="s">
        <v>170</v>
      </c>
      <c r="F174" s="13" t="s">
        <v>34</v>
      </c>
      <c r="G174" s="13" t="s">
        <v>34</v>
      </c>
      <c r="H174" s="13" t="s">
        <v>34</v>
      </c>
      <c r="I174" s="13" t="s">
        <v>34</v>
      </c>
      <c r="J174" s="13" t="s">
        <v>34</v>
      </c>
      <c r="K174" s="13" t="s">
        <v>34</v>
      </c>
      <c r="L174" s="13" t="s">
        <v>34</v>
      </c>
      <c r="M174" s="13" t="s">
        <v>34</v>
      </c>
      <c r="N174" s="13">
        <v>1483</v>
      </c>
      <c r="O174" s="13" t="s">
        <v>43</v>
      </c>
      <c r="P174" s="13" t="s">
        <v>43</v>
      </c>
      <c r="Q174" s="13" t="s">
        <v>34</v>
      </c>
      <c r="R174" s="13">
        <v>2.665</v>
      </c>
      <c r="S174" s="13" t="s">
        <v>34</v>
      </c>
      <c r="T174" s="13" t="s">
        <v>36</v>
      </c>
      <c r="U174" s="13" t="s">
        <v>37</v>
      </c>
      <c r="V174" s="13" t="s">
        <v>38</v>
      </c>
      <c r="W174" s="13" t="s">
        <v>34</v>
      </c>
      <c r="X174" s="13">
        <v>0.5</v>
      </c>
      <c r="Y174" s="13">
        <v>1</v>
      </c>
      <c r="Z174" s="13" t="s">
        <v>141</v>
      </c>
      <c r="AA174" s="13" t="s">
        <v>34</v>
      </c>
      <c r="AB174" s="13" t="s">
        <v>34</v>
      </c>
      <c r="AC174" s="13" t="s">
        <v>142</v>
      </c>
      <c r="AD174" s="13" t="s">
        <v>32</v>
      </c>
      <c r="AE174" s="12">
        <v>0.70689999999999997</v>
      </c>
      <c r="AF174" s="21" t="s">
        <v>160</v>
      </c>
      <c r="AG174" s="21">
        <v>2018</v>
      </c>
      <c r="AH174" s="21" t="s">
        <v>161</v>
      </c>
      <c r="AI174" s="2">
        <v>30</v>
      </c>
      <c r="AJ174" s="2">
        <v>2</v>
      </c>
      <c r="AK174" s="2" t="s">
        <v>34</v>
      </c>
    </row>
    <row r="175" spans="1:37" x14ac:dyDescent="0.3">
      <c r="A175" s="11">
        <v>15.4788558827344</v>
      </c>
      <c r="B175" s="11">
        <v>1972.99954483386</v>
      </c>
      <c r="C175" s="13" t="s">
        <v>33</v>
      </c>
      <c r="D175" s="13" t="s">
        <v>35</v>
      </c>
      <c r="E175" s="10" t="s">
        <v>170</v>
      </c>
      <c r="F175" s="13" t="s">
        <v>34</v>
      </c>
      <c r="G175" s="13" t="s">
        <v>34</v>
      </c>
      <c r="H175" s="13" t="s">
        <v>34</v>
      </c>
      <c r="I175" s="13" t="s">
        <v>34</v>
      </c>
      <c r="J175" s="13" t="s">
        <v>34</v>
      </c>
      <c r="K175" s="13" t="s">
        <v>34</v>
      </c>
      <c r="L175" s="13" t="s">
        <v>34</v>
      </c>
      <c r="M175" s="13" t="s">
        <v>34</v>
      </c>
      <c r="N175" s="13">
        <v>1483</v>
      </c>
      <c r="O175" s="13" t="s">
        <v>43</v>
      </c>
      <c r="P175" s="13" t="s">
        <v>43</v>
      </c>
      <c r="Q175" s="13" t="s">
        <v>34</v>
      </c>
      <c r="R175" s="13">
        <v>2.665</v>
      </c>
      <c r="S175" s="13" t="s">
        <v>34</v>
      </c>
      <c r="T175" s="13" t="s">
        <v>36</v>
      </c>
      <c r="U175" s="13" t="s">
        <v>37</v>
      </c>
      <c r="V175" s="13" t="s">
        <v>38</v>
      </c>
      <c r="W175" s="13" t="s">
        <v>34</v>
      </c>
      <c r="X175" s="13">
        <v>0.5</v>
      </c>
      <c r="Y175" s="13">
        <v>1</v>
      </c>
      <c r="Z175" s="13" t="s">
        <v>141</v>
      </c>
      <c r="AA175" s="13" t="s">
        <v>34</v>
      </c>
      <c r="AB175" s="13" t="s">
        <v>34</v>
      </c>
      <c r="AC175" s="13" t="s">
        <v>143</v>
      </c>
      <c r="AD175" s="13" t="s">
        <v>32</v>
      </c>
      <c r="AE175" s="12">
        <v>0.70689999999999997</v>
      </c>
      <c r="AF175" s="21" t="s">
        <v>160</v>
      </c>
      <c r="AG175" s="21">
        <v>2018</v>
      </c>
      <c r="AH175" s="21" t="s">
        <v>161</v>
      </c>
      <c r="AI175" s="2">
        <v>30</v>
      </c>
      <c r="AJ175" s="2">
        <v>2</v>
      </c>
      <c r="AK175" s="2" t="s">
        <v>34</v>
      </c>
    </row>
    <row r="176" spans="1:37" x14ac:dyDescent="0.3">
      <c r="A176" s="11">
        <v>16.015501362044301</v>
      </c>
      <c r="B176" s="11">
        <v>3494.4879380974003</v>
      </c>
      <c r="C176" s="13" t="s">
        <v>33</v>
      </c>
      <c r="D176" s="13" t="s">
        <v>35</v>
      </c>
      <c r="E176" s="10" t="s">
        <v>170</v>
      </c>
      <c r="F176" s="13" t="s">
        <v>34</v>
      </c>
      <c r="G176" s="13" t="s">
        <v>34</v>
      </c>
      <c r="H176" s="13" t="s">
        <v>34</v>
      </c>
      <c r="I176" s="13" t="s">
        <v>34</v>
      </c>
      <c r="J176" s="13" t="s">
        <v>34</v>
      </c>
      <c r="K176" s="13" t="s">
        <v>34</v>
      </c>
      <c r="L176" s="13" t="s">
        <v>34</v>
      </c>
      <c r="M176" s="13" t="s">
        <v>34</v>
      </c>
      <c r="N176" s="13">
        <v>1483</v>
      </c>
      <c r="O176" s="13" t="s">
        <v>43</v>
      </c>
      <c r="P176" s="13" t="s">
        <v>43</v>
      </c>
      <c r="Q176" s="13" t="s">
        <v>34</v>
      </c>
      <c r="R176" s="13">
        <v>2.665</v>
      </c>
      <c r="S176" s="13" t="s">
        <v>34</v>
      </c>
      <c r="T176" s="13" t="s">
        <v>36</v>
      </c>
      <c r="U176" s="13" t="s">
        <v>37</v>
      </c>
      <c r="V176" s="13" t="s">
        <v>38</v>
      </c>
      <c r="W176" s="13" t="s">
        <v>34</v>
      </c>
      <c r="X176" s="13">
        <v>0.5</v>
      </c>
      <c r="Y176" s="13">
        <v>1</v>
      </c>
      <c r="Z176" s="13" t="s">
        <v>141</v>
      </c>
      <c r="AA176" s="13" t="s">
        <v>34</v>
      </c>
      <c r="AB176" s="13" t="s">
        <v>34</v>
      </c>
      <c r="AC176" s="13" t="s">
        <v>144</v>
      </c>
      <c r="AD176" s="13" t="s">
        <v>32</v>
      </c>
      <c r="AE176" s="12">
        <v>0.70689999999999997</v>
      </c>
      <c r="AF176" s="21" t="s">
        <v>160</v>
      </c>
      <c r="AG176" s="21">
        <v>2018</v>
      </c>
      <c r="AH176" s="21" t="s">
        <v>161</v>
      </c>
      <c r="AI176" s="2">
        <v>30</v>
      </c>
      <c r="AJ176" s="2">
        <v>2</v>
      </c>
      <c r="AK176" s="2" t="s">
        <v>34</v>
      </c>
    </row>
    <row r="177" spans="1:37" x14ac:dyDescent="0.3">
      <c r="A177" s="11">
        <v>16.290050590219199</v>
      </c>
      <c r="B177" s="11">
        <v>1872.1893491124199</v>
      </c>
      <c r="C177" s="13" t="s">
        <v>33</v>
      </c>
      <c r="D177" s="13" t="s">
        <v>35</v>
      </c>
      <c r="E177" s="10" t="s">
        <v>170</v>
      </c>
      <c r="F177" s="13" t="s">
        <v>34</v>
      </c>
      <c r="G177" s="13" t="s">
        <v>34</v>
      </c>
      <c r="H177" s="13" t="s">
        <v>34</v>
      </c>
      <c r="I177" s="13" t="s">
        <v>34</v>
      </c>
      <c r="J177" s="13" t="s">
        <v>34</v>
      </c>
      <c r="K177" s="13" t="s">
        <v>34</v>
      </c>
      <c r="L177" s="13" t="s">
        <v>34</v>
      </c>
      <c r="M177" s="13" t="s">
        <v>34</v>
      </c>
      <c r="N177" s="13">
        <v>1483</v>
      </c>
      <c r="O177" s="13" t="s">
        <v>43</v>
      </c>
      <c r="P177" s="13" t="s">
        <v>43</v>
      </c>
      <c r="Q177" s="13" t="s">
        <v>34</v>
      </c>
      <c r="R177" s="13">
        <v>2.665</v>
      </c>
      <c r="S177" s="13" t="s">
        <v>34</v>
      </c>
      <c r="T177" s="13" t="s">
        <v>36</v>
      </c>
      <c r="U177" s="13" t="s">
        <v>37</v>
      </c>
      <c r="V177" s="13" t="s">
        <v>38</v>
      </c>
      <c r="W177" s="13" t="s">
        <v>34</v>
      </c>
      <c r="X177" s="13">
        <v>0.5</v>
      </c>
      <c r="Y177" s="13">
        <v>1</v>
      </c>
      <c r="Z177" s="13" t="s">
        <v>141</v>
      </c>
      <c r="AA177" s="13" t="s">
        <v>34</v>
      </c>
      <c r="AB177" s="13" t="s">
        <v>34</v>
      </c>
      <c r="AC177" s="13" t="s">
        <v>145</v>
      </c>
      <c r="AD177" s="13" t="s">
        <v>32</v>
      </c>
      <c r="AE177" s="12">
        <v>0.70689999999999997</v>
      </c>
      <c r="AF177" s="21" t="s">
        <v>160</v>
      </c>
      <c r="AG177" s="21">
        <v>2018</v>
      </c>
      <c r="AH177" s="21" t="s">
        <v>161</v>
      </c>
      <c r="AI177" s="2">
        <v>30</v>
      </c>
      <c r="AJ177" s="2">
        <v>2</v>
      </c>
      <c r="AK177" s="2" t="s">
        <v>34</v>
      </c>
    </row>
    <row r="178" spans="1:37" x14ac:dyDescent="0.3">
      <c r="A178" s="11">
        <v>17.011528732650099</v>
      </c>
      <c r="B178" s="11">
        <v>2571.5322030040898</v>
      </c>
      <c r="C178" s="13" t="s">
        <v>33</v>
      </c>
      <c r="D178" s="13" t="s">
        <v>35</v>
      </c>
      <c r="E178" s="10" t="s">
        <v>170</v>
      </c>
      <c r="F178" s="13" t="s">
        <v>34</v>
      </c>
      <c r="G178" s="13" t="s">
        <v>34</v>
      </c>
      <c r="H178" s="13" t="s">
        <v>34</v>
      </c>
      <c r="I178" s="13" t="s">
        <v>34</v>
      </c>
      <c r="J178" s="13" t="s">
        <v>34</v>
      </c>
      <c r="K178" s="13" t="s">
        <v>34</v>
      </c>
      <c r="L178" s="13" t="s">
        <v>34</v>
      </c>
      <c r="M178" s="13" t="s">
        <v>34</v>
      </c>
      <c r="N178" s="13">
        <v>1483</v>
      </c>
      <c r="O178" s="13" t="s">
        <v>43</v>
      </c>
      <c r="P178" s="13" t="s">
        <v>43</v>
      </c>
      <c r="Q178" s="13" t="s">
        <v>34</v>
      </c>
      <c r="R178" s="13">
        <v>2.665</v>
      </c>
      <c r="S178" s="13" t="s">
        <v>34</v>
      </c>
      <c r="T178" s="13" t="s">
        <v>36</v>
      </c>
      <c r="U178" s="13" t="s">
        <v>37</v>
      </c>
      <c r="V178" s="13" t="s">
        <v>38</v>
      </c>
      <c r="W178" s="13" t="s">
        <v>34</v>
      </c>
      <c r="X178" s="13">
        <v>0.5</v>
      </c>
      <c r="Y178" s="13">
        <v>1</v>
      </c>
      <c r="Z178" s="13" t="s">
        <v>141</v>
      </c>
      <c r="AA178" s="13" t="s">
        <v>34</v>
      </c>
      <c r="AB178" s="13" t="s">
        <v>34</v>
      </c>
      <c r="AC178" s="13" t="s">
        <v>146</v>
      </c>
      <c r="AD178" s="13" t="s">
        <v>32</v>
      </c>
      <c r="AE178" s="12">
        <v>0.70689999999999997</v>
      </c>
      <c r="AF178" s="21" t="s">
        <v>160</v>
      </c>
      <c r="AG178" s="21">
        <v>2018</v>
      </c>
      <c r="AH178" s="21" t="s">
        <v>161</v>
      </c>
      <c r="AI178" s="2">
        <v>30</v>
      </c>
      <c r="AJ178" s="2">
        <v>2</v>
      </c>
      <c r="AK178" s="2" t="s">
        <v>34</v>
      </c>
    </row>
    <row r="179" spans="1:37" x14ac:dyDescent="0.3">
      <c r="A179" s="11">
        <v>17.734271630561601</v>
      </c>
      <c r="B179" s="11">
        <v>1912.7412380518799</v>
      </c>
      <c r="C179" s="13" t="s">
        <v>33</v>
      </c>
      <c r="D179" s="13" t="s">
        <v>35</v>
      </c>
      <c r="E179" s="10" t="s">
        <v>170</v>
      </c>
      <c r="F179" s="13" t="s">
        <v>34</v>
      </c>
      <c r="G179" s="13" t="s">
        <v>34</v>
      </c>
      <c r="H179" s="13" t="s">
        <v>34</v>
      </c>
      <c r="I179" s="13" t="s">
        <v>34</v>
      </c>
      <c r="J179" s="13" t="s">
        <v>34</v>
      </c>
      <c r="K179" s="13" t="s">
        <v>34</v>
      </c>
      <c r="L179" s="13" t="s">
        <v>34</v>
      </c>
      <c r="M179" s="13" t="s">
        <v>34</v>
      </c>
      <c r="N179" s="13">
        <v>1483</v>
      </c>
      <c r="O179" s="13" t="s">
        <v>43</v>
      </c>
      <c r="P179" s="13" t="s">
        <v>43</v>
      </c>
      <c r="Q179" s="13" t="s">
        <v>34</v>
      </c>
      <c r="R179" s="13">
        <v>2.665</v>
      </c>
      <c r="S179" s="13" t="s">
        <v>34</v>
      </c>
      <c r="T179" s="13" t="s">
        <v>36</v>
      </c>
      <c r="U179" s="13" t="s">
        <v>37</v>
      </c>
      <c r="V179" s="13" t="s">
        <v>38</v>
      </c>
      <c r="W179" s="13" t="s">
        <v>34</v>
      </c>
      <c r="X179" s="13">
        <v>0.5</v>
      </c>
      <c r="Y179" s="13">
        <v>1</v>
      </c>
      <c r="Z179" s="13" t="s">
        <v>141</v>
      </c>
      <c r="AA179" s="13" t="s">
        <v>34</v>
      </c>
      <c r="AB179" s="13" t="s">
        <v>34</v>
      </c>
      <c r="AC179" s="13" t="s">
        <v>147</v>
      </c>
      <c r="AD179" s="13" t="s">
        <v>32</v>
      </c>
      <c r="AE179" s="12">
        <v>0.70689999999999997</v>
      </c>
      <c r="AF179" s="21" t="s">
        <v>160</v>
      </c>
      <c r="AG179" s="21">
        <v>2018</v>
      </c>
      <c r="AH179" s="21" t="s">
        <v>161</v>
      </c>
      <c r="AI179" s="2">
        <v>30</v>
      </c>
      <c r="AJ179" s="2">
        <v>2</v>
      </c>
      <c r="AK179" s="2" t="s">
        <v>34</v>
      </c>
    </row>
    <row r="180" spans="1:37" x14ac:dyDescent="0.3">
      <c r="A180" s="11">
        <v>18.9881956155143</v>
      </c>
      <c r="B180" s="11">
        <v>2071.00591715976</v>
      </c>
      <c r="C180" s="13" t="s">
        <v>33</v>
      </c>
      <c r="D180" s="13" t="s">
        <v>35</v>
      </c>
      <c r="E180" s="10" t="s">
        <v>170</v>
      </c>
      <c r="F180" s="13" t="s">
        <v>34</v>
      </c>
      <c r="G180" s="13" t="s">
        <v>34</v>
      </c>
      <c r="H180" s="13" t="s">
        <v>34</v>
      </c>
      <c r="I180" s="13" t="s">
        <v>34</v>
      </c>
      <c r="J180" s="13" t="s">
        <v>34</v>
      </c>
      <c r="K180" s="13" t="s">
        <v>34</v>
      </c>
      <c r="L180" s="13" t="s">
        <v>34</v>
      </c>
      <c r="M180" s="13" t="s">
        <v>34</v>
      </c>
      <c r="N180" s="13">
        <v>1483</v>
      </c>
      <c r="O180" s="13" t="s">
        <v>43</v>
      </c>
      <c r="P180" s="13" t="s">
        <v>43</v>
      </c>
      <c r="Q180" s="13" t="s">
        <v>34</v>
      </c>
      <c r="R180" s="13">
        <v>2.665</v>
      </c>
      <c r="S180" s="13" t="s">
        <v>34</v>
      </c>
      <c r="T180" s="13" t="s">
        <v>36</v>
      </c>
      <c r="U180" s="13" t="s">
        <v>37</v>
      </c>
      <c r="V180" s="13" t="s">
        <v>38</v>
      </c>
      <c r="W180" s="13" t="s">
        <v>34</v>
      </c>
      <c r="X180" s="13">
        <v>0.5</v>
      </c>
      <c r="Y180" s="13">
        <v>1</v>
      </c>
      <c r="Z180" s="13" t="s">
        <v>141</v>
      </c>
      <c r="AA180" s="13" t="s">
        <v>34</v>
      </c>
      <c r="AB180" s="13" t="s">
        <v>34</v>
      </c>
      <c r="AC180" s="13" t="s">
        <v>148</v>
      </c>
      <c r="AD180" s="13" t="s">
        <v>32</v>
      </c>
      <c r="AE180" s="12">
        <v>0.70689999999999997</v>
      </c>
      <c r="AF180" s="21" t="s">
        <v>160</v>
      </c>
      <c r="AG180" s="21">
        <v>2018</v>
      </c>
      <c r="AH180" s="21" t="s">
        <v>161</v>
      </c>
      <c r="AI180" s="2">
        <v>30</v>
      </c>
      <c r="AJ180" s="2">
        <v>2</v>
      </c>
      <c r="AK180" s="2" t="s">
        <v>34</v>
      </c>
    </row>
    <row r="181" spans="1:37" x14ac:dyDescent="0.3">
      <c r="A181" s="11">
        <v>19.034801623334499</v>
      </c>
      <c r="B181" s="11">
        <v>2410.9330905780498</v>
      </c>
      <c r="C181" s="13" t="s">
        <v>33</v>
      </c>
      <c r="D181" s="13" t="s">
        <v>35</v>
      </c>
      <c r="E181" s="10" t="s">
        <v>170</v>
      </c>
      <c r="F181" s="13" t="s">
        <v>34</v>
      </c>
      <c r="G181" s="13" t="s">
        <v>34</v>
      </c>
      <c r="H181" s="13" t="s">
        <v>34</v>
      </c>
      <c r="I181" s="13" t="s">
        <v>34</v>
      </c>
      <c r="J181" s="13" t="s">
        <v>34</v>
      </c>
      <c r="K181" s="13" t="s">
        <v>34</v>
      </c>
      <c r="L181" s="13" t="s">
        <v>34</v>
      </c>
      <c r="M181" s="13" t="s">
        <v>34</v>
      </c>
      <c r="N181" s="13">
        <v>1483</v>
      </c>
      <c r="O181" s="13" t="s">
        <v>43</v>
      </c>
      <c r="P181" s="13" t="s">
        <v>43</v>
      </c>
      <c r="Q181" s="13" t="s">
        <v>34</v>
      </c>
      <c r="R181" s="13">
        <v>2.665</v>
      </c>
      <c r="S181" s="13" t="s">
        <v>34</v>
      </c>
      <c r="T181" s="13" t="s">
        <v>36</v>
      </c>
      <c r="U181" s="13" t="s">
        <v>37</v>
      </c>
      <c r="V181" s="13" t="s">
        <v>38</v>
      </c>
      <c r="W181" s="13" t="s">
        <v>34</v>
      </c>
      <c r="X181" s="13">
        <v>0.5</v>
      </c>
      <c r="Y181" s="13">
        <v>1</v>
      </c>
      <c r="Z181" s="13" t="s">
        <v>141</v>
      </c>
      <c r="AA181" s="13" t="s">
        <v>34</v>
      </c>
      <c r="AB181" s="13" t="s">
        <v>34</v>
      </c>
      <c r="AC181" s="13" t="s">
        <v>149</v>
      </c>
      <c r="AD181" s="13" t="s">
        <v>32</v>
      </c>
      <c r="AE181" s="12">
        <v>0.70689999999999997</v>
      </c>
      <c r="AF181" s="21" t="s">
        <v>160</v>
      </c>
      <c r="AG181" s="21">
        <v>2018</v>
      </c>
      <c r="AH181" s="21" t="s">
        <v>161</v>
      </c>
      <c r="AI181" s="2">
        <v>30</v>
      </c>
      <c r="AJ181" s="2">
        <v>2</v>
      </c>
      <c r="AK181" s="2" t="s">
        <v>34</v>
      </c>
    </row>
    <row r="182" spans="1:37" x14ac:dyDescent="0.3">
      <c r="A182" s="11">
        <v>19.980542223375199</v>
      </c>
      <c r="B182" s="11">
        <v>2553.1679563040498</v>
      </c>
      <c r="C182" s="13" t="s">
        <v>33</v>
      </c>
      <c r="D182" s="13" t="s">
        <v>35</v>
      </c>
      <c r="E182" s="10" t="s">
        <v>170</v>
      </c>
      <c r="F182" s="13" t="s">
        <v>34</v>
      </c>
      <c r="G182" s="13" t="s">
        <v>34</v>
      </c>
      <c r="H182" s="13" t="s">
        <v>34</v>
      </c>
      <c r="I182" s="13" t="s">
        <v>34</v>
      </c>
      <c r="J182" s="13" t="s">
        <v>34</v>
      </c>
      <c r="K182" s="13" t="s">
        <v>34</v>
      </c>
      <c r="L182" s="13" t="s">
        <v>34</v>
      </c>
      <c r="M182" s="13" t="s">
        <v>34</v>
      </c>
      <c r="N182" s="13">
        <v>1483</v>
      </c>
      <c r="O182" s="13" t="s">
        <v>43</v>
      </c>
      <c r="P182" s="13" t="s">
        <v>43</v>
      </c>
      <c r="Q182" s="13" t="s">
        <v>34</v>
      </c>
      <c r="R182" s="13">
        <v>2.665</v>
      </c>
      <c r="S182" s="13" t="s">
        <v>34</v>
      </c>
      <c r="T182" s="13" t="s">
        <v>36</v>
      </c>
      <c r="U182" s="13" t="s">
        <v>37</v>
      </c>
      <c r="V182" s="13" t="s">
        <v>38</v>
      </c>
      <c r="W182" s="13" t="s">
        <v>34</v>
      </c>
      <c r="X182" s="13">
        <v>0.5</v>
      </c>
      <c r="Y182" s="13">
        <v>1</v>
      </c>
      <c r="Z182" s="13" t="s">
        <v>141</v>
      </c>
      <c r="AA182" s="13" t="s">
        <v>34</v>
      </c>
      <c r="AB182" s="13" t="s">
        <v>34</v>
      </c>
      <c r="AC182" s="13" t="s">
        <v>150</v>
      </c>
      <c r="AD182" s="13" t="s">
        <v>32</v>
      </c>
      <c r="AE182" s="12">
        <v>0.70689999999999997</v>
      </c>
      <c r="AF182" s="21" t="s">
        <v>160</v>
      </c>
      <c r="AG182" s="21">
        <v>2018</v>
      </c>
      <c r="AH182" s="21" t="s">
        <v>161</v>
      </c>
      <c r="AI182" s="2">
        <v>30</v>
      </c>
      <c r="AJ182" s="2">
        <v>2</v>
      </c>
      <c r="AK182" s="2" t="s">
        <v>34</v>
      </c>
    </row>
    <row r="183" spans="1:37" x14ac:dyDescent="0.3">
      <c r="A183" s="11">
        <v>19.999227866006901</v>
      </c>
      <c r="B183" s="11">
        <v>3548.59657108177</v>
      </c>
      <c r="C183" s="13" t="s">
        <v>33</v>
      </c>
      <c r="D183" s="13" t="s">
        <v>35</v>
      </c>
      <c r="E183" s="10" t="s">
        <v>170</v>
      </c>
      <c r="F183" s="13" t="s">
        <v>34</v>
      </c>
      <c r="G183" s="13" t="s">
        <v>34</v>
      </c>
      <c r="H183" s="13" t="s">
        <v>34</v>
      </c>
      <c r="I183" s="13" t="s">
        <v>34</v>
      </c>
      <c r="J183" s="13" t="s">
        <v>34</v>
      </c>
      <c r="K183" s="13" t="s">
        <v>34</v>
      </c>
      <c r="L183" s="13" t="s">
        <v>34</v>
      </c>
      <c r="M183" s="13" t="s">
        <v>34</v>
      </c>
      <c r="N183" s="13">
        <v>1483</v>
      </c>
      <c r="O183" s="13" t="s">
        <v>43</v>
      </c>
      <c r="P183" s="13" t="s">
        <v>43</v>
      </c>
      <c r="Q183" s="13" t="s">
        <v>34</v>
      </c>
      <c r="R183" s="13">
        <v>2.665</v>
      </c>
      <c r="S183" s="13" t="s">
        <v>34</v>
      </c>
      <c r="T183" s="13" t="s">
        <v>36</v>
      </c>
      <c r="U183" s="13" t="s">
        <v>37</v>
      </c>
      <c r="V183" s="13" t="s">
        <v>38</v>
      </c>
      <c r="W183" s="13" t="s">
        <v>34</v>
      </c>
      <c r="X183" s="13">
        <v>0.5</v>
      </c>
      <c r="Y183" s="13">
        <v>1</v>
      </c>
      <c r="Z183" s="13" t="s">
        <v>141</v>
      </c>
      <c r="AA183" s="13" t="s">
        <v>34</v>
      </c>
      <c r="AB183" s="13" t="s">
        <v>34</v>
      </c>
      <c r="AC183" s="13" t="s">
        <v>151</v>
      </c>
      <c r="AD183" s="13" t="s">
        <v>32</v>
      </c>
      <c r="AE183" s="12">
        <v>0.70689999999999997</v>
      </c>
      <c r="AF183" s="21" t="s">
        <v>160</v>
      </c>
      <c r="AG183" s="21">
        <v>2018</v>
      </c>
      <c r="AH183" s="21" t="s">
        <v>161</v>
      </c>
      <c r="AI183" s="2">
        <v>30</v>
      </c>
      <c r="AJ183" s="2">
        <v>2</v>
      </c>
      <c r="AK183" s="2" t="s">
        <v>34</v>
      </c>
    </row>
    <row r="184" spans="1:37" x14ac:dyDescent="0.3">
      <c r="A184" s="11">
        <v>21.0046698663899</v>
      </c>
      <c r="B184" s="11">
        <v>3809.22194176632</v>
      </c>
      <c r="C184" s="13" t="s">
        <v>33</v>
      </c>
      <c r="D184" s="13" t="s">
        <v>35</v>
      </c>
      <c r="E184" s="10" t="s">
        <v>170</v>
      </c>
      <c r="F184" s="13" t="s">
        <v>34</v>
      </c>
      <c r="G184" s="13" t="s">
        <v>34</v>
      </c>
      <c r="H184" s="13" t="s">
        <v>34</v>
      </c>
      <c r="I184" s="13" t="s">
        <v>34</v>
      </c>
      <c r="J184" s="13" t="s">
        <v>34</v>
      </c>
      <c r="K184" s="13" t="s">
        <v>34</v>
      </c>
      <c r="L184" s="13" t="s">
        <v>34</v>
      </c>
      <c r="M184" s="13" t="s">
        <v>34</v>
      </c>
      <c r="N184" s="13">
        <v>1483</v>
      </c>
      <c r="O184" s="13" t="s">
        <v>43</v>
      </c>
      <c r="P184" s="13" t="s">
        <v>43</v>
      </c>
      <c r="Q184" s="13" t="s">
        <v>34</v>
      </c>
      <c r="R184" s="13">
        <v>2.665</v>
      </c>
      <c r="S184" s="13" t="s">
        <v>34</v>
      </c>
      <c r="T184" s="13" t="s">
        <v>36</v>
      </c>
      <c r="U184" s="13" t="s">
        <v>37</v>
      </c>
      <c r="V184" s="13" t="s">
        <v>38</v>
      </c>
      <c r="W184" s="13" t="s">
        <v>34</v>
      </c>
      <c r="X184" s="13">
        <v>0.5</v>
      </c>
      <c r="Y184" s="13">
        <v>1</v>
      </c>
      <c r="Z184" s="13" t="s">
        <v>141</v>
      </c>
      <c r="AA184" s="13" t="s">
        <v>34</v>
      </c>
      <c r="AB184" s="13" t="s">
        <v>34</v>
      </c>
      <c r="AC184" s="13" t="s">
        <v>152</v>
      </c>
      <c r="AD184" s="13" t="s">
        <v>32</v>
      </c>
      <c r="AE184" s="12">
        <v>0.70689999999999997</v>
      </c>
      <c r="AF184" s="21" t="s">
        <v>160</v>
      </c>
      <c r="AG184" s="21">
        <v>2018</v>
      </c>
      <c r="AH184" s="21" t="s">
        <v>161</v>
      </c>
      <c r="AI184" s="2">
        <v>30</v>
      </c>
      <c r="AJ184" s="2">
        <v>2</v>
      </c>
      <c r="AK184" s="2" t="s">
        <v>34</v>
      </c>
    </row>
    <row r="185" spans="1:37" x14ac:dyDescent="0.3">
      <c r="A185" s="11">
        <v>21.6597483460889</v>
      </c>
      <c r="B185" s="11">
        <v>3569.49985274036</v>
      </c>
      <c r="C185" s="13" t="s">
        <v>33</v>
      </c>
      <c r="D185" s="13" t="s">
        <v>35</v>
      </c>
      <c r="E185" s="10" t="s">
        <v>170</v>
      </c>
      <c r="F185" s="13" t="s">
        <v>34</v>
      </c>
      <c r="G185" s="13" t="s">
        <v>34</v>
      </c>
      <c r="H185" s="13" t="s">
        <v>34</v>
      </c>
      <c r="I185" s="13" t="s">
        <v>34</v>
      </c>
      <c r="J185" s="13" t="s">
        <v>34</v>
      </c>
      <c r="K185" s="13" t="s">
        <v>34</v>
      </c>
      <c r="L185" s="13" t="s">
        <v>34</v>
      </c>
      <c r="M185" s="13" t="s">
        <v>34</v>
      </c>
      <c r="N185" s="13">
        <v>1483</v>
      </c>
      <c r="O185" s="13" t="s">
        <v>43</v>
      </c>
      <c r="P185" s="13" t="s">
        <v>43</v>
      </c>
      <c r="Q185" s="13" t="s">
        <v>34</v>
      </c>
      <c r="R185" s="13">
        <v>2.665</v>
      </c>
      <c r="S185" s="13" t="s">
        <v>34</v>
      </c>
      <c r="T185" s="13" t="s">
        <v>36</v>
      </c>
      <c r="U185" s="13" t="s">
        <v>37</v>
      </c>
      <c r="V185" s="13" t="s">
        <v>38</v>
      </c>
      <c r="W185" s="13" t="s">
        <v>34</v>
      </c>
      <c r="X185" s="13">
        <v>0.5</v>
      </c>
      <c r="Y185" s="13">
        <v>1</v>
      </c>
      <c r="Z185" s="13" t="s">
        <v>141</v>
      </c>
      <c r="AA185" s="13" t="s">
        <v>34</v>
      </c>
      <c r="AB185" s="13" t="s">
        <v>34</v>
      </c>
      <c r="AC185" s="13" t="s">
        <v>153</v>
      </c>
      <c r="AD185" s="13" t="s">
        <v>32</v>
      </c>
      <c r="AE185" s="12">
        <v>0.70689999999999997</v>
      </c>
      <c r="AF185" s="21" t="s">
        <v>160</v>
      </c>
      <c r="AG185" s="21">
        <v>2018</v>
      </c>
      <c r="AH185" s="21" t="s">
        <v>161</v>
      </c>
      <c r="AI185" s="2">
        <v>30</v>
      </c>
      <c r="AJ185" s="2">
        <v>2</v>
      </c>
      <c r="AK185" s="2" t="s">
        <v>34</v>
      </c>
    </row>
    <row r="186" spans="1:37" x14ac:dyDescent="0.3">
      <c r="A186" s="11">
        <v>23.990595407964701</v>
      </c>
      <c r="B186" s="11">
        <v>3546.10377787892</v>
      </c>
      <c r="C186" s="13" t="s">
        <v>33</v>
      </c>
      <c r="D186" s="13" t="s">
        <v>35</v>
      </c>
      <c r="E186" s="10" t="s">
        <v>170</v>
      </c>
      <c r="F186" s="13" t="s">
        <v>34</v>
      </c>
      <c r="G186" s="13" t="s">
        <v>34</v>
      </c>
      <c r="H186" s="13" t="s">
        <v>34</v>
      </c>
      <c r="I186" s="13" t="s">
        <v>34</v>
      </c>
      <c r="J186" s="13" t="s">
        <v>34</v>
      </c>
      <c r="K186" s="13" t="s">
        <v>34</v>
      </c>
      <c r="L186" s="13" t="s">
        <v>34</v>
      </c>
      <c r="M186" s="13" t="s">
        <v>34</v>
      </c>
      <c r="N186" s="13">
        <v>1483</v>
      </c>
      <c r="O186" s="13" t="s">
        <v>43</v>
      </c>
      <c r="P186" s="13" t="s">
        <v>43</v>
      </c>
      <c r="Q186" s="13" t="s">
        <v>34</v>
      </c>
      <c r="R186" s="13">
        <v>2.665</v>
      </c>
      <c r="S186" s="13" t="s">
        <v>34</v>
      </c>
      <c r="T186" s="13" t="s">
        <v>36</v>
      </c>
      <c r="U186" s="13" t="s">
        <v>37</v>
      </c>
      <c r="V186" s="13" t="s">
        <v>38</v>
      </c>
      <c r="W186" s="13" t="s">
        <v>34</v>
      </c>
      <c r="X186" s="13">
        <v>0.5</v>
      </c>
      <c r="Y186" s="13">
        <v>1</v>
      </c>
      <c r="Z186" s="13" t="s">
        <v>141</v>
      </c>
      <c r="AA186" s="13" t="s">
        <v>34</v>
      </c>
      <c r="AB186" s="13" t="s">
        <v>34</v>
      </c>
      <c r="AC186" s="13" t="s">
        <v>154</v>
      </c>
      <c r="AD186" s="13" t="s">
        <v>32</v>
      </c>
      <c r="AE186" s="12">
        <v>0.70689999999999997</v>
      </c>
      <c r="AF186" s="21" t="s">
        <v>160</v>
      </c>
      <c r="AG186" s="21">
        <v>2018</v>
      </c>
      <c r="AH186" s="21" t="s">
        <v>161</v>
      </c>
      <c r="AI186" s="2">
        <v>30</v>
      </c>
      <c r="AJ186" s="2">
        <v>2</v>
      </c>
      <c r="AK186" s="2" t="s">
        <v>34</v>
      </c>
    </row>
    <row r="187" spans="1:37" x14ac:dyDescent="0.3">
      <c r="A187" s="11">
        <v>25.9968526192898</v>
      </c>
      <c r="B187" s="11">
        <v>4403.6125817502298</v>
      </c>
      <c r="C187" s="13" t="s">
        <v>33</v>
      </c>
      <c r="D187" s="13" t="s">
        <v>35</v>
      </c>
      <c r="E187" s="10" t="s">
        <v>170</v>
      </c>
      <c r="F187" s="13" t="s">
        <v>34</v>
      </c>
      <c r="G187" s="13" t="s">
        <v>34</v>
      </c>
      <c r="H187" s="13" t="s">
        <v>34</v>
      </c>
      <c r="I187" s="13" t="s">
        <v>34</v>
      </c>
      <c r="J187" s="13" t="s">
        <v>34</v>
      </c>
      <c r="K187" s="13" t="s">
        <v>34</v>
      </c>
      <c r="L187" s="13" t="s">
        <v>34</v>
      </c>
      <c r="M187" s="13" t="s">
        <v>34</v>
      </c>
      <c r="N187" s="13">
        <v>1483</v>
      </c>
      <c r="O187" s="13" t="s">
        <v>43</v>
      </c>
      <c r="P187" s="13" t="s">
        <v>43</v>
      </c>
      <c r="Q187" s="13" t="s">
        <v>34</v>
      </c>
      <c r="R187" s="13">
        <v>2.665</v>
      </c>
      <c r="S187" s="13" t="s">
        <v>34</v>
      </c>
      <c r="T187" s="13" t="s">
        <v>36</v>
      </c>
      <c r="U187" s="13" t="s">
        <v>37</v>
      </c>
      <c r="V187" s="13" t="s">
        <v>38</v>
      </c>
      <c r="W187" s="13" t="s">
        <v>34</v>
      </c>
      <c r="X187" s="13">
        <v>0.5</v>
      </c>
      <c r="Y187" s="13">
        <v>1</v>
      </c>
      <c r="Z187" s="13" t="s">
        <v>141</v>
      </c>
      <c r="AA187" s="13" t="s">
        <v>34</v>
      </c>
      <c r="AB187" s="13" t="s">
        <v>34</v>
      </c>
      <c r="AC187" s="13" t="s">
        <v>155</v>
      </c>
      <c r="AD187" s="13" t="s">
        <v>32</v>
      </c>
      <c r="AE187" s="12">
        <v>0.70689999999999997</v>
      </c>
      <c r="AF187" s="21" t="s">
        <v>160</v>
      </c>
      <c r="AG187" s="21">
        <v>2018</v>
      </c>
      <c r="AH187" s="21" t="s">
        <v>161</v>
      </c>
      <c r="AI187" s="2">
        <v>30</v>
      </c>
      <c r="AJ187" s="2">
        <v>2</v>
      </c>
      <c r="AK187" s="2" t="s">
        <v>34</v>
      </c>
    </row>
    <row r="188" spans="1:37" x14ac:dyDescent="0.3">
      <c r="A188" s="11">
        <v>26.948177454922799</v>
      </c>
      <c r="B188" s="11">
        <v>6716.98907601274</v>
      </c>
      <c r="C188" s="13" t="s">
        <v>33</v>
      </c>
      <c r="D188" s="13" t="s">
        <v>35</v>
      </c>
      <c r="E188" s="10" t="s">
        <v>170</v>
      </c>
      <c r="F188" s="13" t="s">
        <v>34</v>
      </c>
      <c r="G188" s="13" t="s">
        <v>34</v>
      </c>
      <c r="H188" s="13" t="s">
        <v>34</v>
      </c>
      <c r="I188" s="13" t="s">
        <v>34</v>
      </c>
      <c r="J188" s="13" t="s">
        <v>34</v>
      </c>
      <c r="K188" s="13" t="s">
        <v>34</v>
      </c>
      <c r="L188" s="13" t="s">
        <v>34</v>
      </c>
      <c r="M188" s="13" t="s">
        <v>34</v>
      </c>
      <c r="N188" s="13">
        <v>1483</v>
      </c>
      <c r="O188" s="13" t="s">
        <v>43</v>
      </c>
      <c r="P188" s="13" t="s">
        <v>43</v>
      </c>
      <c r="Q188" s="13" t="s">
        <v>34</v>
      </c>
      <c r="R188" s="13">
        <v>2.665</v>
      </c>
      <c r="S188" s="13" t="s">
        <v>34</v>
      </c>
      <c r="T188" s="13" t="s">
        <v>36</v>
      </c>
      <c r="U188" s="13" t="s">
        <v>37</v>
      </c>
      <c r="V188" s="13" t="s">
        <v>38</v>
      </c>
      <c r="W188" s="13" t="s">
        <v>34</v>
      </c>
      <c r="X188" s="13">
        <v>0.5</v>
      </c>
      <c r="Y188" s="13">
        <v>1</v>
      </c>
      <c r="Z188" s="13" t="s">
        <v>141</v>
      </c>
      <c r="AA188" s="13" t="s">
        <v>34</v>
      </c>
      <c r="AB188" s="13" t="s">
        <v>34</v>
      </c>
      <c r="AC188" s="13" t="s">
        <v>156</v>
      </c>
      <c r="AD188" s="13" t="s">
        <v>32</v>
      </c>
      <c r="AE188" s="12">
        <v>0.70689999999999997</v>
      </c>
      <c r="AF188" s="21" t="s">
        <v>160</v>
      </c>
      <c r="AG188" s="21">
        <v>2018</v>
      </c>
      <c r="AH188" s="21" t="s">
        <v>161</v>
      </c>
      <c r="AI188" s="2">
        <v>30</v>
      </c>
      <c r="AJ188" s="2">
        <v>2</v>
      </c>
      <c r="AK188" s="2" t="s">
        <v>34</v>
      </c>
    </row>
    <row r="189" spans="1:37" x14ac:dyDescent="0.3">
      <c r="A189" s="11">
        <v>27.978481140369801</v>
      </c>
      <c r="B189" s="11">
        <v>5685.7785869620093</v>
      </c>
      <c r="C189" s="13" t="s">
        <v>33</v>
      </c>
      <c r="D189" s="13" t="s">
        <v>35</v>
      </c>
      <c r="E189" s="10" t="s">
        <v>170</v>
      </c>
      <c r="F189" s="13" t="s">
        <v>34</v>
      </c>
      <c r="G189" s="13" t="s">
        <v>34</v>
      </c>
      <c r="H189" s="13" t="s">
        <v>34</v>
      </c>
      <c r="I189" s="13" t="s">
        <v>34</v>
      </c>
      <c r="J189" s="13" t="s">
        <v>34</v>
      </c>
      <c r="K189" s="13" t="s">
        <v>34</v>
      </c>
      <c r="L189" s="13" t="s">
        <v>34</v>
      </c>
      <c r="M189" s="13" t="s">
        <v>34</v>
      </c>
      <c r="N189" s="13">
        <v>1483</v>
      </c>
      <c r="O189" s="13" t="s">
        <v>43</v>
      </c>
      <c r="P189" s="13" t="s">
        <v>43</v>
      </c>
      <c r="Q189" s="13" t="s">
        <v>34</v>
      </c>
      <c r="R189" s="13">
        <v>2.665</v>
      </c>
      <c r="S189" s="13" t="s">
        <v>34</v>
      </c>
      <c r="T189" s="13" t="s">
        <v>36</v>
      </c>
      <c r="U189" s="13" t="s">
        <v>37</v>
      </c>
      <c r="V189" s="13" t="s">
        <v>38</v>
      </c>
      <c r="W189" s="13" t="s">
        <v>34</v>
      </c>
      <c r="X189" s="13">
        <v>0.5</v>
      </c>
      <c r="Y189" s="13">
        <v>1</v>
      </c>
      <c r="Z189" s="13" t="s">
        <v>141</v>
      </c>
      <c r="AA189" s="13" t="s">
        <v>34</v>
      </c>
      <c r="AB189" s="13" t="s">
        <v>34</v>
      </c>
      <c r="AC189" s="13" t="s">
        <v>157</v>
      </c>
      <c r="AD189" s="13" t="s">
        <v>32</v>
      </c>
      <c r="AE189" s="12">
        <v>0.70689999999999997</v>
      </c>
      <c r="AF189" s="21" t="s">
        <v>160</v>
      </c>
      <c r="AG189" s="21">
        <v>2018</v>
      </c>
      <c r="AH189" s="21" t="s">
        <v>161</v>
      </c>
      <c r="AI189" s="2">
        <v>30</v>
      </c>
      <c r="AJ189" s="2">
        <v>2</v>
      </c>
      <c r="AK189" s="2" t="s">
        <v>34</v>
      </c>
    </row>
    <row r="190" spans="1:37" x14ac:dyDescent="0.3">
      <c r="A190" s="11">
        <v>27.9906261307699</v>
      </c>
      <c r="B190" s="11">
        <v>10008.7775195841</v>
      </c>
      <c r="C190" s="13" t="s">
        <v>33</v>
      </c>
      <c r="D190" s="13" t="s">
        <v>35</v>
      </c>
      <c r="E190" s="10" t="s">
        <v>170</v>
      </c>
      <c r="F190" s="13" t="s">
        <v>34</v>
      </c>
      <c r="G190" s="13" t="s">
        <v>34</v>
      </c>
      <c r="H190" s="13" t="s">
        <v>34</v>
      </c>
      <c r="I190" s="13" t="s">
        <v>34</v>
      </c>
      <c r="J190" s="13" t="s">
        <v>34</v>
      </c>
      <c r="K190" s="13" t="s">
        <v>34</v>
      </c>
      <c r="L190" s="13" t="s">
        <v>34</v>
      </c>
      <c r="M190" s="13" t="s">
        <v>34</v>
      </c>
      <c r="N190" s="13">
        <v>1483</v>
      </c>
      <c r="O190" s="13" t="s">
        <v>43</v>
      </c>
      <c r="P190" s="13" t="s">
        <v>43</v>
      </c>
      <c r="Q190" s="13" t="s">
        <v>34</v>
      </c>
      <c r="R190" s="13">
        <v>2.665</v>
      </c>
      <c r="S190" s="13" t="s">
        <v>34</v>
      </c>
      <c r="T190" s="13" t="s">
        <v>36</v>
      </c>
      <c r="U190" s="13" t="s">
        <v>37</v>
      </c>
      <c r="V190" s="13" t="s">
        <v>38</v>
      </c>
      <c r="W190" s="13" t="s">
        <v>34</v>
      </c>
      <c r="X190" s="13">
        <v>0.5</v>
      </c>
      <c r="Y190" s="13">
        <v>1</v>
      </c>
      <c r="Z190" s="13" t="s">
        <v>141</v>
      </c>
      <c r="AA190" s="13" t="s">
        <v>34</v>
      </c>
      <c r="AB190" s="13" t="s">
        <v>34</v>
      </c>
      <c r="AC190" s="13" t="s">
        <v>158</v>
      </c>
      <c r="AD190" s="13" t="s">
        <v>32</v>
      </c>
      <c r="AE190" s="12">
        <v>0.70689999999999997</v>
      </c>
      <c r="AF190" s="21" t="s">
        <v>160</v>
      </c>
      <c r="AG190" s="21">
        <v>2018</v>
      </c>
      <c r="AH190" s="21" t="s">
        <v>161</v>
      </c>
      <c r="AI190" s="2">
        <v>30</v>
      </c>
      <c r="AJ190" s="2">
        <v>2</v>
      </c>
      <c r="AK190" s="2" t="s">
        <v>34</v>
      </c>
    </row>
    <row r="191" spans="1:37" s="15" customFormat="1" ht="16.2" thickBot="1" x14ac:dyDescent="0.35">
      <c r="A191" s="17">
        <v>31.956587538375</v>
      </c>
      <c r="B191" s="17">
        <v>6704.6426945835201</v>
      </c>
      <c r="C191" s="18" t="s">
        <v>33</v>
      </c>
      <c r="D191" s="18" t="s">
        <v>35</v>
      </c>
      <c r="E191" s="10" t="s">
        <v>170</v>
      </c>
      <c r="F191" s="18" t="s">
        <v>34</v>
      </c>
      <c r="G191" s="18" t="s">
        <v>34</v>
      </c>
      <c r="H191" s="18" t="s">
        <v>34</v>
      </c>
      <c r="I191" s="18" t="s">
        <v>34</v>
      </c>
      <c r="J191" s="18" t="s">
        <v>34</v>
      </c>
      <c r="K191" s="18" t="s">
        <v>34</v>
      </c>
      <c r="L191" s="18" t="s">
        <v>34</v>
      </c>
      <c r="M191" s="18" t="s">
        <v>34</v>
      </c>
      <c r="N191" s="18">
        <v>1483</v>
      </c>
      <c r="O191" s="18" t="s">
        <v>43</v>
      </c>
      <c r="P191" s="18" t="s">
        <v>43</v>
      </c>
      <c r="Q191" s="18" t="s">
        <v>34</v>
      </c>
      <c r="R191" s="18">
        <v>2.665</v>
      </c>
      <c r="S191" s="18" t="s">
        <v>34</v>
      </c>
      <c r="T191" s="18" t="s">
        <v>36</v>
      </c>
      <c r="U191" s="18" t="s">
        <v>37</v>
      </c>
      <c r="V191" s="18" t="s">
        <v>38</v>
      </c>
      <c r="W191" s="18" t="s">
        <v>34</v>
      </c>
      <c r="X191" s="18">
        <v>0.5</v>
      </c>
      <c r="Y191" s="18">
        <v>1</v>
      </c>
      <c r="Z191" s="18" t="s">
        <v>141</v>
      </c>
      <c r="AA191" s="18" t="s">
        <v>34</v>
      </c>
      <c r="AB191" s="18" t="s">
        <v>34</v>
      </c>
      <c r="AC191" s="18" t="s">
        <v>159</v>
      </c>
      <c r="AD191" s="18" t="s">
        <v>32</v>
      </c>
      <c r="AE191" s="19">
        <v>0.70689999999999997</v>
      </c>
      <c r="AF191" s="23" t="s">
        <v>160</v>
      </c>
      <c r="AG191" s="23">
        <v>2018</v>
      </c>
      <c r="AH191" s="23" t="s">
        <v>161</v>
      </c>
      <c r="AI191" s="34">
        <v>30</v>
      </c>
      <c r="AJ191" s="34">
        <v>2</v>
      </c>
      <c r="AK191" s="34" t="s">
        <v>34</v>
      </c>
    </row>
    <row r="192" spans="1:37" x14ac:dyDescent="0.3">
      <c r="A192" s="12">
        <v>8.1999999999999993</v>
      </c>
      <c r="B192" s="12">
        <v>230</v>
      </c>
      <c r="C192" s="13" t="s">
        <v>33</v>
      </c>
      <c r="D192" s="13" t="s">
        <v>35</v>
      </c>
      <c r="E192" s="10" t="s">
        <v>170</v>
      </c>
      <c r="F192" s="13" t="s">
        <v>34</v>
      </c>
      <c r="G192" s="20">
        <v>0.73</v>
      </c>
      <c r="H192" s="13" t="s">
        <v>34</v>
      </c>
      <c r="I192" s="13" t="s">
        <v>34</v>
      </c>
      <c r="J192" s="13" t="s">
        <v>34</v>
      </c>
      <c r="K192" s="13" t="s">
        <v>34</v>
      </c>
      <c r="L192" s="13" t="s">
        <v>34</v>
      </c>
      <c r="M192" s="13" t="s">
        <v>34</v>
      </c>
      <c r="N192" s="24">
        <f>1650/1.07</f>
        <v>1542.0560747663551</v>
      </c>
      <c r="O192" s="13" t="s">
        <v>34</v>
      </c>
      <c r="P192" s="13" t="s">
        <v>34</v>
      </c>
      <c r="Q192" s="13" t="s">
        <v>34</v>
      </c>
      <c r="R192" s="13" t="s">
        <v>34</v>
      </c>
      <c r="S192" s="13" t="s">
        <v>34</v>
      </c>
      <c r="T192" s="13" t="s">
        <v>36</v>
      </c>
      <c r="U192" s="20" t="s">
        <v>37</v>
      </c>
      <c r="V192" s="20" t="s">
        <v>162</v>
      </c>
      <c r="W192" s="13">
        <v>15</v>
      </c>
      <c r="X192" s="20">
        <v>0.5</v>
      </c>
      <c r="Y192" s="20">
        <v>1</v>
      </c>
      <c r="Z192" s="20" t="s">
        <v>163</v>
      </c>
      <c r="AA192" s="20">
        <f>3.7*10^-3*60</f>
        <v>0.222</v>
      </c>
      <c r="AB192" s="13" t="s">
        <v>34</v>
      </c>
      <c r="AC192" s="13" t="s">
        <v>40</v>
      </c>
      <c r="AD192" s="13" t="s">
        <v>32</v>
      </c>
      <c r="AE192" s="20">
        <v>0.86199999999999999</v>
      </c>
      <c r="AF192" s="21" t="s">
        <v>164</v>
      </c>
      <c r="AG192" s="13">
        <v>2016</v>
      </c>
      <c r="AH192" s="21" t="s">
        <v>165</v>
      </c>
      <c r="AI192" s="2">
        <v>50</v>
      </c>
      <c r="AJ192" s="2">
        <v>2</v>
      </c>
      <c r="AK192" s="2">
        <v>1</v>
      </c>
    </row>
    <row r="193" spans="1:37" x14ac:dyDescent="0.3">
      <c r="A193" s="11">
        <v>11.3</v>
      </c>
      <c r="B193" s="11">
        <v>739</v>
      </c>
      <c r="C193" s="13" t="s">
        <v>33</v>
      </c>
      <c r="D193" s="13" t="s">
        <v>35</v>
      </c>
      <c r="E193" s="10" t="s">
        <v>170</v>
      </c>
      <c r="F193" s="13" t="s">
        <v>34</v>
      </c>
      <c r="G193" s="20">
        <v>0.73</v>
      </c>
      <c r="H193" s="13" t="s">
        <v>34</v>
      </c>
      <c r="I193" s="13" t="s">
        <v>34</v>
      </c>
      <c r="J193" s="13" t="s">
        <v>34</v>
      </c>
      <c r="K193" s="13" t="s">
        <v>34</v>
      </c>
      <c r="L193" s="13" t="s">
        <v>34</v>
      </c>
      <c r="M193" s="13" t="s">
        <v>34</v>
      </c>
      <c r="N193" s="24">
        <f>1650/1.07</f>
        <v>1542.0560747663551</v>
      </c>
      <c r="O193" s="13" t="s">
        <v>34</v>
      </c>
      <c r="P193" s="13" t="s">
        <v>34</v>
      </c>
      <c r="Q193" s="13" t="s">
        <v>34</v>
      </c>
      <c r="R193" s="13" t="s">
        <v>34</v>
      </c>
      <c r="S193" s="13" t="s">
        <v>34</v>
      </c>
      <c r="T193" s="13" t="s">
        <v>36</v>
      </c>
      <c r="U193" s="20" t="s">
        <v>37</v>
      </c>
      <c r="V193" s="20" t="s">
        <v>162</v>
      </c>
      <c r="W193" s="13">
        <v>15</v>
      </c>
      <c r="X193" s="20">
        <v>0.5</v>
      </c>
      <c r="Y193" s="20">
        <v>1</v>
      </c>
      <c r="Z193" s="20" t="s">
        <v>163</v>
      </c>
      <c r="AA193" s="20">
        <f>3.7*10^-3*60</f>
        <v>0.222</v>
      </c>
      <c r="AB193" s="13" t="s">
        <v>34</v>
      </c>
      <c r="AC193" s="13" t="s">
        <v>40</v>
      </c>
      <c r="AD193" s="13" t="s">
        <v>32</v>
      </c>
      <c r="AE193" s="20">
        <v>0.86199999999999999</v>
      </c>
      <c r="AF193" s="21" t="s">
        <v>164</v>
      </c>
      <c r="AG193" s="13">
        <v>2016</v>
      </c>
      <c r="AH193" s="21" t="s">
        <v>165</v>
      </c>
      <c r="AI193" s="2">
        <v>50</v>
      </c>
      <c r="AJ193" s="2">
        <v>2</v>
      </c>
      <c r="AK193" s="2">
        <v>1</v>
      </c>
    </row>
    <row r="194" spans="1:37" s="15" customFormat="1" ht="16.2" thickBot="1" x14ac:dyDescent="0.35">
      <c r="A194" s="17">
        <v>12.1</v>
      </c>
      <c r="B194" s="17">
        <v>1728</v>
      </c>
      <c r="C194" s="18" t="s">
        <v>33</v>
      </c>
      <c r="D194" s="18" t="s">
        <v>35</v>
      </c>
      <c r="E194" s="10" t="s">
        <v>170</v>
      </c>
      <c r="F194" s="18" t="s">
        <v>34</v>
      </c>
      <c r="G194" s="22">
        <v>0.73</v>
      </c>
      <c r="H194" s="18" t="s">
        <v>34</v>
      </c>
      <c r="I194" s="18" t="s">
        <v>34</v>
      </c>
      <c r="J194" s="18" t="s">
        <v>34</v>
      </c>
      <c r="K194" s="18" t="s">
        <v>34</v>
      </c>
      <c r="L194" s="18" t="s">
        <v>34</v>
      </c>
      <c r="M194" s="18" t="s">
        <v>34</v>
      </c>
      <c r="N194" s="25">
        <f>1650/1.07</f>
        <v>1542.0560747663551</v>
      </c>
      <c r="O194" s="18" t="s">
        <v>34</v>
      </c>
      <c r="P194" s="18" t="s">
        <v>34</v>
      </c>
      <c r="Q194" s="18" t="s">
        <v>34</v>
      </c>
      <c r="R194" s="18" t="s">
        <v>34</v>
      </c>
      <c r="S194" s="18" t="s">
        <v>34</v>
      </c>
      <c r="T194" s="18" t="s">
        <v>36</v>
      </c>
      <c r="U194" s="22" t="s">
        <v>37</v>
      </c>
      <c r="V194" s="22" t="s">
        <v>162</v>
      </c>
      <c r="W194" s="18">
        <v>15</v>
      </c>
      <c r="X194" s="22">
        <v>0.5</v>
      </c>
      <c r="Y194" s="22">
        <v>1</v>
      </c>
      <c r="Z194" s="22" t="s">
        <v>163</v>
      </c>
      <c r="AA194" s="22">
        <f>3.7*10^-3*60</f>
        <v>0.222</v>
      </c>
      <c r="AB194" s="18" t="s">
        <v>34</v>
      </c>
      <c r="AC194" s="18" t="s">
        <v>40</v>
      </c>
      <c r="AD194" s="18" t="s">
        <v>32</v>
      </c>
      <c r="AE194" s="22">
        <v>0.86199999999999999</v>
      </c>
      <c r="AF194" s="23" t="s">
        <v>164</v>
      </c>
      <c r="AG194" s="18">
        <v>2016</v>
      </c>
      <c r="AH194" s="23" t="s">
        <v>165</v>
      </c>
      <c r="AI194" s="34">
        <v>50</v>
      </c>
      <c r="AJ194" s="34">
        <v>2</v>
      </c>
      <c r="AK194" s="34">
        <v>1</v>
      </c>
    </row>
    <row r="195" spans="1:37" x14ac:dyDescent="0.3">
      <c r="A195" s="12">
        <v>22.747479376718498</v>
      </c>
      <c r="B195" s="12">
        <v>4924.5049504950503</v>
      </c>
      <c r="C195" s="13" t="s">
        <v>33</v>
      </c>
      <c r="D195" s="13" t="s">
        <v>35</v>
      </c>
      <c r="E195" s="10" t="s">
        <v>170</v>
      </c>
      <c r="F195" s="20">
        <v>0.15</v>
      </c>
      <c r="G195" s="13" t="s">
        <v>34</v>
      </c>
      <c r="H195" s="13" t="s">
        <v>34</v>
      </c>
      <c r="I195" s="13" t="s">
        <v>34</v>
      </c>
      <c r="J195" s="13" t="s">
        <v>34</v>
      </c>
      <c r="K195" s="13" t="s">
        <v>34</v>
      </c>
      <c r="L195" s="13" t="s">
        <v>34</v>
      </c>
      <c r="M195" s="13" t="s">
        <v>34</v>
      </c>
      <c r="N195" s="13" t="s">
        <v>34</v>
      </c>
      <c r="O195" s="13" t="s">
        <v>34</v>
      </c>
      <c r="P195" s="13" t="s">
        <v>34</v>
      </c>
      <c r="Q195" s="13" t="s">
        <v>34</v>
      </c>
      <c r="R195" s="13" t="s">
        <v>34</v>
      </c>
      <c r="S195" s="13" t="s">
        <v>34</v>
      </c>
      <c r="T195" s="13" t="s">
        <v>36</v>
      </c>
      <c r="U195" s="20" t="s">
        <v>37</v>
      </c>
      <c r="V195" s="20" t="s">
        <v>38</v>
      </c>
      <c r="W195" s="20">
        <v>2</v>
      </c>
      <c r="X195" s="20">
        <v>2</v>
      </c>
      <c r="Y195" s="20">
        <v>1</v>
      </c>
      <c r="Z195" s="20" t="s">
        <v>166</v>
      </c>
      <c r="AA195" s="20">
        <f>4.4*10^-3*60</f>
        <v>0.26400000000000001</v>
      </c>
      <c r="AB195" s="13" t="s">
        <v>34</v>
      </c>
      <c r="AC195" s="13" t="s">
        <v>40</v>
      </c>
      <c r="AD195" s="13" t="s">
        <v>32</v>
      </c>
      <c r="AE195" s="12">
        <v>0.99419999999999997</v>
      </c>
      <c r="AF195" s="13" t="s">
        <v>167</v>
      </c>
      <c r="AG195" s="13">
        <v>2011</v>
      </c>
      <c r="AH195" s="21" t="s">
        <v>168</v>
      </c>
      <c r="AI195" s="2">
        <v>30</v>
      </c>
      <c r="AJ195" s="2">
        <v>2</v>
      </c>
      <c r="AK195" s="2">
        <v>1</v>
      </c>
    </row>
    <row r="196" spans="1:37" x14ac:dyDescent="0.3">
      <c r="A196" s="11">
        <v>31.620073327222624</v>
      </c>
      <c r="B196" s="11">
        <v>8065.5940594059402</v>
      </c>
      <c r="C196" s="13" t="s">
        <v>33</v>
      </c>
      <c r="D196" s="13" t="s">
        <v>35</v>
      </c>
      <c r="E196" s="10" t="s">
        <v>170</v>
      </c>
      <c r="F196" s="20">
        <v>0.15</v>
      </c>
      <c r="G196" s="13" t="s">
        <v>34</v>
      </c>
      <c r="H196" s="13" t="s">
        <v>34</v>
      </c>
      <c r="I196" s="13" t="s">
        <v>34</v>
      </c>
      <c r="J196" s="13" t="s">
        <v>34</v>
      </c>
      <c r="K196" s="13" t="s">
        <v>34</v>
      </c>
      <c r="L196" s="13" t="s">
        <v>34</v>
      </c>
      <c r="M196" s="13" t="s">
        <v>34</v>
      </c>
      <c r="N196" s="13" t="s">
        <v>34</v>
      </c>
      <c r="O196" s="13" t="s">
        <v>34</v>
      </c>
      <c r="P196" s="13" t="s">
        <v>34</v>
      </c>
      <c r="Q196" s="13" t="s">
        <v>34</v>
      </c>
      <c r="R196" s="13" t="s">
        <v>34</v>
      </c>
      <c r="S196" s="13" t="s">
        <v>34</v>
      </c>
      <c r="T196" s="13" t="s">
        <v>36</v>
      </c>
      <c r="U196" s="20" t="s">
        <v>37</v>
      </c>
      <c r="V196" s="20" t="s">
        <v>38</v>
      </c>
      <c r="W196" s="20">
        <v>2</v>
      </c>
      <c r="X196" s="20">
        <v>2</v>
      </c>
      <c r="Y196" s="20">
        <v>1</v>
      </c>
      <c r="Z196" s="20" t="s">
        <v>166</v>
      </c>
      <c r="AA196" s="20">
        <f>4.4*10^-3*60</f>
        <v>0.26400000000000001</v>
      </c>
      <c r="AB196" s="13" t="s">
        <v>34</v>
      </c>
      <c r="AC196" s="13" t="s">
        <v>40</v>
      </c>
      <c r="AD196" s="13" t="s">
        <v>32</v>
      </c>
      <c r="AE196" s="12">
        <v>0.99419999999999997</v>
      </c>
      <c r="AF196" s="13" t="s">
        <v>167</v>
      </c>
      <c r="AG196" s="13">
        <v>2011</v>
      </c>
      <c r="AH196" s="21" t="s">
        <v>168</v>
      </c>
      <c r="AI196" s="59">
        <v>30</v>
      </c>
      <c r="AJ196" s="59">
        <v>2</v>
      </c>
      <c r="AK196" s="59">
        <v>1</v>
      </c>
    </row>
    <row r="197" spans="1:37" s="15" customFormat="1" ht="16.2" thickBot="1" x14ac:dyDescent="0.35">
      <c r="A197" s="17">
        <v>45.38267644362962</v>
      </c>
      <c r="B197" s="17">
        <v>12164.603960396</v>
      </c>
      <c r="C197" s="18" t="s">
        <v>33</v>
      </c>
      <c r="D197" s="18" t="s">
        <v>35</v>
      </c>
      <c r="E197" s="14" t="s">
        <v>170</v>
      </c>
      <c r="F197" s="22">
        <v>0.15</v>
      </c>
      <c r="G197" s="18" t="s">
        <v>34</v>
      </c>
      <c r="H197" s="18" t="s">
        <v>34</v>
      </c>
      <c r="I197" s="18" t="s">
        <v>34</v>
      </c>
      <c r="J197" s="18" t="s">
        <v>34</v>
      </c>
      <c r="K197" s="18" t="s">
        <v>34</v>
      </c>
      <c r="L197" s="18" t="s">
        <v>34</v>
      </c>
      <c r="M197" s="18" t="s">
        <v>34</v>
      </c>
      <c r="N197" s="18" t="s">
        <v>34</v>
      </c>
      <c r="O197" s="18" t="s">
        <v>34</v>
      </c>
      <c r="P197" s="18" t="s">
        <v>34</v>
      </c>
      <c r="Q197" s="18" t="s">
        <v>34</v>
      </c>
      <c r="R197" s="18" t="s">
        <v>34</v>
      </c>
      <c r="S197" s="18" t="s">
        <v>34</v>
      </c>
      <c r="T197" s="18" t="s">
        <v>36</v>
      </c>
      <c r="U197" s="22" t="s">
        <v>37</v>
      </c>
      <c r="V197" s="22" t="s">
        <v>38</v>
      </c>
      <c r="W197" s="22">
        <v>2</v>
      </c>
      <c r="X197" s="22">
        <v>2</v>
      </c>
      <c r="Y197" s="22">
        <v>1</v>
      </c>
      <c r="Z197" s="22" t="s">
        <v>166</v>
      </c>
      <c r="AA197" s="22">
        <f>4.4*10^-3*60</f>
        <v>0.26400000000000001</v>
      </c>
      <c r="AB197" s="18" t="s">
        <v>34</v>
      </c>
      <c r="AC197" s="18" t="s">
        <v>40</v>
      </c>
      <c r="AD197" s="18" t="s">
        <v>32</v>
      </c>
      <c r="AE197" s="19">
        <v>0.99419999999999997</v>
      </c>
      <c r="AF197" s="18" t="s">
        <v>167</v>
      </c>
      <c r="AG197" s="18">
        <v>2011</v>
      </c>
      <c r="AH197" s="23" t="s">
        <v>168</v>
      </c>
      <c r="AI197" s="15">
        <v>30</v>
      </c>
      <c r="AJ197" s="15">
        <v>2</v>
      </c>
      <c r="AK197" s="15">
        <v>1</v>
      </c>
    </row>
    <row r="198" spans="1:37" x14ac:dyDescent="0.3">
      <c r="A198" s="12">
        <v>4.1140719962599004</v>
      </c>
      <c r="B198" s="12">
        <v>369.614512471654</v>
      </c>
      <c r="C198" s="13" t="s">
        <v>33</v>
      </c>
      <c r="D198" s="13" t="s">
        <v>169</v>
      </c>
      <c r="E198" s="13" t="s">
        <v>170</v>
      </c>
      <c r="F198" s="13" t="s">
        <v>34</v>
      </c>
      <c r="G198" s="13">
        <v>0.21</v>
      </c>
      <c r="H198" s="13" t="s">
        <v>34</v>
      </c>
      <c r="I198" s="13" t="s">
        <v>34</v>
      </c>
      <c r="J198" s="13" t="s">
        <v>34</v>
      </c>
      <c r="K198" s="13" t="s">
        <v>34</v>
      </c>
      <c r="L198" s="13">
        <v>0</v>
      </c>
      <c r="M198" s="13">
        <v>50</v>
      </c>
      <c r="N198" s="12">
        <v>1476.9578718927885</v>
      </c>
      <c r="O198" s="13" t="s">
        <v>34</v>
      </c>
      <c r="P198" s="13" t="s">
        <v>34</v>
      </c>
      <c r="Q198" s="13">
        <v>0</v>
      </c>
      <c r="R198" s="13">
        <v>2.64</v>
      </c>
      <c r="S198" s="13">
        <v>4.4000000000000007E-4</v>
      </c>
      <c r="T198" s="26" t="s">
        <v>49</v>
      </c>
      <c r="U198" s="13" t="s">
        <v>50</v>
      </c>
      <c r="V198" s="13" t="s">
        <v>38</v>
      </c>
      <c r="W198" s="13" t="s">
        <v>43</v>
      </c>
      <c r="X198" s="13" t="s">
        <v>43</v>
      </c>
      <c r="Y198" s="13">
        <v>1</v>
      </c>
      <c r="Z198" s="13" t="s">
        <v>171</v>
      </c>
      <c r="AA198" s="13" t="s">
        <v>43</v>
      </c>
      <c r="AB198" s="13">
        <v>9.15</v>
      </c>
      <c r="AC198" s="13" t="s">
        <v>40</v>
      </c>
      <c r="AD198" s="13" t="s">
        <v>32</v>
      </c>
      <c r="AE198" s="13">
        <v>0.19400000000000001</v>
      </c>
      <c r="AF198" s="13" t="s">
        <v>172</v>
      </c>
      <c r="AG198" s="13">
        <v>2012</v>
      </c>
      <c r="AH198" s="13" t="s">
        <v>173</v>
      </c>
      <c r="AI198" s="2">
        <v>50</v>
      </c>
      <c r="AJ198" s="2">
        <v>2</v>
      </c>
      <c r="AK198" s="2" t="s">
        <v>34</v>
      </c>
    </row>
    <row r="199" spans="1:37" x14ac:dyDescent="0.3">
      <c r="A199" s="11">
        <v>6.0133239831696992</v>
      </c>
      <c r="B199" s="11">
        <v>467.12018140589498</v>
      </c>
      <c r="C199" s="13" t="s">
        <v>33</v>
      </c>
      <c r="D199" s="13" t="s">
        <v>169</v>
      </c>
      <c r="E199" s="13" t="s">
        <v>170</v>
      </c>
      <c r="F199" s="13" t="s">
        <v>34</v>
      </c>
      <c r="G199" s="13">
        <v>0.21</v>
      </c>
      <c r="H199" s="13" t="s">
        <v>34</v>
      </c>
      <c r="I199" s="13" t="s">
        <v>34</v>
      </c>
      <c r="J199" s="13" t="s">
        <v>34</v>
      </c>
      <c r="K199" s="13" t="s">
        <v>34</v>
      </c>
      <c r="L199" s="13">
        <v>0</v>
      </c>
      <c r="M199" s="13">
        <v>50</v>
      </c>
      <c r="N199" s="12">
        <v>1476.9578718927885</v>
      </c>
      <c r="O199" s="13" t="s">
        <v>34</v>
      </c>
      <c r="P199" s="13" t="s">
        <v>34</v>
      </c>
      <c r="Q199" s="13">
        <v>0</v>
      </c>
      <c r="R199" s="13">
        <v>2.64</v>
      </c>
      <c r="S199" s="13">
        <v>4.4000000000000007E-4</v>
      </c>
      <c r="T199" s="26" t="s">
        <v>49</v>
      </c>
      <c r="U199" s="13" t="s">
        <v>50</v>
      </c>
      <c r="V199" s="13" t="s">
        <v>38</v>
      </c>
      <c r="W199" s="13" t="s">
        <v>43</v>
      </c>
      <c r="X199" s="13" t="s">
        <v>43</v>
      </c>
      <c r="Y199" s="13">
        <v>1</v>
      </c>
      <c r="Z199" s="13" t="s">
        <v>171</v>
      </c>
      <c r="AA199" s="13" t="s">
        <v>43</v>
      </c>
      <c r="AB199" s="13">
        <v>9.15</v>
      </c>
      <c r="AC199" s="13" t="s">
        <v>40</v>
      </c>
      <c r="AD199" s="13" t="s">
        <v>32</v>
      </c>
      <c r="AE199" s="13">
        <v>0.19400000000000001</v>
      </c>
      <c r="AF199" s="13" t="s">
        <v>172</v>
      </c>
      <c r="AG199" s="13">
        <v>2012</v>
      </c>
      <c r="AH199" s="13" t="s">
        <v>173</v>
      </c>
      <c r="AI199" s="60">
        <v>50</v>
      </c>
      <c r="AJ199" s="59">
        <v>2</v>
      </c>
      <c r="AK199" s="59" t="s">
        <v>34</v>
      </c>
    </row>
    <row r="200" spans="1:37" x14ac:dyDescent="0.3">
      <c r="A200" s="11">
        <v>5.6626928471247995</v>
      </c>
      <c r="B200" s="11">
        <v>752.83446712018099</v>
      </c>
      <c r="C200" s="13" t="s">
        <v>33</v>
      </c>
      <c r="D200" s="13" t="s">
        <v>169</v>
      </c>
      <c r="E200" s="13" t="s">
        <v>170</v>
      </c>
      <c r="F200" s="13" t="s">
        <v>34</v>
      </c>
      <c r="G200" s="13">
        <v>0.21</v>
      </c>
      <c r="H200" s="13" t="s">
        <v>34</v>
      </c>
      <c r="I200" s="13" t="s">
        <v>34</v>
      </c>
      <c r="J200" s="13" t="s">
        <v>34</v>
      </c>
      <c r="K200" s="13" t="s">
        <v>34</v>
      </c>
      <c r="L200" s="13">
        <v>0</v>
      </c>
      <c r="M200" s="13">
        <v>50</v>
      </c>
      <c r="N200" s="12">
        <v>1476.9578718927885</v>
      </c>
      <c r="O200" s="13" t="s">
        <v>34</v>
      </c>
      <c r="P200" s="13" t="s">
        <v>34</v>
      </c>
      <c r="Q200" s="13">
        <v>0</v>
      </c>
      <c r="R200" s="13">
        <v>2.64</v>
      </c>
      <c r="S200" s="13">
        <v>4.4000000000000007E-4</v>
      </c>
      <c r="T200" s="26" t="s">
        <v>49</v>
      </c>
      <c r="U200" s="13" t="s">
        <v>50</v>
      </c>
      <c r="V200" s="13" t="s">
        <v>38</v>
      </c>
      <c r="W200" s="13" t="s">
        <v>43</v>
      </c>
      <c r="X200" s="13" t="s">
        <v>43</v>
      </c>
      <c r="Y200" s="13">
        <v>1</v>
      </c>
      <c r="Z200" s="13" t="s">
        <v>171</v>
      </c>
      <c r="AA200" s="13" t="s">
        <v>43</v>
      </c>
      <c r="AB200" s="13">
        <v>9.15</v>
      </c>
      <c r="AC200" s="13" t="s">
        <v>40</v>
      </c>
      <c r="AD200" s="13" t="s">
        <v>32</v>
      </c>
      <c r="AE200" s="13">
        <v>0.19400000000000001</v>
      </c>
      <c r="AF200" s="13" t="s">
        <v>172</v>
      </c>
      <c r="AG200" s="13">
        <v>2012</v>
      </c>
      <c r="AH200" s="13" t="s">
        <v>173</v>
      </c>
      <c r="AI200" s="57">
        <v>50</v>
      </c>
      <c r="AJ200" s="2">
        <v>2</v>
      </c>
      <c r="AK200" s="2" t="s">
        <v>34</v>
      </c>
    </row>
    <row r="201" spans="1:37" x14ac:dyDescent="0.3">
      <c r="A201" s="11">
        <v>7.7080411407199332</v>
      </c>
      <c r="B201" s="11">
        <v>435.37414965986301</v>
      </c>
      <c r="C201" s="13" t="s">
        <v>33</v>
      </c>
      <c r="D201" s="13" t="s">
        <v>169</v>
      </c>
      <c r="E201" s="13" t="s">
        <v>170</v>
      </c>
      <c r="F201" s="13" t="s">
        <v>34</v>
      </c>
      <c r="G201" s="13">
        <v>0.21</v>
      </c>
      <c r="H201" s="13" t="s">
        <v>34</v>
      </c>
      <c r="I201" s="13" t="s">
        <v>34</v>
      </c>
      <c r="J201" s="13" t="s">
        <v>34</v>
      </c>
      <c r="K201" s="13" t="s">
        <v>34</v>
      </c>
      <c r="L201" s="13">
        <v>0</v>
      </c>
      <c r="M201" s="13">
        <v>50</v>
      </c>
      <c r="N201" s="12">
        <v>1476.9578718927885</v>
      </c>
      <c r="O201" s="13" t="s">
        <v>34</v>
      </c>
      <c r="P201" s="13" t="s">
        <v>34</v>
      </c>
      <c r="Q201" s="13">
        <v>0</v>
      </c>
      <c r="R201" s="13">
        <v>2.64</v>
      </c>
      <c r="S201" s="13">
        <v>4.4000000000000007E-4</v>
      </c>
      <c r="T201" s="26" t="s">
        <v>49</v>
      </c>
      <c r="U201" s="13" t="s">
        <v>50</v>
      </c>
      <c r="V201" s="13" t="s">
        <v>38</v>
      </c>
      <c r="W201" s="13" t="s">
        <v>43</v>
      </c>
      <c r="X201" s="13" t="s">
        <v>43</v>
      </c>
      <c r="Y201" s="13">
        <v>1</v>
      </c>
      <c r="Z201" s="13" t="s">
        <v>171</v>
      </c>
      <c r="AA201" s="13" t="s">
        <v>43</v>
      </c>
      <c r="AB201" s="13">
        <v>9.15</v>
      </c>
      <c r="AC201" s="13" t="s">
        <v>40</v>
      </c>
      <c r="AD201" s="13" t="s">
        <v>32</v>
      </c>
      <c r="AE201" s="13">
        <v>0.19400000000000001</v>
      </c>
      <c r="AF201" s="13" t="s">
        <v>172</v>
      </c>
      <c r="AG201" s="13">
        <v>2012</v>
      </c>
      <c r="AH201" s="13" t="s">
        <v>173</v>
      </c>
      <c r="AI201" s="57">
        <v>50</v>
      </c>
      <c r="AJ201" s="2">
        <v>2</v>
      </c>
      <c r="AK201" s="2" t="s">
        <v>34</v>
      </c>
    </row>
    <row r="202" spans="1:37" x14ac:dyDescent="0.3">
      <c r="A202" s="11">
        <v>6.5918653576437336</v>
      </c>
      <c r="B202" s="11">
        <v>888.888888888888</v>
      </c>
      <c r="C202" s="13" t="s">
        <v>33</v>
      </c>
      <c r="D202" s="13" t="s">
        <v>169</v>
      </c>
      <c r="E202" s="13" t="s">
        <v>170</v>
      </c>
      <c r="F202" s="13" t="s">
        <v>34</v>
      </c>
      <c r="G202" s="13">
        <v>0.21</v>
      </c>
      <c r="H202" s="13" t="s">
        <v>34</v>
      </c>
      <c r="I202" s="13" t="s">
        <v>34</v>
      </c>
      <c r="J202" s="13" t="s">
        <v>34</v>
      </c>
      <c r="K202" s="13" t="s">
        <v>34</v>
      </c>
      <c r="L202" s="13">
        <v>0</v>
      </c>
      <c r="M202" s="13">
        <v>50</v>
      </c>
      <c r="N202" s="12">
        <v>1476.9578718927885</v>
      </c>
      <c r="O202" s="13" t="s">
        <v>34</v>
      </c>
      <c r="P202" s="13" t="s">
        <v>34</v>
      </c>
      <c r="Q202" s="13">
        <v>0</v>
      </c>
      <c r="R202" s="13">
        <v>2.64</v>
      </c>
      <c r="S202" s="13">
        <v>4.4000000000000007E-4</v>
      </c>
      <c r="T202" s="26" t="s">
        <v>49</v>
      </c>
      <c r="U202" s="13" t="s">
        <v>50</v>
      </c>
      <c r="V202" s="13" t="s">
        <v>38</v>
      </c>
      <c r="W202" s="13" t="s">
        <v>43</v>
      </c>
      <c r="X202" s="13" t="s">
        <v>43</v>
      </c>
      <c r="Y202" s="13">
        <v>1</v>
      </c>
      <c r="Z202" s="13" t="s">
        <v>171</v>
      </c>
      <c r="AA202" s="13" t="s">
        <v>43</v>
      </c>
      <c r="AB202" s="13">
        <v>9.15</v>
      </c>
      <c r="AC202" s="13" t="s">
        <v>40</v>
      </c>
      <c r="AD202" s="13" t="s">
        <v>32</v>
      </c>
      <c r="AE202" s="13">
        <v>0.19400000000000001</v>
      </c>
      <c r="AF202" s="13" t="s">
        <v>172</v>
      </c>
      <c r="AG202" s="13">
        <v>2012</v>
      </c>
      <c r="AH202" s="13" t="s">
        <v>173</v>
      </c>
      <c r="AI202" s="57">
        <v>50</v>
      </c>
      <c r="AJ202" s="2">
        <v>2</v>
      </c>
      <c r="AK202" s="2" t="s">
        <v>34</v>
      </c>
    </row>
    <row r="203" spans="1:37" s="15" customFormat="1" ht="16.2" thickBot="1" x14ac:dyDescent="0.35">
      <c r="A203" s="17">
        <v>5.0374006545114334</v>
      </c>
      <c r="B203" s="17">
        <v>1623.5827664399001</v>
      </c>
      <c r="C203" s="18" t="s">
        <v>33</v>
      </c>
      <c r="D203" s="18" t="s">
        <v>169</v>
      </c>
      <c r="E203" s="18" t="s">
        <v>170</v>
      </c>
      <c r="F203" s="18" t="s">
        <v>34</v>
      </c>
      <c r="G203" s="18">
        <v>0.21</v>
      </c>
      <c r="H203" s="18" t="s">
        <v>34</v>
      </c>
      <c r="I203" s="18" t="s">
        <v>34</v>
      </c>
      <c r="J203" s="18" t="s">
        <v>34</v>
      </c>
      <c r="K203" s="18" t="s">
        <v>34</v>
      </c>
      <c r="L203" s="18">
        <v>0</v>
      </c>
      <c r="M203" s="18">
        <v>50</v>
      </c>
      <c r="N203" s="19">
        <v>1476.9578718927885</v>
      </c>
      <c r="O203" s="18" t="s">
        <v>34</v>
      </c>
      <c r="P203" s="18" t="s">
        <v>34</v>
      </c>
      <c r="Q203" s="18">
        <v>0</v>
      </c>
      <c r="R203" s="18">
        <v>2.64</v>
      </c>
      <c r="S203" s="18">
        <v>4.4000000000000007E-4</v>
      </c>
      <c r="T203" s="27" t="s">
        <v>49</v>
      </c>
      <c r="U203" s="18" t="s">
        <v>50</v>
      </c>
      <c r="V203" s="18" t="s">
        <v>38</v>
      </c>
      <c r="W203" s="18" t="s">
        <v>43</v>
      </c>
      <c r="X203" s="18" t="s">
        <v>43</v>
      </c>
      <c r="Y203" s="18">
        <v>1</v>
      </c>
      <c r="Z203" s="18" t="s">
        <v>171</v>
      </c>
      <c r="AA203" s="18" t="s">
        <v>43</v>
      </c>
      <c r="AB203" s="18">
        <v>9.15</v>
      </c>
      <c r="AC203" s="18" t="s">
        <v>40</v>
      </c>
      <c r="AD203" s="18" t="s">
        <v>32</v>
      </c>
      <c r="AE203" s="18">
        <v>0.19400000000000001</v>
      </c>
      <c r="AF203" s="18" t="s">
        <v>172</v>
      </c>
      <c r="AG203" s="18">
        <v>2012</v>
      </c>
      <c r="AH203" s="18" t="s">
        <v>173</v>
      </c>
      <c r="AI203" s="61">
        <v>50</v>
      </c>
      <c r="AJ203" s="15">
        <v>2</v>
      </c>
      <c r="AK203" s="15" t="s">
        <v>34</v>
      </c>
    </row>
    <row r="204" spans="1:37" x14ac:dyDescent="0.3">
      <c r="A204" s="12">
        <v>7.8082191780821901</v>
      </c>
      <c r="B204" s="12">
        <v>10545.4545454545</v>
      </c>
      <c r="C204" s="13" t="s">
        <v>34</v>
      </c>
      <c r="D204" s="13" t="s">
        <v>174</v>
      </c>
      <c r="E204" s="13" t="s">
        <v>170</v>
      </c>
      <c r="F204" s="13">
        <v>1</v>
      </c>
      <c r="G204" s="13" t="s">
        <v>34</v>
      </c>
      <c r="H204" s="13" t="s">
        <v>34</v>
      </c>
      <c r="I204" s="13" t="s">
        <v>34</v>
      </c>
      <c r="J204" s="13" t="s">
        <v>34</v>
      </c>
      <c r="K204" s="13" t="s">
        <v>34</v>
      </c>
      <c r="L204" s="13" t="s">
        <v>34</v>
      </c>
      <c r="M204" s="13" t="s">
        <v>34</v>
      </c>
      <c r="N204" s="13" t="s">
        <v>34</v>
      </c>
      <c r="O204" s="13" t="s">
        <v>34</v>
      </c>
      <c r="P204" s="13" t="s">
        <v>34</v>
      </c>
      <c r="Q204" s="13">
        <v>0</v>
      </c>
      <c r="R204" s="13" t="s">
        <v>34</v>
      </c>
      <c r="S204" s="13" t="s">
        <v>34</v>
      </c>
      <c r="T204" s="13" t="s">
        <v>49</v>
      </c>
      <c r="U204" s="13" t="s">
        <v>50</v>
      </c>
      <c r="V204" s="13" t="s">
        <v>38</v>
      </c>
      <c r="W204" s="13" t="s">
        <v>34</v>
      </c>
      <c r="X204" s="13">
        <v>0.33</v>
      </c>
      <c r="Y204" s="13">
        <v>1</v>
      </c>
      <c r="Z204" s="13" t="s">
        <v>177</v>
      </c>
      <c r="AA204" s="13" t="s">
        <v>34</v>
      </c>
      <c r="AB204" s="13" t="s">
        <v>34</v>
      </c>
      <c r="AC204" s="13" t="s">
        <v>40</v>
      </c>
      <c r="AD204" s="13" t="s">
        <v>32</v>
      </c>
      <c r="AE204" s="13">
        <v>6.9900000000000004E-2</v>
      </c>
      <c r="AF204" s="13" t="s">
        <v>178</v>
      </c>
      <c r="AG204" s="13">
        <v>2018</v>
      </c>
      <c r="AH204" s="13" t="s">
        <v>179</v>
      </c>
      <c r="AI204" s="2">
        <v>25</v>
      </c>
      <c r="AJ204" s="2">
        <v>2</v>
      </c>
      <c r="AK204" s="2" t="s">
        <v>34</v>
      </c>
    </row>
    <row r="205" spans="1:37" x14ac:dyDescent="0.3">
      <c r="A205" s="11">
        <v>11.0326659641728</v>
      </c>
      <c r="B205" s="11">
        <v>10969.696969696899</v>
      </c>
      <c r="C205" s="13" t="s">
        <v>34</v>
      </c>
      <c r="D205" s="10" t="s">
        <v>174</v>
      </c>
      <c r="E205" s="13" t="s">
        <v>170</v>
      </c>
      <c r="F205" s="13">
        <v>1</v>
      </c>
      <c r="G205" s="13" t="s">
        <v>34</v>
      </c>
      <c r="H205" s="13" t="s">
        <v>34</v>
      </c>
      <c r="I205" s="13" t="s">
        <v>34</v>
      </c>
      <c r="J205" s="13" t="s">
        <v>34</v>
      </c>
      <c r="K205" s="13" t="s">
        <v>34</v>
      </c>
      <c r="L205" s="13" t="s">
        <v>34</v>
      </c>
      <c r="M205" s="13" t="s">
        <v>34</v>
      </c>
      <c r="N205" s="13" t="s">
        <v>34</v>
      </c>
      <c r="O205" s="13" t="s">
        <v>34</v>
      </c>
      <c r="P205" s="13" t="s">
        <v>34</v>
      </c>
      <c r="Q205" s="13">
        <v>0</v>
      </c>
      <c r="R205" s="13" t="s">
        <v>34</v>
      </c>
      <c r="S205" s="13" t="s">
        <v>34</v>
      </c>
      <c r="T205" s="13" t="s">
        <v>49</v>
      </c>
      <c r="U205" s="13" t="s">
        <v>50</v>
      </c>
      <c r="V205" s="13" t="s">
        <v>38</v>
      </c>
      <c r="W205" s="13" t="s">
        <v>34</v>
      </c>
      <c r="X205" s="13">
        <v>0.33</v>
      </c>
      <c r="Y205" s="13">
        <v>1</v>
      </c>
      <c r="Z205" s="13" t="s">
        <v>177</v>
      </c>
      <c r="AA205" s="13" t="s">
        <v>34</v>
      </c>
      <c r="AB205" s="13" t="s">
        <v>34</v>
      </c>
      <c r="AC205" s="13" t="s">
        <v>40</v>
      </c>
      <c r="AD205" s="13" t="s">
        <v>32</v>
      </c>
      <c r="AE205" s="13">
        <v>6.9900000000000004E-2</v>
      </c>
      <c r="AF205" s="13" t="s">
        <v>178</v>
      </c>
      <c r="AG205" s="13">
        <v>2018</v>
      </c>
      <c r="AH205" s="13" t="s">
        <v>179</v>
      </c>
      <c r="AI205" s="2">
        <v>25</v>
      </c>
      <c r="AJ205" s="2">
        <v>2</v>
      </c>
      <c r="AK205" s="2" t="s">
        <v>34</v>
      </c>
    </row>
    <row r="206" spans="1:37" x14ac:dyDescent="0.3">
      <c r="A206" s="11">
        <v>13.6880927291886</v>
      </c>
      <c r="B206" s="11">
        <v>10545.4545454545</v>
      </c>
      <c r="C206" s="13" t="s">
        <v>34</v>
      </c>
      <c r="D206" s="13" t="s">
        <v>174</v>
      </c>
      <c r="E206" s="13" t="s">
        <v>170</v>
      </c>
      <c r="F206" s="13">
        <v>1</v>
      </c>
      <c r="G206" s="13" t="s">
        <v>34</v>
      </c>
      <c r="H206" s="13" t="s">
        <v>34</v>
      </c>
      <c r="I206" s="13" t="s">
        <v>34</v>
      </c>
      <c r="J206" s="13" t="s">
        <v>34</v>
      </c>
      <c r="K206" s="13" t="s">
        <v>34</v>
      </c>
      <c r="L206" s="13" t="s">
        <v>34</v>
      </c>
      <c r="M206" s="13" t="s">
        <v>34</v>
      </c>
      <c r="N206" s="13" t="s">
        <v>34</v>
      </c>
      <c r="O206" s="13" t="s">
        <v>34</v>
      </c>
      <c r="P206" s="13" t="s">
        <v>34</v>
      </c>
      <c r="Q206" s="13">
        <v>0</v>
      </c>
      <c r="R206" s="13" t="s">
        <v>34</v>
      </c>
      <c r="S206" s="13" t="s">
        <v>34</v>
      </c>
      <c r="T206" s="13" t="s">
        <v>49</v>
      </c>
      <c r="U206" s="13" t="s">
        <v>50</v>
      </c>
      <c r="V206" s="13" t="s">
        <v>38</v>
      </c>
      <c r="W206" s="13" t="s">
        <v>34</v>
      </c>
      <c r="X206" s="13">
        <v>0.33</v>
      </c>
      <c r="Y206" s="13">
        <v>1</v>
      </c>
      <c r="Z206" s="13" t="s">
        <v>177</v>
      </c>
      <c r="AA206" s="13" t="s">
        <v>34</v>
      </c>
      <c r="AB206" s="13" t="s">
        <v>34</v>
      </c>
      <c r="AC206" s="13" t="s">
        <v>40</v>
      </c>
      <c r="AD206" s="13" t="s">
        <v>32</v>
      </c>
      <c r="AE206" s="13">
        <v>6.9900000000000004E-2</v>
      </c>
      <c r="AF206" s="13" t="s">
        <v>178</v>
      </c>
      <c r="AG206" s="13">
        <v>2018</v>
      </c>
      <c r="AH206" s="13" t="s">
        <v>179</v>
      </c>
      <c r="AI206" s="2">
        <v>25</v>
      </c>
      <c r="AJ206" s="2">
        <v>2</v>
      </c>
      <c r="AK206" s="2" t="s">
        <v>34</v>
      </c>
    </row>
    <row r="207" spans="1:37" x14ac:dyDescent="0.3">
      <c r="A207" s="11">
        <v>10.686373467916299</v>
      </c>
      <c r="B207" s="11">
        <v>8392.2822053603504</v>
      </c>
      <c r="C207" s="13" t="s">
        <v>34</v>
      </c>
      <c r="D207" s="13" t="s">
        <v>174</v>
      </c>
      <c r="E207" s="13" t="s">
        <v>170</v>
      </c>
      <c r="F207" s="13">
        <v>1</v>
      </c>
      <c r="G207" s="13" t="s">
        <v>34</v>
      </c>
      <c r="H207" s="13" t="s">
        <v>34</v>
      </c>
      <c r="I207" s="13" t="s">
        <v>34</v>
      </c>
      <c r="J207" s="13" t="s">
        <v>34</v>
      </c>
      <c r="K207" s="13" t="s">
        <v>34</v>
      </c>
      <c r="L207" s="13" t="s">
        <v>34</v>
      </c>
      <c r="M207" s="13" t="s">
        <v>34</v>
      </c>
      <c r="N207" s="13" t="s">
        <v>34</v>
      </c>
      <c r="O207" s="13" t="s">
        <v>34</v>
      </c>
      <c r="P207" s="13" t="s">
        <v>34</v>
      </c>
      <c r="Q207" s="13">
        <v>0</v>
      </c>
      <c r="R207" s="13" t="s">
        <v>34</v>
      </c>
      <c r="S207" s="13" t="s">
        <v>34</v>
      </c>
      <c r="T207" s="13" t="s">
        <v>49</v>
      </c>
      <c r="U207" s="13" t="s">
        <v>50</v>
      </c>
      <c r="V207" s="13" t="s">
        <v>38</v>
      </c>
      <c r="W207" s="13" t="s">
        <v>34</v>
      </c>
      <c r="X207" s="13">
        <v>0.33</v>
      </c>
      <c r="Y207" s="13">
        <v>1</v>
      </c>
      <c r="Z207" s="13" t="s">
        <v>177</v>
      </c>
      <c r="AA207" s="13" t="s">
        <v>34</v>
      </c>
      <c r="AB207" s="13" t="s">
        <v>34</v>
      </c>
      <c r="AC207" s="13" t="s">
        <v>40</v>
      </c>
      <c r="AD207" s="13" t="s">
        <v>32</v>
      </c>
      <c r="AE207" s="13">
        <v>6.9900000000000004E-2</v>
      </c>
      <c r="AF207" s="13" t="s">
        <v>178</v>
      </c>
      <c r="AG207" s="13">
        <v>2018</v>
      </c>
      <c r="AH207" s="13" t="s">
        <v>179</v>
      </c>
      <c r="AI207" s="2">
        <v>50</v>
      </c>
      <c r="AJ207" s="2">
        <v>2</v>
      </c>
      <c r="AK207" s="2" t="s">
        <v>34</v>
      </c>
    </row>
    <row r="208" spans="1:37" x14ac:dyDescent="0.3">
      <c r="A208" s="11">
        <v>11.370232747305501</v>
      </c>
      <c r="B208" s="11">
        <v>7798.8218173226096</v>
      </c>
      <c r="C208" s="13" t="s">
        <v>34</v>
      </c>
      <c r="D208" s="13" t="s">
        <v>174</v>
      </c>
      <c r="E208" s="13" t="s">
        <v>170</v>
      </c>
      <c r="F208" s="13">
        <v>1</v>
      </c>
      <c r="G208" s="13" t="s">
        <v>34</v>
      </c>
      <c r="H208" s="13" t="s">
        <v>34</v>
      </c>
      <c r="I208" s="13" t="s">
        <v>34</v>
      </c>
      <c r="J208" s="13" t="s">
        <v>34</v>
      </c>
      <c r="K208" s="13" t="s">
        <v>34</v>
      </c>
      <c r="L208" s="13" t="s">
        <v>34</v>
      </c>
      <c r="M208" s="13" t="s">
        <v>34</v>
      </c>
      <c r="N208" s="13" t="s">
        <v>34</v>
      </c>
      <c r="O208" s="13" t="s">
        <v>34</v>
      </c>
      <c r="P208" s="13" t="s">
        <v>34</v>
      </c>
      <c r="Q208" s="13">
        <v>0</v>
      </c>
      <c r="R208" s="13" t="s">
        <v>34</v>
      </c>
      <c r="S208" s="13" t="s">
        <v>34</v>
      </c>
      <c r="T208" s="13" t="s">
        <v>49</v>
      </c>
      <c r="U208" s="13" t="s">
        <v>50</v>
      </c>
      <c r="V208" s="13" t="s">
        <v>38</v>
      </c>
      <c r="W208" s="13" t="s">
        <v>34</v>
      </c>
      <c r="X208" s="13">
        <v>0.33</v>
      </c>
      <c r="Y208" s="13">
        <v>1</v>
      </c>
      <c r="Z208" s="13" t="s">
        <v>177</v>
      </c>
      <c r="AA208" s="13" t="s">
        <v>34</v>
      </c>
      <c r="AB208" s="13" t="s">
        <v>34</v>
      </c>
      <c r="AC208" s="13" t="s">
        <v>40</v>
      </c>
      <c r="AD208" s="13" t="s">
        <v>32</v>
      </c>
      <c r="AE208" s="13">
        <v>6.9900000000000004E-2</v>
      </c>
      <c r="AF208" s="13" t="s">
        <v>178</v>
      </c>
      <c r="AG208" s="13">
        <v>2018</v>
      </c>
      <c r="AH208" s="13" t="s">
        <v>179</v>
      </c>
      <c r="AI208" s="2">
        <v>50</v>
      </c>
      <c r="AJ208" s="2">
        <v>2</v>
      </c>
      <c r="AK208" s="2" t="s">
        <v>34</v>
      </c>
    </row>
    <row r="209" spans="1:37" x14ac:dyDescent="0.3">
      <c r="A209" s="11">
        <v>6.5437302423603798</v>
      </c>
      <c r="B209" s="11">
        <v>9979.7979797979788</v>
      </c>
      <c r="C209" s="13" t="s">
        <v>34</v>
      </c>
      <c r="D209" s="13" t="s">
        <v>174</v>
      </c>
      <c r="E209" s="13" t="s">
        <v>170</v>
      </c>
      <c r="F209" s="13">
        <v>1</v>
      </c>
      <c r="G209" s="13" t="s">
        <v>34</v>
      </c>
      <c r="H209" s="13" t="s">
        <v>34</v>
      </c>
      <c r="I209" s="13" t="s">
        <v>34</v>
      </c>
      <c r="J209" s="13" t="s">
        <v>34</v>
      </c>
      <c r="K209" s="13" t="s">
        <v>34</v>
      </c>
      <c r="L209" s="13" t="s">
        <v>34</v>
      </c>
      <c r="M209" s="13" t="s">
        <v>34</v>
      </c>
      <c r="N209" s="13" t="s">
        <v>34</v>
      </c>
      <c r="O209" s="13" t="s">
        <v>34</v>
      </c>
      <c r="P209" s="13" t="s">
        <v>34</v>
      </c>
      <c r="Q209" s="13">
        <v>0</v>
      </c>
      <c r="R209" s="13" t="s">
        <v>34</v>
      </c>
      <c r="S209" s="13" t="s">
        <v>34</v>
      </c>
      <c r="T209" s="10" t="s">
        <v>180</v>
      </c>
      <c r="U209" s="10" t="s">
        <v>37</v>
      </c>
      <c r="V209" s="13" t="s">
        <v>38</v>
      </c>
      <c r="W209" s="13" t="s">
        <v>34</v>
      </c>
      <c r="X209" s="13">
        <v>0.33</v>
      </c>
      <c r="Y209" s="13">
        <v>1</v>
      </c>
      <c r="Z209" s="10" t="s">
        <v>181</v>
      </c>
      <c r="AA209" s="13" t="s">
        <v>34</v>
      </c>
      <c r="AB209" s="13" t="s">
        <v>34</v>
      </c>
      <c r="AC209" s="10" t="s">
        <v>182</v>
      </c>
      <c r="AD209" s="13" t="s">
        <v>32</v>
      </c>
      <c r="AE209" s="13">
        <v>6.9900000000000004E-2</v>
      </c>
      <c r="AF209" s="13" t="s">
        <v>178</v>
      </c>
      <c r="AG209" s="13">
        <v>2018</v>
      </c>
      <c r="AH209" s="13" t="s">
        <v>179</v>
      </c>
      <c r="AI209" s="2">
        <v>50</v>
      </c>
      <c r="AJ209" s="2">
        <v>2</v>
      </c>
      <c r="AK209" s="2" t="s">
        <v>34</v>
      </c>
    </row>
    <row r="210" spans="1:37" x14ac:dyDescent="0.3">
      <c r="A210" s="11">
        <v>6.2908324552160098</v>
      </c>
      <c r="B210" s="11">
        <v>9595.9595959595899</v>
      </c>
      <c r="C210" s="13" t="s">
        <v>34</v>
      </c>
      <c r="D210" s="13" t="s">
        <v>174</v>
      </c>
      <c r="E210" s="13" t="s">
        <v>170</v>
      </c>
      <c r="F210" s="13">
        <v>1</v>
      </c>
      <c r="G210" s="13" t="s">
        <v>34</v>
      </c>
      <c r="H210" s="13" t="s">
        <v>34</v>
      </c>
      <c r="I210" s="13" t="s">
        <v>34</v>
      </c>
      <c r="J210" s="13" t="s">
        <v>34</v>
      </c>
      <c r="K210" s="13" t="s">
        <v>34</v>
      </c>
      <c r="L210" s="13" t="s">
        <v>34</v>
      </c>
      <c r="M210" s="13" t="s">
        <v>34</v>
      </c>
      <c r="N210" s="13" t="s">
        <v>34</v>
      </c>
      <c r="O210" s="13" t="s">
        <v>34</v>
      </c>
      <c r="P210" s="13" t="s">
        <v>34</v>
      </c>
      <c r="Q210" s="13">
        <v>0</v>
      </c>
      <c r="R210" s="13" t="s">
        <v>34</v>
      </c>
      <c r="S210" s="13" t="s">
        <v>34</v>
      </c>
      <c r="T210" s="10" t="s">
        <v>180</v>
      </c>
      <c r="U210" s="10" t="s">
        <v>37</v>
      </c>
      <c r="V210" s="13" t="s">
        <v>38</v>
      </c>
      <c r="W210" s="13" t="s">
        <v>34</v>
      </c>
      <c r="X210" s="13">
        <v>0.33</v>
      </c>
      <c r="Y210" s="13">
        <v>1</v>
      </c>
      <c r="Z210" s="10" t="s">
        <v>181</v>
      </c>
      <c r="AA210" s="13" t="s">
        <v>34</v>
      </c>
      <c r="AB210" s="13" t="s">
        <v>34</v>
      </c>
      <c r="AC210" s="10" t="s">
        <v>182</v>
      </c>
      <c r="AD210" s="13" t="s">
        <v>32</v>
      </c>
      <c r="AE210" s="13">
        <v>6.9900000000000004E-2</v>
      </c>
      <c r="AF210" s="13" t="s">
        <v>178</v>
      </c>
      <c r="AG210" s="13">
        <v>2018</v>
      </c>
      <c r="AH210" s="13" t="s">
        <v>179</v>
      </c>
      <c r="AI210" s="2">
        <v>50</v>
      </c>
      <c r="AJ210" s="2">
        <v>2</v>
      </c>
      <c r="AK210" s="2" t="s">
        <v>34</v>
      </c>
    </row>
    <row r="211" spans="1:37" x14ac:dyDescent="0.3">
      <c r="A211" s="11">
        <v>6.2908324552160098</v>
      </c>
      <c r="B211" s="11">
        <v>9111.1111111111113</v>
      </c>
      <c r="C211" s="13" t="s">
        <v>34</v>
      </c>
      <c r="D211" s="13" t="s">
        <v>174</v>
      </c>
      <c r="E211" s="13" t="s">
        <v>170</v>
      </c>
      <c r="F211" s="13">
        <v>1</v>
      </c>
      <c r="G211" s="13" t="s">
        <v>34</v>
      </c>
      <c r="H211" s="13" t="s">
        <v>34</v>
      </c>
      <c r="I211" s="13" t="s">
        <v>34</v>
      </c>
      <c r="J211" s="13" t="s">
        <v>34</v>
      </c>
      <c r="K211" s="13" t="s">
        <v>34</v>
      </c>
      <c r="L211" s="13" t="s">
        <v>34</v>
      </c>
      <c r="M211" s="13" t="s">
        <v>34</v>
      </c>
      <c r="N211" s="13" t="s">
        <v>34</v>
      </c>
      <c r="O211" s="13" t="s">
        <v>34</v>
      </c>
      <c r="P211" s="13" t="s">
        <v>34</v>
      </c>
      <c r="Q211" s="13">
        <v>0</v>
      </c>
      <c r="R211" s="13" t="s">
        <v>34</v>
      </c>
      <c r="S211" s="13" t="s">
        <v>34</v>
      </c>
      <c r="T211" s="10" t="s">
        <v>180</v>
      </c>
      <c r="U211" s="10" t="s">
        <v>37</v>
      </c>
      <c r="V211" s="13" t="s">
        <v>38</v>
      </c>
      <c r="W211" s="13" t="s">
        <v>34</v>
      </c>
      <c r="X211" s="13">
        <v>0.33</v>
      </c>
      <c r="Y211" s="13">
        <v>1</v>
      </c>
      <c r="Z211" s="10" t="s">
        <v>181</v>
      </c>
      <c r="AA211" s="13" t="s">
        <v>34</v>
      </c>
      <c r="AB211" s="13" t="s">
        <v>34</v>
      </c>
      <c r="AC211" s="10" t="s">
        <v>182</v>
      </c>
      <c r="AD211" s="13" t="s">
        <v>32</v>
      </c>
      <c r="AE211" s="13">
        <v>6.9900000000000004E-2</v>
      </c>
      <c r="AF211" s="13" t="s">
        <v>178</v>
      </c>
      <c r="AG211" s="13">
        <v>2018</v>
      </c>
      <c r="AH211" s="13" t="s">
        <v>179</v>
      </c>
      <c r="AI211" s="2">
        <v>50</v>
      </c>
      <c r="AJ211" s="2">
        <v>2</v>
      </c>
      <c r="AK211" s="2" t="s">
        <v>34</v>
      </c>
    </row>
    <row r="212" spans="1:37" x14ac:dyDescent="0.3">
      <c r="A212" s="11">
        <v>10.6533192834562</v>
      </c>
      <c r="B212" s="11">
        <v>10121.2121212121</v>
      </c>
      <c r="C212" s="13" t="s">
        <v>34</v>
      </c>
      <c r="D212" s="13" t="s">
        <v>174</v>
      </c>
      <c r="E212" s="13" t="s">
        <v>170</v>
      </c>
      <c r="F212" s="13">
        <v>1</v>
      </c>
      <c r="G212" s="13" t="s">
        <v>34</v>
      </c>
      <c r="H212" s="13" t="s">
        <v>34</v>
      </c>
      <c r="I212" s="13" t="s">
        <v>34</v>
      </c>
      <c r="J212" s="13" t="s">
        <v>34</v>
      </c>
      <c r="K212" s="13" t="s">
        <v>34</v>
      </c>
      <c r="L212" s="13" t="s">
        <v>34</v>
      </c>
      <c r="M212" s="13" t="s">
        <v>34</v>
      </c>
      <c r="N212" s="13" t="s">
        <v>34</v>
      </c>
      <c r="O212" s="13" t="s">
        <v>34</v>
      </c>
      <c r="P212" s="13" t="s">
        <v>34</v>
      </c>
      <c r="Q212" s="13">
        <v>0</v>
      </c>
      <c r="R212" s="13" t="s">
        <v>34</v>
      </c>
      <c r="S212" s="13" t="s">
        <v>34</v>
      </c>
      <c r="T212" s="10" t="s">
        <v>36</v>
      </c>
      <c r="U212" s="10" t="s">
        <v>37</v>
      </c>
      <c r="V212" s="13" t="s">
        <v>38</v>
      </c>
      <c r="W212" s="10" t="s">
        <v>34</v>
      </c>
      <c r="X212" s="13">
        <v>0.33</v>
      </c>
      <c r="Y212" s="13">
        <v>1</v>
      </c>
      <c r="Z212" s="13" t="s">
        <v>39</v>
      </c>
      <c r="AA212" s="13" t="s">
        <v>34</v>
      </c>
      <c r="AB212" s="13" t="s">
        <v>34</v>
      </c>
      <c r="AC212" s="13" t="s">
        <v>40</v>
      </c>
      <c r="AD212" s="13" t="s">
        <v>32</v>
      </c>
      <c r="AE212" s="13">
        <v>6.9900000000000004E-2</v>
      </c>
      <c r="AF212" s="13" t="s">
        <v>178</v>
      </c>
      <c r="AG212" s="13">
        <v>2018</v>
      </c>
      <c r="AH212" s="13" t="s">
        <v>179</v>
      </c>
      <c r="AI212" s="2">
        <v>50</v>
      </c>
      <c r="AJ212" s="2">
        <v>2</v>
      </c>
      <c r="AK212" s="2" t="s">
        <v>34</v>
      </c>
    </row>
    <row r="213" spans="1:37" x14ac:dyDescent="0.3">
      <c r="A213" s="11">
        <v>11.4436248682824</v>
      </c>
      <c r="B213" s="11">
        <v>10424.2424242424</v>
      </c>
      <c r="C213" s="13" t="s">
        <v>34</v>
      </c>
      <c r="D213" s="13" t="s">
        <v>174</v>
      </c>
      <c r="E213" s="13" t="s">
        <v>170</v>
      </c>
      <c r="F213" s="13">
        <v>1</v>
      </c>
      <c r="G213" s="13" t="s">
        <v>34</v>
      </c>
      <c r="H213" s="13" t="s">
        <v>34</v>
      </c>
      <c r="I213" s="13" t="s">
        <v>34</v>
      </c>
      <c r="J213" s="13" t="s">
        <v>34</v>
      </c>
      <c r="K213" s="13" t="s">
        <v>34</v>
      </c>
      <c r="L213" s="13" t="s">
        <v>34</v>
      </c>
      <c r="M213" s="13" t="s">
        <v>34</v>
      </c>
      <c r="N213" s="13" t="s">
        <v>34</v>
      </c>
      <c r="O213" s="13" t="s">
        <v>34</v>
      </c>
      <c r="P213" s="13" t="s">
        <v>34</v>
      </c>
      <c r="Q213" s="13">
        <v>0</v>
      </c>
      <c r="R213" s="13" t="s">
        <v>34</v>
      </c>
      <c r="S213" s="13" t="s">
        <v>34</v>
      </c>
      <c r="T213" s="10" t="s">
        <v>36</v>
      </c>
      <c r="U213" s="10" t="s">
        <v>37</v>
      </c>
      <c r="V213" s="13" t="s">
        <v>38</v>
      </c>
      <c r="W213" s="10" t="s">
        <v>34</v>
      </c>
      <c r="X213" s="13">
        <v>0.33</v>
      </c>
      <c r="Y213" s="13">
        <v>1</v>
      </c>
      <c r="Z213" s="13" t="s">
        <v>39</v>
      </c>
      <c r="AA213" s="13" t="s">
        <v>34</v>
      </c>
      <c r="AB213" s="13" t="s">
        <v>34</v>
      </c>
      <c r="AC213" s="13" t="s">
        <v>40</v>
      </c>
      <c r="AD213" s="13" t="s">
        <v>32</v>
      </c>
      <c r="AE213" s="13">
        <v>6.9900000000000004E-2</v>
      </c>
      <c r="AF213" s="13" t="s">
        <v>178</v>
      </c>
      <c r="AG213" s="13">
        <v>2018</v>
      </c>
      <c r="AH213" s="13" t="s">
        <v>179</v>
      </c>
      <c r="AI213" s="2">
        <v>50</v>
      </c>
      <c r="AJ213" s="2">
        <v>2</v>
      </c>
      <c r="AK213" s="2" t="s">
        <v>34</v>
      </c>
    </row>
    <row r="214" spans="1:37" x14ac:dyDescent="0.3">
      <c r="A214" s="11">
        <v>14.3835616438356</v>
      </c>
      <c r="B214" s="11">
        <v>10484.848484848399</v>
      </c>
      <c r="C214" s="13" t="s">
        <v>34</v>
      </c>
      <c r="D214" s="13" t="s">
        <v>174</v>
      </c>
      <c r="E214" s="13" t="s">
        <v>170</v>
      </c>
      <c r="F214" s="13">
        <v>1</v>
      </c>
      <c r="G214" s="13" t="s">
        <v>34</v>
      </c>
      <c r="H214" s="13" t="s">
        <v>34</v>
      </c>
      <c r="I214" s="13" t="s">
        <v>34</v>
      </c>
      <c r="J214" s="13" t="s">
        <v>34</v>
      </c>
      <c r="K214" s="13" t="s">
        <v>34</v>
      </c>
      <c r="L214" s="13" t="s">
        <v>34</v>
      </c>
      <c r="M214" s="13" t="s">
        <v>34</v>
      </c>
      <c r="N214" s="13" t="s">
        <v>34</v>
      </c>
      <c r="O214" s="13" t="s">
        <v>34</v>
      </c>
      <c r="P214" s="13" t="s">
        <v>34</v>
      </c>
      <c r="Q214" s="13">
        <v>0</v>
      </c>
      <c r="R214" s="13" t="s">
        <v>34</v>
      </c>
      <c r="S214" s="13" t="s">
        <v>34</v>
      </c>
      <c r="T214" s="10" t="s">
        <v>36</v>
      </c>
      <c r="U214" s="10" t="s">
        <v>37</v>
      </c>
      <c r="V214" s="13" t="s">
        <v>38</v>
      </c>
      <c r="W214" s="10" t="s">
        <v>34</v>
      </c>
      <c r="X214" s="13">
        <v>0.33</v>
      </c>
      <c r="Y214" s="13">
        <v>1</v>
      </c>
      <c r="Z214" s="13" t="s">
        <v>39</v>
      </c>
      <c r="AA214" s="13" t="s">
        <v>34</v>
      </c>
      <c r="AB214" s="13" t="s">
        <v>34</v>
      </c>
      <c r="AC214" s="13" t="s">
        <v>40</v>
      </c>
      <c r="AD214" s="13" t="s">
        <v>32</v>
      </c>
      <c r="AE214" s="13">
        <v>6.9900000000000004E-2</v>
      </c>
      <c r="AF214" s="13" t="s">
        <v>178</v>
      </c>
      <c r="AG214" s="13">
        <v>2018</v>
      </c>
      <c r="AH214" s="13" t="s">
        <v>179</v>
      </c>
      <c r="AI214" s="2">
        <v>50</v>
      </c>
      <c r="AJ214" s="2">
        <v>2</v>
      </c>
      <c r="AK214" s="2" t="s">
        <v>34</v>
      </c>
    </row>
    <row r="215" spans="1:37" x14ac:dyDescent="0.3">
      <c r="A215" s="11">
        <v>5.9430979978925196</v>
      </c>
      <c r="B215" s="11">
        <v>10161.616161616101</v>
      </c>
      <c r="C215" s="13" t="s">
        <v>34</v>
      </c>
      <c r="D215" s="13" t="s">
        <v>174</v>
      </c>
      <c r="E215" s="13" t="s">
        <v>170</v>
      </c>
      <c r="F215" s="13">
        <v>1</v>
      </c>
      <c r="G215" s="13" t="s">
        <v>34</v>
      </c>
      <c r="H215" s="13" t="s">
        <v>34</v>
      </c>
      <c r="I215" s="13" t="s">
        <v>34</v>
      </c>
      <c r="J215" s="13" t="s">
        <v>34</v>
      </c>
      <c r="K215" s="13" t="s">
        <v>34</v>
      </c>
      <c r="L215" s="13" t="s">
        <v>34</v>
      </c>
      <c r="M215" s="13" t="s">
        <v>34</v>
      </c>
      <c r="N215" s="13" t="s">
        <v>34</v>
      </c>
      <c r="O215" s="13" t="s">
        <v>34</v>
      </c>
      <c r="P215" s="13" t="s">
        <v>34</v>
      </c>
      <c r="Q215" s="13">
        <v>0</v>
      </c>
      <c r="R215" s="13" t="s">
        <v>34</v>
      </c>
      <c r="S215" s="13" t="s">
        <v>34</v>
      </c>
      <c r="T215" s="10" t="s">
        <v>36</v>
      </c>
      <c r="U215" s="10" t="s">
        <v>37</v>
      </c>
      <c r="V215" s="13" t="s">
        <v>38</v>
      </c>
      <c r="W215" s="10" t="s">
        <v>34</v>
      </c>
      <c r="X215" s="13">
        <v>0.33</v>
      </c>
      <c r="Y215" s="13">
        <v>1</v>
      </c>
      <c r="Z215" s="13" t="s">
        <v>39</v>
      </c>
      <c r="AA215" s="13" t="s">
        <v>34</v>
      </c>
      <c r="AB215" s="13" t="s">
        <v>34</v>
      </c>
      <c r="AC215" s="13" t="s">
        <v>40</v>
      </c>
      <c r="AD215" s="13" t="s">
        <v>32</v>
      </c>
      <c r="AE215" s="13">
        <v>6.9900000000000004E-2</v>
      </c>
      <c r="AF215" s="13" t="s">
        <v>178</v>
      </c>
      <c r="AG215" s="13">
        <v>2018</v>
      </c>
      <c r="AH215" s="13" t="s">
        <v>179</v>
      </c>
      <c r="AI215" s="2">
        <v>50</v>
      </c>
      <c r="AJ215" s="2">
        <v>2</v>
      </c>
      <c r="AK215" s="2" t="s">
        <v>34</v>
      </c>
    </row>
    <row r="216" spans="1:37" x14ac:dyDescent="0.3">
      <c r="A216" s="11">
        <v>6.13277133825079</v>
      </c>
      <c r="B216" s="11">
        <v>9333.3333333333303</v>
      </c>
      <c r="C216" s="13" t="s">
        <v>34</v>
      </c>
      <c r="D216" s="13" t="s">
        <v>174</v>
      </c>
      <c r="E216" s="13" t="s">
        <v>170</v>
      </c>
      <c r="F216" s="13">
        <v>1</v>
      </c>
      <c r="G216" s="13" t="s">
        <v>34</v>
      </c>
      <c r="H216" s="13" t="s">
        <v>34</v>
      </c>
      <c r="I216" s="13" t="s">
        <v>34</v>
      </c>
      <c r="J216" s="13" t="s">
        <v>34</v>
      </c>
      <c r="K216" s="13" t="s">
        <v>34</v>
      </c>
      <c r="L216" s="13" t="s">
        <v>34</v>
      </c>
      <c r="M216" s="13" t="s">
        <v>34</v>
      </c>
      <c r="N216" s="13" t="s">
        <v>34</v>
      </c>
      <c r="O216" s="13" t="s">
        <v>34</v>
      </c>
      <c r="P216" s="13" t="s">
        <v>34</v>
      </c>
      <c r="Q216" s="13">
        <v>0</v>
      </c>
      <c r="R216" s="13" t="s">
        <v>34</v>
      </c>
      <c r="S216" s="13" t="s">
        <v>34</v>
      </c>
      <c r="T216" s="10" t="s">
        <v>36</v>
      </c>
      <c r="U216" s="10" t="s">
        <v>37</v>
      </c>
      <c r="V216" s="13" t="s">
        <v>38</v>
      </c>
      <c r="W216" s="10" t="s">
        <v>34</v>
      </c>
      <c r="X216" s="13">
        <v>0.33</v>
      </c>
      <c r="Y216" s="13">
        <v>1</v>
      </c>
      <c r="Z216" s="13" t="s">
        <v>39</v>
      </c>
      <c r="AA216" s="13" t="s">
        <v>34</v>
      </c>
      <c r="AB216" s="13" t="s">
        <v>34</v>
      </c>
      <c r="AC216" s="13" t="s">
        <v>40</v>
      </c>
      <c r="AD216" s="13" t="s">
        <v>32</v>
      </c>
      <c r="AE216" s="13">
        <v>6.9900000000000004E-2</v>
      </c>
      <c r="AF216" s="13" t="s">
        <v>178</v>
      </c>
      <c r="AG216" s="13">
        <v>2018</v>
      </c>
      <c r="AH216" s="13" t="s">
        <v>179</v>
      </c>
      <c r="AI216" s="2">
        <v>50</v>
      </c>
      <c r="AJ216" s="2">
        <v>2</v>
      </c>
      <c r="AK216" s="2" t="s">
        <v>34</v>
      </c>
    </row>
    <row r="217" spans="1:37" x14ac:dyDescent="0.3">
      <c r="A217" s="11">
        <v>7.3340358271865096</v>
      </c>
      <c r="B217" s="11">
        <v>8424.2424242424204</v>
      </c>
      <c r="C217" s="13" t="s">
        <v>34</v>
      </c>
      <c r="D217" s="13" t="s">
        <v>174</v>
      </c>
      <c r="E217" s="13" t="s">
        <v>170</v>
      </c>
      <c r="F217" s="13">
        <v>1</v>
      </c>
      <c r="G217" s="13" t="s">
        <v>34</v>
      </c>
      <c r="H217" s="13" t="s">
        <v>34</v>
      </c>
      <c r="I217" s="13" t="s">
        <v>34</v>
      </c>
      <c r="J217" s="13" t="s">
        <v>34</v>
      </c>
      <c r="K217" s="13" t="s">
        <v>34</v>
      </c>
      <c r="L217" s="13" t="s">
        <v>34</v>
      </c>
      <c r="M217" s="13" t="s">
        <v>34</v>
      </c>
      <c r="N217" s="13" t="s">
        <v>34</v>
      </c>
      <c r="O217" s="13" t="s">
        <v>34</v>
      </c>
      <c r="P217" s="13" t="s">
        <v>34</v>
      </c>
      <c r="Q217" s="13">
        <v>0</v>
      </c>
      <c r="R217" s="13" t="s">
        <v>34</v>
      </c>
      <c r="S217" s="13" t="s">
        <v>34</v>
      </c>
      <c r="T217" s="10" t="s">
        <v>36</v>
      </c>
      <c r="U217" s="10" t="s">
        <v>37</v>
      </c>
      <c r="V217" s="13" t="s">
        <v>38</v>
      </c>
      <c r="W217" s="10" t="s">
        <v>34</v>
      </c>
      <c r="X217" s="13">
        <v>0.33</v>
      </c>
      <c r="Y217" s="13">
        <v>1</v>
      </c>
      <c r="Z217" s="13" t="s">
        <v>39</v>
      </c>
      <c r="AA217" s="13" t="s">
        <v>34</v>
      </c>
      <c r="AB217" s="13" t="s">
        <v>34</v>
      </c>
      <c r="AC217" s="13" t="s">
        <v>40</v>
      </c>
      <c r="AD217" s="13" t="s">
        <v>32</v>
      </c>
      <c r="AE217" s="13">
        <v>6.9900000000000004E-2</v>
      </c>
      <c r="AF217" s="13" t="s">
        <v>178</v>
      </c>
      <c r="AG217" s="13">
        <v>2018</v>
      </c>
      <c r="AH217" s="13" t="s">
        <v>179</v>
      </c>
      <c r="AI217" s="2">
        <v>50</v>
      </c>
      <c r="AJ217" s="2">
        <v>2</v>
      </c>
      <c r="AK217" s="2" t="s">
        <v>34</v>
      </c>
    </row>
    <row r="218" spans="1:37" x14ac:dyDescent="0.3">
      <c r="A218" s="11">
        <v>6.8598524762908299</v>
      </c>
      <c r="B218" s="11">
        <v>9959.5959595959594</v>
      </c>
      <c r="C218" s="13" t="s">
        <v>34</v>
      </c>
      <c r="D218" s="13" t="s">
        <v>174</v>
      </c>
      <c r="E218" s="13" t="s">
        <v>170</v>
      </c>
      <c r="F218" s="13">
        <v>1</v>
      </c>
      <c r="G218" s="13" t="s">
        <v>34</v>
      </c>
      <c r="H218" s="13" t="s">
        <v>34</v>
      </c>
      <c r="I218" s="13" t="s">
        <v>34</v>
      </c>
      <c r="J218" s="13" t="s">
        <v>34</v>
      </c>
      <c r="K218" s="13" t="s">
        <v>34</v>
      </c>
      <c r="L218" s="13" t="s">
        <v>34</v>
      </c>
      <c r="M218" s="13" t="s">
        <v>34</v>
      </c>
      <c r="N218" s="13" t="s">
        <v>34</v>
      </c>
      <c r="O218" s="13" t="s">
        <v>34</v>
      </c>
      <c r="P218" s="13" t="s">
        <v>34</v>
      </c>
      <c r="Q218" s="13">
        <v>0</v>
      </c>
      <c r="R218" s="13" t="s">
        <v>34</v>
      </c>
      <c r="S218" s="13" t="s">
        <v>34</v>
      </c>
      <c r="T218" s="10" t="s">
        <v>183</v>
      </c>
      <c r="U218" s="10" t="s">
        <v>50</v>
      </c>
      <c r="V218" s="10" t="s">
        <v>38</v>
      </c>
      <c r="W218" s="10" t="s">
        <v>34</v>
      </c>
      <c r="X218" s="13">
        <v>0.33</v>
      </c>
      <c r="Y218" s="13">
        <v>1</v>
      </c>
      <c r="Z218" s="10" t="s">
        <v>177</v>
      </c>
      <c r="AA218" s="10" t="s">
        <v>34</v>
      </c>
      <c r="AB218" s="13" t="s">
        <v>34</v>
      </c>
      <c r="AC218" s="10" t="s">
        <v>184</v>
      </c>
      <c r="AD218" s="13" t="s">
        <v>32</v>
      </c>
      <c r="AE218" s="13">
        <v>6.9900000000000004E-2</v>
      </c>
      <c r="AF218" s="13" t="s">
        <v>178</v>
      </c>
      <c r="AG218" s="13">
        <v>2018</v>
      </c>
      <c r="AH218" s="13" t="s">
        <v>179</v>
      </c>
      <c r="AI218" s="2">
        <v>50</v>
      </c>
      <c r="AJ218" s="2">
        <v>2</v>
      </c>
      <c r="AK218" s="2" t="s">
        <v>34</v>
      </c>
    </row>
    <row r="219" spans="1:37" x14ac:dyDescent="0.3">
      <c r="A219" s="11">
        <v>6.3540569020020996</v>
      </c>
      <c r="B219" s="11">
        <v>8949.4949494949506</v>
      </c>
      <c r="C219" s="13" t="s">
        <v>34</v>
      </c>
      <c r="D219" s="13" t="s">
        <v>174</v>
      </c>
      <c r="E219" s="13" t="s">
        <v>170</v>
      </c>
      <c r="F219" s="13">
        <v>1</v>
      </c>
      <c r="G219" s="13" t="s">
        <v>34</v>
      </c>
      <c r="H219" s="13" t="s">
        <v>34</v>
      </c>
      <c r="I219" s="13" t="s">
        <v>34</v>
      </c>
      <c r="J219" s="13" t="s">
        <v>34</v>
      </c>
      <c r="K219" s="13" t="s">
        <v>34</v>
      </c>
      <c r="L219" s="13" t="s">
        <v>34</v>
      </c>
      <c r="M219" s="13" t="s">
        <v>34</v>
      </c>
      <c r="N219" s="13" t="s">
        <v>34</v>
      </c>
      <c r="O219" s="13" t="s">
        <v>34</v>
      </c>
      <c r="P219" s="13" t="s">
        <v>34</v>
      </c>
      <c r="Q219" s="13">
        <v>0</v>
      </c>
      <c r="R219" s="13" t="s">
        <v>34</v>
      </c>
      <c r="S219" s="13" t="s">
        <v>34</v>
      </c>
      <c r="T219" s="10" t="s">
        <v>183</v>
      </c>
      <c r="U219" s="10" t="s">
        <v>50</v>
      </c>
      <c r="V219" s="10" t="s">
        <v>38</v>
      </c>
      <c r="W219" s="10" t="s">
        <v>34</v>
      </c>
      <c r="X219" s="13">
        <v>0.33</v>
      </c>
      <c r="Y219" s="13">
        <v>1</v>
      </c>
      <c r="Z219" s="10" t="s">
        <v>177</v>
      </c>
      <c r="AA219" s="10" t="s">
        <v>34</v>
      </c>
      <c r="AB219" s="13" t="s">
        <v>34</v>
      </c>
      <c r="AC219" s="10" t="s">
        <v>184</v>
      </c>
      <c r="AD219" s="13" t="s">
        <v>32</v>
      </c>
      <c r="AE219" s="13">
        <v>6.9900000000000004E-2</v>
      </c>
      <c r="AF219" s="13" t="s">
        <v>178</v>
      </c>
      <c r="AG219" s="13">
        <v>2018</v>
      </c>
      <c r="AH219" s="13" t="s">
        <v>179</v>
      </c>
      <c r="AI219" s="2">
        <v>50</v>
      </c>
      <c r="AJ219" s="2">
        <v>2</v>
      </c>
      <c r="AK219" s="2" t="s">
        <v>34</v>
      </c>
    </row>
    <row r="220" spans="1:37" s="15" customFormat="1" ht="16.2" thickBot="1" x14ac:dyDescent="0.35">
      <c r="A220" s="17">
        <v>6.4488935721812402</v>
      </c>
      <c r="B220" s="17">
        <v>8787.8787878787807</v>
      </c>
      <c r="C220" s="18" t="s">
        <v>34</v>
      </c>
      <c r="D220" s="18" t="s">
        <v>174</v>
      </c>
      <c r="E220" s="18" t="s">
        <v>170</v>
      </c>
      <c r="F220" s="18">
        <v>1</v>
      </c>
      <c r="G220" s="18" t="s">
        <v>34</v>
      </c>
      <c r="H220" s="18" t="s">
        <v>34</v>
      </c>
      <c r="I220" s="18" t="s">
        <v>34</v>
      </c>
      <c r="J220" s="18" t="s">
        <v>34</v>
      </c>
      <c r="K220" s="18" t="s">
        <v>34</v>
      </c>
      <c r="L220" s="18" t="s">
        <v>34</v>
      </c>
      <c r="M220" s="18" t="s">
        <v>34</v>
      </c>
      <c r="N220" s="18" t="s">
        <v>34</v>
      </c>
      <c r="O220" s="18" t="s">
        <v>34</v>
      </c>
      <c r="P220" s="18" t="s">
        <v>34</v>
      </c>
      <c r="Q220" s="18">
        <v>0</v>
      </c>
      <c r="R220" s="18" t="s">
        <v>34</v>
      </c>
      <c r="S220" s="18" t="s">
        <v>34</v>
      </c>
      <c r="T220" s="14" t="s">
        <v>183</v>
      </c>
      <c r="U220" s="14" t="s">
        <v>50</v>
      </c>
      <c r="V220" s="14" t="s">
        <v>38</v>
      </c>
      <c r="W220" s="14" t="s">
        <v>34</v>
      </c>
      <c r="X220" s="18">
        <v>0.33</v>
      </c>
      <c r="Y220" s="18">
        <v>1</v>
      </c>
      <c r="Z220" s="14" t="s">
        <v>177</v>
      </c>
      <c r="AA220" s="14" t="s">
        <v>34</v>
      </c>
      <c r="AB220" s="18" t="s">
        <v>34</v>
      </c>
      <c r="AC220" s="14" t="s">
        <v>184</v>
      </c>
      <c r="AD220" s="18" t="s">
        <v>32</v>
      </c>
      <c r="AE220" s="18">
        <v>6.9900000000000004E-2</v>
      </c>
      <c r="AF220" s="18" t="s">
        <v>178</v>
      </c>
      <c r="AG220" s="18">
        <v>2018</v>
      </c>
      <c r="AH220" s="18" t="s">
        <v>179</v>
      </c>
      <c r="AI220" s="62">
        <v>50</v>
      </c>
      <c r="AJ220" s="34">
        <v>2</v>
      </c>
      <c r="AK220" s="34" t="s">
        <v>34</v>
      </c>
    </row>
    <row r="221" spans="1:37" x14ac:dyDescent="0.3">
      <c r="A221" s="12">
        <v>2.9870283018867898</v>
      </c>
      <c r="B221" s="12">
        <v>203.54906054279701</v>
      </c>
      <c r="C221" s="13" t="s">
        <v>33</v>
      </c>
      <c r="D221" s="13" t="s">
        <v>35</v>
      </c>
      <c r="E221" s="13" t="s">
        <v>170</v>
      </c>
      <c r="F221" s="13">
        <v>0.61</v>
      </c>
      <c r="G221" s="13">
        <v>0.72</v>
      </c>
      <c r="H221" s="13">
        <v>0.67</v>
      </c>
      <c r="I221" s="13">
        <v>0.73</v>
      </c>
      <c r="J221" s="13">
        <v>1.21</v>
      </c>
      <c r="K221" s="13">
        <v>1.02</v>
      </c>
      <c r="L221" s="13">
        <v>0</v>
      </c>
      <c r="M221" s="13">
        <v>64.599999999999994</v>
      </c>
      <c r="N221" s="13" t="s">
        <v>34</v>
      </c>
      <c r="O221" s="13">
        <v>0.74</v>
      </c>
      <c r="P221" s="13">
        <v>0.51</v>
      </c>
      <c r="Q221" s="13" t="s">
        <v>34</v>
      </c>
      <c r="R221" s="13">
        <v>2.65</v>
      </c>
      <c r="S221" s="13">
        <f>1.01*10^-3</f>
        <v>1.01E-3</v>
      </c>
      <c r="T221" s="13" t="s">
        <v>36</v>
      </c>
      <c r="U221" s="13" t="s">
        <v>37</v>
      </c>
      <c r="V221" s="13" t="s">
        <v>162</v>
      </c>
      <c r="W221" s="13">
        <v>4</v>
      </c>
      <c r="X221" s="13">
        <v>0.3</v>
      </c>
      <c r="Y221" s="13">
        <v>1</v>
      </c>
      <c r="Z221" s="13" t="s">
        <v>200</v>
      </c>
      <c r="AA221" s="13">
        <v>0.3</v>
      </c>
      <c r="AB221" s="13" t="s">
        <v>34</v>
      </c>
      <c r="AC221" s="13" t="s">
        <v>40</v>
      </c>
      <c r="AD221" s="13" t="s">
        <v>32</v>
      </c>
      <c r="AE221" s="13">
        <v>0.76649999999999996</v>
      </c>
      <c r="AF221" s="13" t="s">
        <v>201</v>
      </c>
      <c r="AG221" s="13">
        <v>2020</v>
      </c>
      <c r="AH221" s="13" t="s">
        <v>202</v>
      </c>
      <c r="AI221" s="2">
        <v>50</v>
      </c>
      <c r="AJ221" s="2">
        <v>2</v>
      </c>
      <c r="AK221" s="2" t="s">
        <v>34</v>
      </c>
    </row>
    <row r="222" spans="1:37" x14ac:dyDescent="0.3">
      <c r="A222" s="11">
        <v>3.4380896226414999</v>
      </c>
      <c r="B222" s="11">
        <v>234.86430062630399</v>
      </c>
      <c r="C222" s="13" t="s">
        <v>33</v>
      </c>
      <c r="D222" s="13" t="s">
        <v>35</v>
      </c>
      <c r="E222" s="13" t="s">
        <v>170</v>
      </c>
      <c r="F222" s="10">
        <v>0.61</v>
      </c>
      <c r="G222" s="10">
        <v>0.72</v>
      </c>
      <c r="H222" s="13">
        <v>0.67</v>
      </c>
      <c r="I222" s="13">
        <v>0.73</v>
      </c>
      <c r="J222" s="13">
        <v>1.21</v>
      </c>
      <c r="K222" s="13">
        <v>1.02</v>
      </c>
      <c r="L222" s="13">
        <v>0</v>
      </c>
      <c r="M222" s="13">
        <v>64.599999999999994</v>
      </c>
      <c r="N222" s="13" t="s">
        <v>34</v>
      </c>
      <c r="O222" s="13">
        <v>0.74</v>
      </c>
      <c r="P222" s="13">
        <v>0.51</v>
      </c>
      <c r="Q222" s="13" t="s">
        <v>34</v>
      </c>
      <c r="R222" s="13">
        <v>2.65</v>
      </c>
      <c r="S222" s="13">
        <f t="shared" ref="S222:S244" si="3">1.01*10^-3</f>
        <v>1.01E-3</v>
      </c>
      <c r="T222" s="10" t="s">
        <v>36</v>
      </c>
      <c r="U222" s="13" t="s">
        <v>37</v>
      </c>
      <c r="V222" s="13" t="s">
        <v>162</v>
      </c>
      <c r="W222" s="10">
        <v>4</v>
      </c>
      <c r="X222" s="13">
        <v>0.3</v>
      </c>
      <c r="Y222" s="13">
        <v>1</v>
      </c>
      <c r="Z222" s="13" t="s">
        <v>200</v>
      </c>
      <c r="AA222" s="13">
        <v>0.3</v>
      </c>
      <c r="AB222" s="13" t="s">
        <v>34</v>
      </c>
      <c r="AC222" s="13" t="s">
        <v>40</v>
      </c>
      <c r="AD222" s="13" t="s">
        <v>32</v>
      </c>
      <c r="AE222" s="13">
        <v>0.76649999999999996</v>
      </c>
      <c r="AF222" s="13" t="s">
        <v>201</v>
      </c>
      <c r="AG222" s="13">
        <v>2020</v>
      </c>
      <c r="AH222" s="13" t="s">
        <v>202</v>
      </c>
      <c r="AI222" s="2">
        <v>50</v>
      </c>
      <c r="AJ222" s="2">
        <v>2</v>
      </c>
      <c r="AK222" s="2" t="s">
        <v>34</v>
      </c>
    </row>
    <row r="223" spans="1:37" x14ac:dyDescent="0.3">
      <c r="A223" s="11">
        <v>4.0896226415094299</v>
      </c>
      <c r="B223" s="11">
        <v>224.425887265135</v>
      </c>
      <c r="C223" s="13" t="s">
        <v>33</v>
      </c>
      <c r="D223" s="13" t="s">
        <v>35</v>
      </c>
      <c r="E223" s="13" t="s">
        <v>170</v>
      </c>
      <c r="F223" s="10">
        <v>0.61</v>
      </c>
      <c r="G223" s="10">
        <v>0.72</v>
      </c>
      <c r="H223" s="13">
        <v>0.67</v>
      </c>
      <c r="I223" s="13">
        <v>0.73</v>
      </c>
      <c r="J223" s="13">
        <v>1.21</v>
      </c>
      <c r="K223" s="13">
        <v>1.02</v>
      </c>
      <c r="L223" s="13">
        <v>0</v>
      </c>
      <c r="M223" s="13">
        <v>64.599999999999994</v>
      </c>
      <c r="N223" s="13" t="s">
        <v>34</v>
      </c>
      <c r="O223" s="13">
        <v>0.74</v>
      </c>
      <c r="P223" s="13">
        <v>0.51</v>
      </c>
      <c r="Q223" s="13" t="s">
        <v>34</v>
      </c>
      <c r="R223" s="13">
        <v>2.65</v>
      </c>
      <c r="S223" s="13">
        <f t="shared" si="3"/>
        <v>1.01E-3</v>
      </c>
      <c r="T223" s="10" t="s">
        <v>36</v>
      </c>
      <c r="U223" s="13" t="s">
        <v>37</v>
      </c>
      <c r="V223" s="13" t="s">
        <v>162</v>
      </c>
      <c r="W223" s="10">
        <v>4</v>
      </c>
      <c r="X223" s="13">
        <v>0.3</v>
      </c>
      <c r="Y223" s="13">
        <v>1</v>
      </c>
      <c r="Z223" s="13" t="s">
        <v>200</v>
      </c>
      <c r="AA223" s="13">
        <v>0.3</v>
      </c>
      <c r="AB223" s="13" t="s">
        <v>34</v>
      </c>
      <c r="AC223" s="13" t="s">
        <v>40</v>
      </c>
      <c r="AD223" s="13" t="s">
        <v>32</v>
      </c>
      <c r="AE223" s="13">
        <v>0.76649999999999996</v>
      </c>
      <c r="AF223" s="13" t="s">
        <v>201</v>
      </c>
      <c r="AG223" s="13">
        <v>2020</v>
      </c>
      <c r="AH223" s="13" t="s">
        <v>202</v>
      </c>
      <c r="AI223" s="2">
        <v>50</v>
      </c>
      <c r="AJ223" s="2">
        <v>2</v>
      </c>
      <c r="AK223" s="2" t="s">
        <v>34</v>
      </c>
    </row>
    <row r="224" spans="1:37" x14ac:dyDescent="0.3">
      <c r="A224" s="11">
        <v>5.0719339622641497</v>
      </c>
      <c r="B224" s="11">
        <v>754.17536534446799</v>
      </c>
      <c r="C224" s="13" t="s">
        <v>33</v>
      </c>
      <c r="D224" s="13" t="s">
        <v>35</v>
      </c>
      <c r="E224" s="13" t="s">
        <v>170</v>
      </c>
      <c r="F224" s="10">
        <v>0.61</v>
      </c>
      <c r="G224" s="10">
        <v>0.72</v>
      </c>
      <c r="H224" s="13">
        <v>0.67</v>
      </c>
      <c r="I224" s="13">
        <v>0.73</v>
      </c>
      <c r="J224" s="13">
        <v>1.21</v>
      </c>
      <c r="K224" s="13">
        <v>1.02</v>
      </c>
      <c r="L224" s="13">
        <v>0</v>
      </c>
      <c r="M224" s="13">
        <v>64.599999999999994</v>
      </c>
      <c r="N224" s="13" t="s">
        <v>34</v>
      </c>
      <c r="O224" s="13">
        <v>0.74</v>
      </c>
      <c r="P224" s="13">
        <v>0.51</v>
      </c>
      <c r="Q224" s="13" t="s">
        <v>34</v>
      </c>
      <c r="R224" s="13">
        <v>2.65</v>
      </c>
      <c r="S224" s="13">
        <f t="shared" si="3"/>
        <v>1.01E-3</v>
      </c>
      <c r="T224" s="10" t="s">
        <v>36</v>
      </c>
      <c r="U224" s="13" t="s">
        <v>37</v>
      </c>
      <c r="V224" s="13" t="s">
        <v>162</v>
      </c>
      <c r="W224" s="10">
        <v>8</v>
      </c>
      <c r="X224" s="13">
        <v>0.3</v>
      </c>
      <c r="Y224" s="13">
        <v>1</v>
      </c>
      <c r="Z224" s="13" t="s">
        <v>200</v>
      </c>
      <c r="AA224" s="13">
        <v>0.3</v>
      </c>
      <c r="AB224" s="13" t="s">
        <v>34</v>
      </c>
      <c r="AC224" s="13" t="s">
        <v>40</v>
      </c>
      <c r="AD224" s="13" t="s">
        <v>32</v>
      </c>
      <c r="AE224" s="13">
        <v>0.76649999999999996</v>
      </c>
      <c r="AF224" s="13" t="s">
        <v>201</v>
      </c>
      <c r="AG224" s="13">
        <v>2020</v>
      </c>
      <c r="AH224" s="13" t="s">
        <v>202</v>
      </c>
      <c r="AI224" s="2">
        <v>50</v>
      </c>
      <c r="AJ224" s="2">
        <v>2</v>
      </c>
      <c r="AK224" s="2" t="s">
        <v>34</v>
      </c>
    </row>
    <row r="225" spans="1:37" x14ac:dyDescent="0.3">
      <c r="A225" s="11">
        <v>6.0642688679245298</v>
      </c>
      <c r="B225" s="11">
        <v>822.02505219206705</v>
      </c>
      <c r="C225" s="13" t="s">
        <v>33</v>
      </c>
      <c r="D225" s="13" t="s">
        <v>35</v>
      </c>
      <c r="E225" s="13" t="s">
        <v>170</v>
      </c>
      <c r="F225" s="10">
        <v>0.61</v>
      </c>
      <c r="G225" s="10">
        <v>0.72</v>
      </c>
      <c r="H225" s="13">
        <v>0.67</v>
      </c>
      <c r="I225" s="13">
        <v>0.73</v>
      </c>
      <c r="J225" s="13">
        <v>1.21</v>
      </c>
      <c r="K225" s="13">
        <v>1.02</v>
      </c>
      <c r="L225" s="13">
        <v>0</v>
      </c>
      <c r="M225" s="13">
        <v>64.599999999999994</v>
      </c>
      <c r="N225" s="13" t="s">
        <v>34</v>
      </c>
      <c r="O225" s="13">
        <v>0.74</v>
      </c>
      <c r="P225" s="13">
        <v>0.51</v>
      </c>
      <c r="Q225" s="13" t="s">
        <v>34</v>
      </c>
      <c r="R225" s="13">
        <v>2.65</v>
      </c>
      <c r="S225" s="13">
        <f t="shared" si="3"/>
        <v>1.01E-3</v>
      </c>
      <c r="T225" s="10" t="s">
        <v>36</v>
      </c>
      <c r="U225" s="13" t="s">
        <v>37</v>
      </c>
      <c r="V225" s="13" t="s">
        <v>162</v>
      </c>
      <c r="W225" s="10">
        <v>8</v>
      </c>
      <c r="X225" s="13">
        <v>0.3</v>
      </c>
      <c r="Y225" s="13">
        <v>1</v>
      </c>
      <c r="Z225" s="13" t="s">
        <v>200</v>
      </c>
      <c r="AA225" s="13">
        <v>0.3</v>
      </c>
      <c r="AB225" s="13" t="s">
        <v>34</v>
      </c>
      <c r="AC225" s="13" t="s">
        <v>40</v>
      </c>
      <c r="AD225" s="13" t="s">
        <v>32</v>
      </c>
      <c r="AE225" s="13">
        <v>0.76649999999999996</v>
      </c>
      <c r="AF225" s="13" t="s">
        <v>201</v>
      </c>
      <c r="AG225" s="13">
        <v>2020</v>
      </c>
      <c r="AH225" s="13" t="s">
        <v>202</v>
      </c>
      <c r="AI225" s="2">
        <v>50</v>
      </c>
      <c r="AJ225" s="2">
        <v>2</v>
      </c>
      <c r="AK225" s="2" t="s">
        <v>34</v>
      </c>
    </row>
    <row r="226" spans="1:37" x14ac:dyDescent="0.3">
      <c r="A226" s="11">
        <v>5.8337264150943398</v>
      </c>
      <c r="B226" s="11">
        <v>649.79123173277696</v>
      </c>
      <c r="C226" s="13" t="s">
        <v>33</v>
      </c>
      <c r="D226" s="13" t="s">
        <v>35</v>
      </c>
      <c r="E226" s="13" t="s">
        <v>170</v>
      </c>
      <c r="F226" s="10">
        <v>0.61</v>
      </c>
      <c r="G226" s="10">
        <v>0.72</v>
      </c>
      <c r="H226" s="13">
        <v>0.67</v>
      </c>
      <c r="I226" s="13">
        <v>0.73</v>
      </c>
      <c r="J226" s="13">
        <v>1.21</v>
      </c>
      <c r="K226" s="13">
        <v>1.02</v>
      </c>
      <c r="L226" s="13">
        <v>0</v>
      </c>
      <c r="M226" s="13">
        <v>64.599999999999994</v>
      </c>
      <c r="N226" s="13" t="s">
        <v>34</v>
      </c>
      <c r="O226" s="13">
        <v>0.74</v>
      </c>
      <c r="P226" s="13">
        <v>0.51</v>
      </c>
      <c r="Q226" s="13" t="s">
        <v>34</v>
      </c>
      <c r="R226" s="13">
        <v>2.65</v>
      </c>
      <c r="S226" s="13">
        <f t="shared" si="3"/>
        <v>1.01E-3</v>
      </c>
      <c r="T226" s="10" t="s">
        <v>36</v>
      </c>
      <c r="U226" s="13" t="s">
        <v>37</v>
      </c>
      <c r="V226" s="13" t="s">
        <v>162</v>
      </c>
      <c r="W226" s="10">
        <v>8</v>
      </c>
      <c r="X226" s="13">
        <v>0.3</v>
      </c>
      <c r="Y226" s="13">
        <v>1</v>
      </c>
      <c r="Z226" s="13" t="s">
        <v>200</v>
      </c>
      <c r="AA226" s="13">
        <v>0.3</v>
      </c>
      <c r="AB226" s="13" t="s">
        <v>34</v>
      </c>
      <c r="AC226" s="13" t="s">
        <v>40</v>
      </c>
      <c r="AD226" s="13" t="s">
        <v>32</v>
      </c>
      <c r="AE226" s="13">
        <v>0.76649999999999996</v>
      </c>
      <c r="AF226" s="13" t="s">
        <v>201</v>
      </c>
      <c r="AG226" s="13">
        <v>2020</v>
      </c>
      <c r="AH226" s="13" t="s">
        <v>202</v>
      </c>
      <c r="AI226" s="2">
        <v>50</v>
      </c>
      <c r="AJ226" s="2">
        <v>2</v>
      </c>
      <c r="AK226" s="2" t="s">
        <v>34</v>
      </c>
    </row>
    <row r="227" spans="1:37" x14ac:dyDescent="0.3">
      <c r="A227" s="11">
        <v>9.3419811320754693</v>
      </c>
      <c r="B227" s="11">
        <v>1477.0354906054199</v>
      </c>
      <c r="C227" s="13" t="s">
        <v>33</v>
      </c>
      <c r="D227" s="13" t="s">
        <v>35</v>
      </c>
      <c r="E227" s="13" t="s">
        <v>170</v>
      </c>
      <c r="F227" s="10">
        <v>0.61</v>
      </c>
      <c r="G227" s="10">
        <v>0.72</v>
      </c>
      <c r="H227" s="13">
        <v>0.67</v>
      </c>
      <c r="I227" s="13">
        <v>0.73</v>
      </c>
      <c r="J227" s="13">
        <v>1.21</v>
      </c>
      <c r="K227" s="13">
        <v>1.02</v>
      </c>
      <c r="L227" s="13">
        <v>0</v>
      </c>
      <c r="M227" s="13">
        <v>64.599999999999994</v>
      </c>
      <c r="N227" s="13" t="s">
        <v>34</v>
      </c>
      <c r="O227" s="13">
        <v>0.74</v>
      </c>
      <c r="P227" s="13">
        <v>0.51</v>
      </c>
      <c r="Q227" s="13" t="s">
        <v>34</v>
      </c>
      <c r="R227" s="13">
        <v>2.65</v>
      </c>
      <c r="S227" s="13">
        <f t="shared" si="3"/>
        <v>1.01E-3</v>
      </c>
      <c r="T227" s="10" t="s">
        <v>36</v>
      </c>
      <c r="U227" s="13" t="s">
        <v>37</v>
      </c>
      <c r="V227" s="13" t="s">
        <v>162</v>
      </c>
      <c r="W227" s="10">
        <v>12</v>
      </c>
      <c r="X227" s="13">
        <v>0.3</v>
      </c>
      <c r="Y227" s="13">
        <v>1</v>
      </c>
      <c r="Z227" s="13" t="s">
        <v>200</v>
      </c>
      <c r="AA227" s="13">
        <v>0.3</v>
      </c>
      <c r="AB227" s="13" t="s">
        <v>34</v>
      </c>
      <c r="AC227" s="13" t="s">
        <v>40</v>
      </c>
      <c r="AD227" s="13" t="s">
        <v>32</v>
      </c>
      <c r="AE227" s="13">
        <v>0.76649999999999996</v>
      </c>
      <c r="AF227" s="13" t="s">
        <v>201</v>
      </c>
      <c r="AG227" s="13">
        <v>2020</v>
      </c>
      <c r="AH227" s="13" t="s">
        <v>202</v>
      </c>
      <c r="AI227" s="2">
        <v>50</v>
      </c>
      <c r="AJ227" s="2">
        <v>2</v>
      </c>
      <c r="AK227" s="2" t="s">
        <v>34</v>
      </c>
    </row>
    <row r="228" spans="1:37" x14ac:dyDescent="0.3">
      <c r="A228" s="11">
        <v>10.885613207547101</v>
      </c>
      <c r="B228" s="11">
        <v>1649.2693110647101</v>
      </c>
      <c r="C228" s="13" t="s">
        <v>33</v>
      </c>
      <c r="D228" s="13" t="s">
        <v>35</v>
      </c>
      <c r="E228" s="13" t="s">
        <v>170</v>
      </c>
      <c r="F228" s="10">
        <v>0.61</v>
      </c>
      <c r="G228" s="10">
        <v>0.72</v>
      </c>
      <c r="H228" s="13">
        <v>0.67</v>
      </c>
      <c r="I228" s="13">
        <v>0.73</v>
      </c>
      <c r="J228" s="13">
        <v>1.21</v>
      </c>
      <c r="K228" s="13">
        <v>1.02</v>
      </c>
      <c r="L228" s="13">
        <v>0</v>
      </c>
      <c r="M228" s="13">
        <v>64.599999999999994</v>
      </c>
      <c r="N228" s="13" t="s">
        <v>34</v>
      </c>
      <c r="O228" s="13">
        <v>0.74</v>
      </c>
      <c r="P228" s="13">
        <v>0.51</v>
      </c>
      <c r="Q228" s="13" t="s">
        <v>34</v>
      </c>
      <c r="R228" s="13">
        <v>2.65</v>
      </c>
      <c r="S228" s="13">
        <f t="shared" si="3"/>
        <v>1.01E-3</v>
      </c>
      <c r="T228" s="10" t="s">
        <v>36</v>
      </c>
      <c r="U228" s="13" t="s">
        <v>37</v>
      </c>
      <c r="V228" s="13" t="s">
        <v>162</v>
      </c>
      <c r="W228" s="10">
        <v>12</v>
      </c>
      <c r="X228" s="13">
        <v>0.3</v>
      </c>
      <c r="Y228" s="13">
        <v>1</v>
      </c>
      <c r="Z228" s="13" t="s">
        <v>200</v>
      </c>
      <c r="AA228" s="13">
        <v>0.3</v>
      </c>
      <c r="AB228" s="13" t="s">
        <v>34</v>
      </c>
      <c r="AC228" s="13" t="s">
        <v>40</v>
      </c>
      <c r="AD228" s="13" t="s">
        <v>32</v>
      </c>
      <c r="AE228" s="13">
        <v>0.76649999999999996</v>
      </c>
      <c r="AF228" s="13" t="s">
        <v>201</v>
      </c>
      <c r="AG228" s="13">
        <v>2020</v>
      </c>
      <c r="AH228" s="13" t="s">
        <v>202</v>
      </c>
      <c r="AI228" s="2">
        <v>50</v>
      </c>
      <c r="AJ228" s="2">
        <v>2</v>
      </c>
      <c r="AK228" s="2" t="s">
        <v>34</v>
      </c>
    </row>
    <row r="229" spans="1:37" x14ac:dyDescent="0.3">
      <c r="A229" s="11">
        <v>12.850235849056601</v>
      </c>
      <c r="B229" s="11">
        <v>1858.0375782880999</v>
      </c>
      <c r="C229" s="13" t="s">
        <v>33</v>
      </c>
      <c r="D229" s="13" t="s">
        <v>35</v>
      </c>
      <c r="E229" s="13" t="s">
        <v>170</v>
      </c>
      <c r="F229" s="10">
        <v>0.61</v>
      </c>
      <c r="G229" s="10">
        <v>0.72</v>
      </c>
      <c r="H229" s="13">
        <v>0.67</v>
      </c>
      <c r="I229" s="13">
        <v>0.73</v>
      </c>
      <c r="J229" s="13">
        <v>1.21</v>
      </c>
      <c r="K229" s="13">
        <v>1.02</v>
      </c>
      <c r="L229" s="13">
        <v>0</v>
      </c>
      <c r="M229" s="13">
        <v>64.599999999999994</v>
      </c>
      <c r="N229" s="13" t="s">
        <v>34</v>
      </c>
      <c r="O229" s="13">
        <v>0.74</v>
      </c>
      <c r="P229" s="13">
        <v>0.51</v>
      </c>
      <c r="Q229" s="13" t="s">
        <v>34</v>
      </c>
      <c r="R229" s="13">
        <v>2.65</v>
      </c>
      <c r="S229" s="13">
        <f t="shared" si="3"/>
        <v>1.01E-3</v>
      </c>
      <c r="T229" s="10" t="s">
        <v>36</v>
      </c>
      <c r="U229" s="13" t="s">
        <v>37</v>
      </c>
      <c r="V229" s="13" t="s">
        <v>162</v>
      </c>
      <c r="W229" s="10">
        <v>12</v>
      </c>
      <c r="X229" s="13">
        <v>0.3</v>
      </c>
      <c r="Y229" s="13">
        <v>1</v>
      </c>
      <c r="Z229" s="13" t="s">
        <v>200</v>
      </c>
      <c r="AA229" s="13">
        <v>0.3</v>
      </c>
      <c r="AB229" s="13" t="s">
        <v>34</v>
      </c>
      <c r="AC229" s="13" t="s">
        <v>40</v>
      </c>
      <c r="AD229" s="13" t="s">
        <v>32</v>
      </c>
      <c r="AE229" s="13">
        <v>0.76649999999999996</v>
      </c>
      <c r="AF229" s="13" t="s">
        <v>201</v>
      </c>
      <c r="AG229" s="13">
        <v>2020</v>
      </c>
      <c r="AH229" s="13" t="s">
        <v>202</v>
      </c>
      <c r="AI229" s="2">
        <v>50</v>
      </c>
      <c r="AJ229" s="2">
        <v>2</v>
      </c>
      <c r="AK229" s="2" t="s">
        <v>34</v>
      </c>
    </row>
    <row r="230" spans="1:37" x14ac:dyDescent="0.3">
      <c r="A230" s="11">
        <v>11.5471698113207</v>
      </c>
      <c r="B230" s="11">
        <v>1714.50939457202</v>
      </c>
      <c r="C230" s="13" t="s">
        <v>33</v>
      </c>
      <c r="D230" s="13" t="s">
        <v>35</v>
      </c>
      <c r="E230" s="13" t="s">
        <v>170</v>
      </c>
      <c r="F230" s="10">
        <v>0.61</v>
      </c>
      <c r="G230" s="10">
        <v>0.72</v>
      </c>
      <c r="H230" s="13">
        <v>0.67</v>
      </c>
      <c r="I230" s="13">
        <v>0.73</v>
      </c>
      <c r="J230" s="13">
        <v>1.21</v>
      </c>
      <c r="K230" s="13">
        <v>1.02</v>
      </c>
      <c r="L230" s="13">
        <v>0</v>
      </c>
      <c r="M230" s="13">
        <v>64.599999999999994</v>
      </c>
      <c r="N230" s="13" t="s">
        <v>34</v>
      </c>
      <c r="O230" s="13">
        <v>0.74</v>
      </c>
      <c r="P230" s="13">
        <v>0.51</v>
      </c>
      <c r="Q230" s="13" t="s">
        <v>34</v>
      </c>
      <c r="R230" s="13">
        <v>2.65</v>
      </c>
      <c r="S230" s="13">
        <f t="shared" si="3"/>
        <v>1.01E-3</v>
      </c>
      <c r="T230" s="10" t="s">
        <v>36</v>
      </c>
      <c r="U230" s="13" t="s">
        <v>37</v>
      </c>
      <c r="V230" s="13" t="s">
        <v>162</v>
      </c>
      <c r="W230" s="10">
        <v>16</v>
      </c>
      <c r="X230" s="13">
        <v>0.3</v>
      </c>
      <c r="Y230" s="13">
        <v>1</v>
      </c>
      <c r="Z230" s="13" t="s">
        <v>200</v>
      </c>
      <c r="AA230" s="13">
        <v>0.3</v>
      </c>
      <c r="AB230" s="13" t="s">
        <v>34</v>
      </c>
      <c r="AC230" s="13" t="s">
        <v>40</v>
      </c>
      <c r="AD230" s="13" t="s">
        <v>32</v>
      </c>
      <c r="AE230" s="13">
        <v>0.76649999999999996</v>
      </c>
      <c r="AF230" s="13" t="s">
        <v>201</v>
      </c>
      <c r="AG230" s="13">
        <v>2020</v>
      </c>
      <c r="AH230" s="13" t="s">
        <v>202</v>
      </c>
      <c r="AI230" s="2">
        <v>50</v>
      </c>
      <c r="AJ230" s="2">
        <v>2</v>
      </c>
      <c r="AK230" s="2" t="s">
        <v>34</v>
      </c>
    </row>
    <row r="231" spans="1:37" x14ac:dyDescent="0.3">
      <c r="A231" s="11">
        <v>13.2912735849056</v>
      </c>
      <c r="B231" s="11">
        <v>1842.37995824634</v>
      </c>
      <c r="C231" s="13" t="s">
        <v>33</v>
      </c>
      <c r="D231" s="13" t="s">
        <v>35</v>
      </c>
      <c r="E231" s="13" t="s">
        <v>170</v>
      </c>
      <c r="F231" s="10">
        <v>0.61</v>
      </c>
      <c r="G231" s="10">
        <v>0.72</v>
      </c>
      <c r="H231" s="13">
        <v>0.67</v>
      </c>
      <c r="I231" s="13">
        <v>0.73</v>
      </c>
      <c r="J231" s="13">
        <v>1.21</v>
      </c>
      <c r="K231" s="13">
        <v>1.02</v>
      </c>
      <c r="L231" s="13">
        <v>0</v>
      </c>
      <c r="M231" s="13">
        <v>64.599999999999994</v>
      </c>
      <c r="N231" s="13" t="s">
        <v>34</v>
      </c>
      <c r="O231" s="13">
        <v>0.74</v>
      </c>
      <c r="P231" s="13">
        <v>0.51</v>
      </c>
      <c r="Q231" s="13" t="s">
        <v>34</v>
      </c>
      <c r="R231" s="13">
        <v>2.65</v>
      </c>
      <c r="S231" s="13">
        <f t="shared" si="3"/>
        <v>1.01E-3</v>
      </c>
      <c r="T231" s="10" t="s">
        <v>36</v>
      </c>
      <c r="U231" s="13" t="s">
        <v>37</v>
      </c>
      <c r="V231" s="13" t="s">
        <v>162</v>
      </c>
      <c r="W231" s="10">
        <v>16</v>
      </c>
      <c r="X231" s="13">
        <v>0.3</v>
      </c>
      <c r="Y231" s="13">
        <v>1</v>
      </c>
      <c r="Z231" s="13" t="s">
        <v>200</v>
      </c>
      <c r="AA231" s="13">
        <v>0.3</v>
      </c>
      <c r="AB231" s="13" t="s">
        <v>34</v>
      </c>
      <c r="AC231" s="13" t="s">
        <v>40</v>
      </c>
      <c r="AD231" s="13" t="s">
        <v>32</v>
      </c>
      <c r="AE231" s="13">
        <v>0.76649999999999996</v>
      </c>
      <c r="AF231" s="13" t="s">
        <v>201</v>
      </c>
      <c r="AG231" s="13">
        <v>2020</v>
      </c>
      <c r="AH231" s="13" t="s">
        <v>202</v>
      </c>
      <c r="AI231" s="2">
        <v>50</v>
      </c>
      <c r="AJ231" s="2">
        <v>2</v>
      </c>
      <c r="AK231" s="2" t="s">
        <v>34</v>
      </c>
    </row>
    <row r="232" spans="1:37" x14ac:dyDescent="0.3">
      <c r="A232" s="11">
        <v>15.5566037735849</v>
      </c>
      <c r="B232" s="11">
        <v>2252.0876826722301</v>
      </c>
      <c r="C232" s="13" t="s">
        <v>33</v>
      </c>
      <c r="D232" s="13" t="s">
        <v>35</v>
      </c>
      <c r="E232" s="13" t="s">
        <v>170</v>
      </c>
      <c r="F232" s="10">
        <v>0.61</v>
      </c>
      <c r="G232" s="10">
        <v>0.72</v>
      </c>
      <c r="H232" s="13">
        <v>0.67</v>
      </c>
      <c r="I232" s="13">
        <v>0.73</v>
      </c>
      <c r="J232" s="13">
        <v>1.21</v>
      </c>
      <c r="K232" s="13">
        <v>1.02</v>
      </c>
      <c r="L232" s="13">
        <v>0</v>
      </c>
      <c r="M232" s="13">
        <v>64.599999999999994</v>
      </c>
      <c r="N232" s="13" t="s">
        <v>34</v>
      </c>
      <c r="O232" s="13">
        <v>0.74</v>
      </c>
      <c r="P232" s="13">
        <v>0.51</v>
      </c>
      <c r="Q232" s="13" t="s">
        <v>34</v>
      </c>
      <c r="R232" s="13">
        <v>2.65</v>
      </c>
      <c r="S232" s="13">
        <f t="shared" si="3"/>
        <v>1.01E-3</v>
      </c>
      <c r="T232" s="10" t="s">
        <v>36</v>
      </c>
      <c r="U232" s="13" t="s">
        <v>37</v>
      </c>
      <c r="V232" s="13" t="s">
        <v>162</v>
      </c>
      <c r="W232" s="10">
        <v>16</v>
      </c>
      <c r="X232" s="13">
        <v>0.3</v>
      </c>
      <c r="Y232" s="13">
        <v>1</v>
      </c>
      <c r="Z232" s="13" t="s">
        <v>200</v>
      </c>
      <c r="AA232" s="13">
        <v>0.3</v>
      </c>
      <c r="AB232" s="13" t="s">
        <v>34</v>
      </c>
      <c r="AC232" s="13" t="s">
        <v>40</v>
      </c>
      <c r="AD232" s="13" t="s">
        <v>32</v>
      </c>
      <c r="AE232" s="13">
        <v>0.76649999999999996</v>
      </c>
      <c r="AF232" s="13" t="s">
        <v>201</v>
      </c>
      <c r="AG232" s="13">
        <v>2020</v>
      </c>
      <c r="AH232" s="13" t="s">
        <v>202</v>
      </c>
      <c r="AI232" s="2">
        <v>50</v>
      </c>
      <c r="AJ232" s="2">
        <v>2</v>
      </c>
      <c r="AK232" s="2" t="s">
        <v>34</v>
      </c>
    </row>
    <row r="233" spans="1:37" x14ac:dyDescent="0.3">
      <c r="A233" s="11">
        <v>1.5336084905660301</v>
      </c>
      <c r="B233" s="11">
        <v>417.53653444676399</v>
      </c>
      <c r="C233" s="13" t="s">
        <v>33</v>
      </c>
      <c r="D233" s="13" t="s">
        <v>35</v>
      </c>
      <c r="E233" s="13" t="s">
        <v>170</v>
      </c>
      <c r="F233" s="10">
        <v>0.61</v>
      </c>
      <c r="G233" s="10">
        <v>0.72</v>
      </c>
      <c r="H233" s="13">
        <v>0.67</v>
      </c>
      <c r="I233" s="13">
        <v>0.73</v>
      </c>
      <c r="J233" s="13">
        <v>1.21</v>
      </c>
      <c r="K233" s="13">
        <v>1.02</v>
      </c>
      <c r="L233" s="13">
        <v>0</v>
      </c>
      <c r="M233" s="13">
        <v>64.599999999999994</v>
      </c>
      <c r="N233" s="13" t="s">
        <v>34</v>
      </c>
      <c r="O233" s="13">
        <v>0.74</v>
      </c>
      <c r="P233" s="13">
        <v>0.51</v>
      </c>
      <c r="Q233" s="13" t="s">
        <v>34</v>
      </c>
      <c r="R233" s="13">
        <v>2.65</v>
      </c>
      <c r="S233" s="13">
        <f t="shared" si="3"/>
        <v>1.01E-3</v>
      </c>
      <c r="T233" s="10" t="s">
        <v>49</v>
      </c>
      <c r="U233" s="10" t="s">
        <v>199</v>
      </c>
      <c r="V233" s="13" t="s">
        <v>162</v>
      </c>
      <c r="W233" s="10">
        <v>4</v>
      </c>
      <c r="X233" s="13">
        <v>0.3</v>
      </c>
      <c r="Y233" s="13">
        <v>1</v>
      </c>
      <c r="Z233" s="13" t="s">
        <v>200</v>
      </c>
      <c r="AA233" s="13">
        <v>0.3</v>
      </c>
      <c r="AB233" s="13" t="s">
        <v>34</v>
      </c>
      <c r="AC233" s="13" t="s">
        <v>40</v>
      </c>
      <c r="AD233" s="13" t="s">
        <v>32</v>
      </c>
      <c r="AE233" s="13">
        <v>0.76649999999999996</v>
      </c>
      <c r="AF233" s="13" t="s">
        <v>201</v>
      </c>
      <c r="AG233" s="13">
        <v>2020</v>
      </c>
      <c r="AH233" s="13" t="s">
        <v>202</v>
      </c>
      <c r="AI233" s="2">
        <v>50</v>
      </c>
      <c r="AJ233" s="2">
        <v>2</v>
      </c>
      <c r="AK233" s="2" t="s">
        <v>34</v>
      </c>
    </row>
    <row r="234" spans="1:37" x14ac:dyDescent="0.3">
      <c r="A234" s="11">
        <v>1.68396226415094</v>
      </c>
      <c r="B234" s="11">
        <v>396.659707724425</v>
      </c>
      <c r="C234" s="13" t="s">
        <v>33</v>
      </c>
      <c r="D234" s="13" t="s">
        <v>35</v>
      </c>
      <c r="E234" s="13" t="s">
        <v>170</v>
      </c>
      <c r="F234" s="10">
        <v>0.61</v>
      </c>
      <c r="G234" s="10">
        <v>0.72</v>
      </c>
      <c r="H234" s="13">
        <v>0.67</v>
      </c>
      <c r="I234" s="13">
        <v>0.73</v>
      </c>
      <c r="J234" s="13">
        <v>1.21</v>
      </c>
      <c r="K234" s="13">
        <v>1.02</v>
      </c>
      <c r="L234" s="13">
        <v>0</v>
      </c>
      <c r="M234" s="13">
        <v>64.599999999999994</v>
      </c>
      <c r="N234" s="13" t="s">
        <v>34</v>
      </c>
      <c r="O234" s="13">
        <v>0.74</v>
      </c>
      <c r="P234" s="13">
        <v>0.51</v>
      </c>
      <c r="Q234" s="13" t="s">
        <v>34</v>
      </c>
      <c r="R234" s="13">
        <v>2.65</v>
      </c>
      <c r="S234" s="13">
        <f t="shared" si="3"/>
        <v>1.01E-3</v>
      </c>
      <c r="T234" s="10" t="s">
        <v>49</v>
      </c>
      <c r="U234" s="10" t="s">
        <v>199</v>
      </c>
      <c r="V234" s="13" t="s">
        <v>162</v>
      </c>
      <c r="W234" s="10">
        <v>4</v>
      </c>
      <c r="X234" s="13">
        <v>0.3</v>
      </c>
      <c r="Y234" s="13">
        <v>1</v>
      </c>
      <c r="Z234" s="13" t="s">
        <v>200</v>
      </c>
      <c r="AA234" s="13">
        <v>0.3</v>
      </c>
      <c r="AB234" s="13" t="s">
        <v>34</v>
      </c>
      <c r="AC234" s="13" t="s">
        <v>40</v>
      </c>
      <c r="AD234" s="13" t="s">
        <v>32</v>
      </c>
      <c r="AE234" s="13">
        <v>0.76649999999999996</v>
      </c>
      <c r="AF234" s="13" t="s">
        <v>201</v>
      </c>
      <c r="AG234" s="13">
        <v>2020</v>
      </c>
      <c r="AH234" s="13" t="s">
        <v>202</v>
      </c>
      <c r="AI234" s="2">
        <v>50</v>
      </c>
      <c r="AJ234" s="2">
        <v>2</v>
      </c>
      <c r="AK234" s="2" t="s">
        <v>34</v>
      </c>
    </row>
    <row r="235" spans="1:37" x14ac:dyDescent="0.3">
      <c r="A235" s="11">
        <v>2.5860849056603699</v>
      </c>
      <c r="B235" s="11">
        <v>493.21503131524003</v>
      </c>
      <c r="C235" s="13" t="s">
        <v>33</v>
      </c>
      <c r="D235" s="13" t="s">
        <v>35</v>
      </c>
      <c r="E235" s="13" t="s">
        <v>170</v>
      </c>
      <c r="F235" s="10">
        <v>0.61</v>
      </c>
      <c r="G235" s="10">
        <v>0.72</v>
      </c>
      <c r="H235" s="13">
        <v>0.67</v>
      </c>
      <c r="I235" s="13">
        <v>0.73</v>
      </c>
      <c r="J235" s="13">
        <v>1.21</v>
      </c>
      <c r="K235" s="13">
        <v>1.02</v>
      </c>
      <c r="L235" s="13">
        <v>0</v>
      </c>
      <c r="M235" s="13">
        <v>64.599999999999994</v>
      </c>
      <c r="N235" s="13" t="s">
        <v>34</v>
      </c>
      <c r="O235" s="13">
        <v>0.74</v>
      </c>
      <c r="P235" s="13">
        <v>0.51</v>
      </c>
      <c r="Q235" s="13" t="s">
        <v>34</v>
      </c>
      <c r="R235" s="13">
        <v>2.65</v>
      </c>
      <c r="S235" s="13">
        <f t="shared" si="3"/>
        <v>1.01E-3</v>
      </c>
      <c r="T235" s="10" t="s">
        <v>49</v>
      </c>
      <c r="U235" s="10" t="s">
        <v>199</v>
      </c>
      <c r="V235" s="13" t="s">
        <v>162</v>
      </c>
      <c r="W235" s="10">
        <v>4</v>
      </c>
      <c r="X235" s="13">
        <v>0.3</v>
      </c>
      <c r="Y235" s="13">
        <v>1</v>
      </c>
      <c r="Z235" s="13" t="s">
        <v>200</v>
      </c>
      <c r="AA235" s="13">
        <v>0.3</v>
      </c>
      <c r="AB235" s="13" t="s">
        <v>34</v>
      </c>
      <c r="AC235" s="13" t="s">
        <v>40</v>
      </c>
      <c r="AD235" s="13" t="s">
        <v>32</v>
      </c>
      <c r="AE235" s="13">
        <v>0.76649999999999996</v>
      </c>
      <c r="AF235" s="13" t="s">
        <v>201</v>
      </c>
      <c r="AG235" s="13">
        <v>2020</v>
      </c>
      <c r="AH235" s="13" t="s">
        <v>202</v>
      </c>
      <c r="AI235" s="2">
        <v>50</v>
      </c>
      <c r="AJ235" s="2">
        <v>2</v>
      </c>
      <c r="AK235" s="2" t="s">
        <v>34</v>
      </c>
    </row>
    <row r="236" spans="1:37" x14ac:dyDescent="0.3">
      <c r="A236" s="11">
        <v>1.9646226415094299</v>
      </c>
      <c r="B236" s="11">
        <v>631.52400835073001</v>
      </c>
      <c r="C236" s="13" t="s">
        <v>33</v>
      </c>
      <c r="D236" s="13" t="s">
        <v>35</v>
      </c>
      <c r="E236" s="13" t="s">
        <v>170</v>
      </c>
      <c r="F236" s="10">
        <v>0.61</v>
      </c>
      <c r="G236" s="10">
        <v>0.72</v>
      </c>
      <c r="H236" s="13">
        <v>0.67</v>
      </c>
      <c r="I236" s="13">
        <v>0.73</v>
      </c>
      <c r="J236" s="13">
        <v>1.21</v>
      </c>
      <c r="K236" s="13">
        <v>1.02</v>
      </c>
      <c r="L236" s="13">
        <v>0</v>
      </c>
      <c r="M236" s="13">
        <v>64.599999999999994</v>
      </c>
      <c r="N236" s="13" t="s">
        <v>34</v>
      </c>
      <c r="O236" s="13">
        <v>0.74</v>
      </c>
      <c r="P236" s="13">
        <v>0.51</v>
      </c>
      <c r="Q236" s="13" t="s">
        <v>34</v>
      </c>
      <c r="R236" s="13">
        <v>2.65</v>
      </c>
      <c r="S236" s="13">
        <f t="shared" si="3"/>
        <v>1.01E-3</v>
      </c>
      <c r="T236" s="10" t="s">
        <v>49</v>
      </c>
      <c r="U236" s="10" t="s">
        <v>199</v>
      </c>
      <c r="V236" s="13" t="s">
        <v>162</v>
      </c>
      <c r="W236" s="10">
        <v>8</v>
      </c>
      <c r="X236" s="13">
        <v>0.3</v>
      </c>
      <c r="Y236" s="13">
        <v>1</v>
      </c>
      <c r="Z236" s="13" t="s">
        <v>200</v>
      </c>
      <c r="AA236" s="13">
        <v>0.3</v>
      </c>
      <c r="AB236" s="13" t="s">
        <v>34</v>
      </c>
      <c r="AC236" s="13" t="s">
        <v>40</v>
      </c>
      <c r="AD236" s="13" t="s">
        <v>32</v>
      </c>
      <c r="AE236" s="13">
        <v>0.76649999999999996</v>
      </c>
      <c r="AF236" s="13" t="s">
        <v>201</v>
      </c>
      <c r="AG236" s="13">
        <v>2020</v>
      </c>
      <c r="AH236" s="13" t="s">
        <v>202</v>
      </c>
      <c r="AI236" s="2">
        <v>50</v>
      </c>
      <c r="AJ236" s="2">
        <v>2</v>
      </c>
      <c r="AK236" s="2" t="s">
        <v>34</v>
      </c>
    </row>
    <row r="237" spans="1:37" x14ac:dyDescent="0.3">
      <c r="A237" s="11">
        <v>2.1350235849056598</v>
      </c>
      <c r="B237" s="11">
        <v>474.947807933192</v>
      </c>
      <c r="C237" s="13" t="s">
        <v>33</v>
      </c>
      <c r="D237" s="13" t="s">
        <v>35</v>
      </c>
      <c r="E237" s="13" t="s">
        <v>170</v>
      </c>
      <c r="F237" s="10">
        <v>0.61</v>
      </c>
      <c r="G237" s="10">
        <v>0.72</v>
      </c>
      <c r="H237" s="13">
        <v>0.67</v>
      </c>
      <c r="I237" s="13">
        <v>0.73</v>
      </c>
      <c r="J237" s="13">
        <v>1.21</v>
      </c>
      <c r="K237" s="13">
        <v>1.02</v>
      </c>
      <c r="L237" s="13">
        <v>0</v>
      </c>
      <c r="M237" s="13">
        <v>64.599999999999994</v>
      </c>
      <c r="N237" s="13" t="s">
        <v>34</v>
      </c>
      <c r="O237" s="13">
        <v>0.74</v>
      </c>
      <c r="P237" s="13">
        <v>0.51</v>
      </c>
      <c r="Q237" s="13" t="s">
        <v>34</v>
      </c>
      <c r="R237" s="13">
        <v>2.65</v>
      </c>
      <c r="S237" s="13">
        <f t="shared" si="3"/>
        <v>1.01E-3</v>
      </c>
      <c r="T237" s="10" t="s">
        <v>49</v>
      </c>
      <c r="U237" s="10" t="s">
        <v>199</v>
      </c>
      <c r="V237" s="13" t="s">
        <v>162</v>
      </c>
      <c r="W237" s="10">
        <v>8</v>
      </c>
      <c r="X237" s="13">
        <v>0.3</v>
      </c>
      <c r="Y237" s="13">
        <v>1</v>
      </c>
      <c r="Z237" s="13" t="s">
        <v>200</v>
      </c>
      <c r="AA237" s="13">
        <v>0.3</v>
      </c>
      <c r="AB237" s="13" t="s">
        <v>34</v>
      </c>
      <c r="AC237" s="13" t="s">
        <v>40</v>
      </c>
      <c r="AD237" s="13" t="s">
        <v>32</v>
      </c>
      <c r="AE237" s="13">
        <v>0.76649999999999996</v>
      </c>
      <c r="AF237" s="13" t="s">
        <v>201</v>
      </c>
      <c r="AG237" s="13">
        <v>2020</v>
      </c>
      <c r="AH237" s="13" t="s">
        <v>202</v>
      </c>
      <c r="AI237" s="2">
        <v>50</v>
      </c>
      <c r="AJ237" s="2">
        <v>2</v>
      </c>
      <c r="AK237" s="2" t="s">
        <v>34</v>
      </c>
    </row>
    <row r="238" spans="1:37" x14ac:dyDescent="0.3">
      <c r="A238" s="11">
        <v>2.8266509433962201</v>
      </c>
      <c r="B238" s="11">
        <v>701.98329853862197</v>
      </c>
      <c r="C238" s="13" t="s">
        <v>33</v>
      </c>
      <c r="D238" s="13" t="s">
        <v>35</v>
      </c>
      <c r="E238" s="13" t="s">
        <v>170</v>
      </c>
      <c r="F238" s="10">
        <v>0.61</v>
      </c>
      <c r="G238" s="10">
        <v>0.72</v>
      </c>
      <c r="H238" s="13">
        <v>0.67</v>
      </c>
      <c r="I238" s="13">
        <v>0.73</v>
      </c>
      <c r="J238" s="13">
        <v>1.21</v>
      </c>
      <c r="K238" s="13">
        <v>1.02</v>
      </c>
      <c r="L238" s="13">
        <v>0</v>
      </c>
      <c r="M238" s="13">
        <v>64.599999999999994</v>
      </c>
      <c r="N238" s="13" t="s">
        <v>34</v>
      </c>
      <c r="O238" s="13">
        <v>0.74</v>
      </c>
      <c r="P238" s="13">
        <v>0.51</v>
      </c>
      <c r="Q238" s="13" t="s">
        <v>34</v>
      </c>
      <c r="R238" s="13">
        <v>2.65</v>
      </c>
      <c r="S238" s="13">
        <f t="shared" si="3"/>
        <v>1.01E-3</v>
      </c>
      <c r="T238" s="10" t="s">
        <v>49</v>
      </c>
      <c r="U238" s="10" t="s">
        <v>199</v>
      </c>
      <c r="V238" s="13" t="s">
        <v>162</v>
      </c>
      <c r="W238" s="10">
        <v>8</v>
      </c>
      <c r="X238" s="13">
        <v>0.3</v>
      </c>
      <c r="Y238" s="13">
        <v>1</v>
      </c>
      <c r="Z238" s="13" t="s">
        <v>200</v>
      </c>
      <c r="AA238" s="13">
        <v>0.3</v>
      </c>
      <c r="AB238" s="13" t="s">
        <v>34</v>
      </c>
      <c r="AC238" s="13" t="s">
        <v>40</v>
      </c>
      <c r="AD238" s="13" t="s">
        <v>32</v>
      </c>
      <c r="AE238" s="13">
        <v>0.76649999999999996</v>
      </c>
      <c r="AF238" s="13" t="s">
        <v>201</v>
      </c>
      <c r="AG238" s="13">
        <v>2020</v>
      </c>
      <c r="AH238" s="13" t="s">
        <v>202</v>
      </c>
      <c r="AI238" s="2">
        <v>50</v>
      </c>
      <c r="AJ238" s="2">
        <v>2</v>
      </c>
      <c r="AK238" s="2" t="s">
        <v>34</v>
      </c>
    </row>
    <row r="239" spans="1:37" x14ac:dyDescent="0.3">
      <c r="A239" s="11">
        <v>4.1998820754716997</v>
      </c>
      <c r="B239" s="11">
        <v>1242.1711899791201</v>
      </c>
      <c r="C239" s="13" t="s">
        <v>33</v>
      </c>
      <c r="D239" s="13" t="s">
        <v>35</v>
      </c>
      <c r="E239" s="13" t="s">
        <v>170</v>
      </c>
      <c r="F239" s="10">
        <v>0.61</v>
      </c>
      <c r="G239" s="10">
        <v>0.72</v>
      </c>
      <c r="H239" s="13">
        <v>0.67</v>
      </c>
      <c r="I239" s="13">
        <v>0.73</v>
      </c>
      <c r="J239" s="13">
        <v>1.21</v>
      </c>
      <c r="K239" s="13">
        <v>1.02</v>
      </c>
      <c r="L239" s="13">
        <v>0</v>
      </c>
      <c r="M239" s="13">
        <v>64.599999999999994</v>
      </c>
      <c r="N239" s="13" t="s">
        <v>34</v>
      </c>
      <c r="O239" s="13">
        <v>0.74</v>
      </c>
      <c r="P239" s="13">
        <v>0.51</v>
      </c>
      <c r="Q239" s="13" t="s">
        <v>34</v>
      </c>
      <c r="R239" s="13">
        <v>2.65</v>
      </c>
      <c r="S239" s="13">
        <f t="shared" si="3"/>
        <v>1.01E-3</v>
      </c>
      <c r="T239" s="10" t="s">
        <v>49</v>
      </c>
      <c r="U239" s="10" t="s">
        <v>199</v>
      </c>
      <c r="V239" s="13" t="s">
        <v>162</v>
      </c>
      <c r="W239" s="10">
        <v>12</v>
      </c>
      <c r="X239" s="13">
        <v>0.3</v>
      </c>
      <c r="Y239" s="13">
        <v>1</v>
      </c>
      <c r="Z239" s="13" t="s">
        <v>200</v>
      </c>
      <c r="AA239" s="13">
        <v>0.3</v>
      </c>
      <c r="AB239" s="13" t="s">
        <v>34</v>
      </c>
      <c r="AC239" s="13" t="s">
        <v>40</v>
      </c>
      <c r="AD239" s="13" t="s">
        <v>32</v>
      </c>
      <c r="AE239" s="13">
        <v>0.76649999999999996</v>
      </c>
      <c r="AF239" s="13" t="s">
        <v>201</v>
      </c>
      <c r="AG239" s="13">
        <v>2020</v>
      </c>
      <c r="AH239" s="13" t="s">
        <v>202</v>
      </c>
      <c r="AI239" s="2">
        <v>50</v>
      </c>
      <c r="AJ239" s="2">
        <v>2</v>
      </c>
      <c r="AK239" s="2" t="s">
        <v>34</v>
      </c>
    </row>
    <row r="240" spans="1:37" x14ac:dyDescent="0.3">
      <c r="A240" s="11">
        <v>5.5029481132075402</v>
      </c>
      <c r="B240" s="11">
        <v>1336.1169102296401</v>
      </c>
      <c r="C240" s="13" t="s">
        <v>33</v>
      </c>
      <c r="D240" s="13" t="s">
        <v>35</v>
      </c>
      <c r="E240" s="13" t="s">
        <v>170</v>
      </c>
      <c r="F240" s="10">
        <v>0.61</v>
      </c>
      <c r="G240" s="10">
        <v>0.72</v>
      </c>
      <c r="H240" s="13">
        <v>0.67</v>
      </c>
      <c r="I240" s="13">
        <v>0.73</v>
      </c>
      <c r="J240" s="13">
        <v>1.21</v>
      </c>
      <c r="K240" s="13">
        <v>1.02</v>
      </c>
      <c r="L240" s="13">
        <v>0</v>
      </c>
      <c r="M240" s="13">
        <v>64.599999999999994</v>
      </c>
      <c r="N240" s="13" t="s">
        <v>34</v>
      </c>
      <c r="O240" s="13">
        <v>0.74</v>
      </c>
      <c r="P240" s="13">
        <v>0.51</v>
      </c>
      <c r="Q240" s="13" t="s">
        <v>34</v>
      </c>
      <c r="R240" s="13">
        <v>2.65</v>
      </c>
      <c r="S240" s="13">
        <f t="shared" si="3"/>
        <v>1.01E-3</v>
      </c>
      <c r="T240" s="10" t="s">
        <v>49</v>
      </c>
      <c r="U240" s="10" t="s">
        <v>199</v>
      </c>
      <c r="V240" s="13" t="s">
        <v>162</v>
      </c>
      <c r="W240" s="10">
        <v>12</v>
      </c>
      <c r="X240" s="13">
        <v>0.3</v>
      </c>
      <c r="Y240" s="13">
        <v>1</v>
      </c>
      <c r="Z240" s="13" t="s">
        <v>200</v>
      </c>
      <c r="AA240" s="13">
        <v>0.3</v>
      </c>
      <c r="AB240" s="13" t="s">
        <v>34</v>
      </c>
      <c r="AC240" s="13" t="s">
        <v>40</v>
      </c>
      <c r="AD240" s="13" t="s">
        <v>32</v>
      </c>
      <c r="AE240" s="13">
        <v>0.76649999999999996</v>
      </c>
      <c r="AF240" s="13" t="s">
        <v>201</v>
      </c>
      <c r="AG240" s="13">
        <v>2020</v>
      </c>
      <c r="AH240" s="13" t="s">
        <v>202</v>
      </c>
      <c r="AI240" s="2">
        <v>50</v>
      </c>
      <c r="AJ240" s="2">
        <v>2</v>
      </c>
      <c r="AK240" s="2" t="s">
        <v>34</v>
      </c>
    </row>
    <row r="241" spans="1:37" x14ac:dyDescent="0.3">
      <c r="A241" s="11">
        <v>5.95400943396226</v>
      </c>
      <c r="B241" s="11">
        <v>1456.15866388308</v>
      </c>
      <c r="C241" s="13" t="s">
        <v>33</v>
      </c>
      <c r="D241" s="13" t="s">
        <v>35</v>
      </c>
      <c r="E241" s="13" t="s">
        <v>170</v>
      </c>
      <c r="F241" s="10">
        <v>0.61</v>
      </c>
      <c r="G241" s="10">
        <v>0.72</v>
      </c>
      <c r="H241" s="13">
        <v>0.67</v>
      </c>
      <c r="I241" s="13">
        <v>0.73</v>
      </c>
      <c r="J241" s="13">
        <v>1.21</v>
      </c>
      <c r="K241" s="13">
        <v>1.02</v>
      </c>
      <c r="L241" s="13">
        <v>0</v>
      </c>
      <c r="M241" s="13">
        <v>64.599999999999994</v>
      </c>
      <c r="N241" s="13" t="s">
        <v>34</v>
      </c>
      <c r="O241" s="13">
        <v>0.74</v>
      </c>
      <c r="P241" s="13">
        <v>0.51</v>
      </c>
      <c r="Q241" s="13" t="s">
        <v>34</v>
      </c>
      <c r="R241" s="13">
        <v>2.65</v>
      </c>
      <c r="S241" s="13">
        <f t="shared" si="3"/>
        <v>1.01E-3</v>
      </c>
      <c r="T241" s="10" t="s">
        <v>49</v>
      </c>
      <c r="U241" s="10" t="s">
        <v>199</v>
      </c>
      <c r="V241" s="13" t="s">
        <v>162</v>
      </c>
      <c r="W241" s="10">
        <v>12</v>
      </c>
      <c r="X241" s="13">
        <v>0.3</v>
      </c>
      <c r="Y241" s="13">
        <v>1</v>
      </c>
      <c r="Z241" s="13" t="s">
        <v>200</v>
      </c>
      <c r="AA241" s="13">
        <v>0.3</v>
      </c>
      <c r="AB241" s="13" t="s">
        <v>34</v>
      </c>
      <c r="AC241" s="13" t="s">
        <v>40</v>
      </c>
      <c r="AD241" s="13" t="s">
        <v>32</v>
      </c>
      <c r="AE241" s="13">
        <v>0.76649999999999996</v>
      </c>
      <c r="AF241" s="13" t="s">
        <v>201</v>
      </c>
      <c r="AG241" s="13">
        <v>2020</v>
      </c>
      <c r="AH241" s="13" t="s">
        <v>202</v>
      </c>
      <c r="AI241" s="2">
        <v>50</v>
      </c>
      <c r="AJ241" s="2">
        <v>2</v>
      </c>
      <c r="AK241" s="2" t="s">
        <v>34</v>
      </c>
    </row>
    <row r="242" spans="1:37" x14ac:dyDescent="0.3">
      <c r="A242" s="11">
        <v>5.3425707547169798</v>
      </c>
      <c r="B242" s="11">
        <v>1127.3486430062601</v>
      </c>
      <c r="C242" s="13" t="s">
        <v>33</v>
      </c>
      <c r="D242" s="13" t="s">
        <v>35</v>
      </c>
      <c r="E242" s="13" t="s">
        <v>170</v>
      </c>
      <c r="F242" s="10">
        <v>0.61</v>
      </c>
      <c r="G242" s="10">
        <v>0.72</v>
      </c>
      <c r="H242" s="13">
        <v>0.67</v>
      </c>
      <c r="I242" s="13">
        <v>0.73</v>
      </c>
      <c r="J242" s="13">
        <v>1.21</v>
      </c>
      <c r="K242" s="13">
        <v>1.02</v>
      </c>
      <c r="L242" s="13">
        <v>0</v>
      </c>
      <c r="M242" s="13">
        <v>64.599999999999994</v>
      </c>
      <c r="N242" s="13" t="s">
        <v>34</v>
      </c>
      <c r="O242" s="13">
        <v>0.74</v>
      </c>
      <c r="P242" s="13">
        <v>0.51</v>
      </c>
      <c r="Q242" s="13" t="s">
        <v>34</v>
      </c>
      <c r="R242" s="13">
        <v>2.65</v>
      </c>
      <c r="S242" s="13">
        <f t="shared" si="3"/>
        <v>1.01E-3</v>
      </c>
      <c r="T242" s="10" t="s">
        <v>49</v>
      </c>
      <c r="U242" s="10" t="s">
        <v>199</v>
      </c>
      <c r="V242" s="13" t="s">
        <v>162</v>
      </c>
      <c r="W242" s="10">
        <v>16</v>
      </c>
      <c r="X242" s="13">
        <v>0.3</v>
      </c>
      <c r="Y242" s="13">
        <v>1</v>
      </c>
      <c r="Z242" s="13" t="s">
        <v>200</v>
      </c>
      <c r="AA242" s="13">
        <v>0.3</v>
      </c>
      <c r="AB242" s="13" t="s">
        <v>34</v>
      </c>
      <c r="AC242" s="13" t="s">
        <v>40</v>
      </c>
      <c r="AD242" s="13" t="s">
        <v>32</v>
      </c>
      <c r="AE242" s="13">
        <v>0.76649999999999996</v>
      </c>
      <c r="AF242" s="13" t="s">
        <v>201</v>
      </c>
      <c r="AG242" s="13">
        <v>2020</v>
      </c>
      <c r="AH242" s="13" t="s">
        <v>202</v>
      </c>
      <c r="AI242" s="2">
        <v>50</v>
      </c>
      <c r="AJ242" s="2">
        <v>2</v>
      </c>
      <c r="AK242" s="2" t="s">
        <v>34</v>
      </c>
    </row>
    <row r="243" spans="1:37" x14ac:dyDescent="0.3">
      <c r="A243" s="11">
        <v>7.8685141509434002</v>
      </c>
      <c r="B243" s="11">
        <v>1513.5699373695099</v>
      </c>
      <c r="C243" s="13" t="s">
        <v>33</v>
      </c>
      <c r="D243" s="13" t="s">
        <v>35</v>
      </c>
      <c r="E243" s="13" t="s">
        <v>170</v>
      </c>
      <c r="F243" s="10">
        <v>0.61</v>
      </c>
      <c r="G243" s="10">
        <v>0.72</v>
      </c>
      <c r="H243" s="13">
        <v>0.67</v>
      </c>
      <c r="I243" s="13">
        <v>0.73</v>
      </c>
      <c r="J243" s="13">
        <v>1.21</v>
      </c>
      <c r="K243" s="13">
        <v>1.02</v>
      </c>
      <c r="L243" s="13">
        <v>0</v>
      </c>
      <c r="M243" s="13">
        <v>64.599999999999994</v>
      </c>
      <c r="N243" s="13" t="s">
        <v>34</v>
      </c>
      <c r="O243" s="13">
        <v>0.74</v>
      </c>
      <c r="P243" s="13">
        <v>0.51</v>
      </c>
      <c r="Q243" s="13" t="s">
        <v>34</v>
      </c>
      <c r="R243" s="13">
        <v>2.65</v>
      </c>
      <c r="S243" s="13">
        <f t="shared" si="3"/>
        <v>1.01E-3</v>
      </c>
      <c r="T243" s="10" t="s">
        <v>49</v>
      </c>
      <c r="U243" s="10" t="s">
        <v>199</v>
      </c>
      <c r="V243" s="13" t="s">
        <v>162</v>
      </c>
      <c r="W243" s="10">
        <v>16</v>
      </c>
      <c r="X243" s="13">
        <v>0.3</v>
      </c>
      <c r="Y243" s="13">
        <v>1</v>
      </c>
      <c r="Z243" s="13" t="s">
        <v>200</v>
      </c>
      <c r="AA243" s="13">
        <v>0.3</v>
      </c>
      <c r="AB243" s="13" t="s">
        <v>34</v>
      </c>
      <c r="AC243" s="13" t="s">
        <v>40</v>
      </c>
      <c r="AD243" s="13" t="s">
        <v>32</v>
      </c>
      <c r="AE243" s="13">
        <v>0.76649999999999996</v>
      </c>
      <c r="AF243" s="13" t="s">
        <v>201</v>
      </c>
      <c r="AG243" s="13">
        <v>2020</v>
      </c>
      <c r="AH243" s="13" t="s">
        <v>202</v>
      </c>
      <c r="AI243" s="2">
        <v>50</v>
      </c>
      <c r="AJ243" s="2">
        <v>2</v>
      </c>
      <c r="AK243" s="2" t="s">
        <v>34</v>
      </c>
    </row>
    <row r="244" spans="1:37" x14ac:dyDescent="0.3">
      <c r="A244" s="11">
        <v>8.0689858490566007</v>
      </c>
      <c r="B244" s="11">
        <v>2366.9102296450901</v>
      </c>
      <c r="C244" s="13" t="s">
        <v>33</v>
      </c>
      <c r="D244" s="13" t="s">
        <v>35</v>
      </c>
      <c r="E244" s="13" t="s">
        <v>170</v>
      </c>
      <c r="F244" s="10">
        <v>0.61</v>
      </c>
      <c r="G244" s="10">
        <v>0.72</v>
      </c>
      <c r="H244" s="13">
        <v>0.67</v>
      </c>
      <c r="I244" s="13">
        <v>0.73</v>
      </c>
      <c r="J244" s="13">
        <v>1.21</v>
      </c>
      <c r="K244" s="13">
        <v>1.02</v>
      </c>
      <c r="L244" s="13">
        <v>0</v>
      </c>
      <c r="M244" s="13">
        <v>64.599999999999994</v>
      </c>
      <c r="N244" s="13" t="s">
        <v>34</v>
      </c>
      <c r="O244" s="13">
        <v>0.74</v>
      </c>
      <c r="P244" s="13">
        <v>0.51</v>
      </c>
      <c r="Q244" s="13" t="s">
        <v>34</v>
      </c>
      <c r="R244" s="13">
        <v>2.65</v>
      </c>
      <c r="S244" s="13">
        <f t="shared" si="3"/>
        <v>1.01E-3</v>
      </c>
      <c r="T244" s="10" t="s">
        <v>49</v>
      </c>
      <c r="U244" s="10" t="s">
        <v>199</v>
      </c>
      <c r="V244" s="13" t="s">
        <v>162</v>
      </c>
      <c r="W244" s="10">
        <v>16</v>
      </c>
      <c r="X244" s="13">
        <v>0.3</v>
      </c>
      <c r="Y244" s="13">
        <v>1</v>
      </c>
      <c r="Z244" s="13" t="s">
        <v>200</v>
      </c>
      <c r="AA244" s="13">
        <v>0.3</v>
      </c>
      <c r="AB244" s="13" t="s">
        <v>34</v>
      </c>
      <c r="AC244" s="13" t="s">
        <v>40</v>
      </c>
      <c r="AD244" s="13" t="s">
        <v>32</v>
      </c>
      <c r="AE244" s="13">
        <v>0.76649999999999996</v>
      </c>
      <c r="AF244" s="13" t="s">
        <v>201</v>
      </c>
      <c r="AG244" s="13">
        <v>2020</v>
      </c>
      <c r="AH244" s="13" t="s">
        <v>202</v>
      </c>
      <c r="AI244" s="2">
        <v>50</v>
      </c>
      <c r="AJ244" s="2">
        <v>2</v>
      </c>
      <c r="AK244" s="2" t="s">
        <v>34</v>
      </c>
    </row>
    <row r="245" spans="1:37" x14ac:dyDescent="0.3">
      <c r="A245" s="11">
        <v>1.84413202933985</v>
      </c>
      <c r="B245" s="11">
        <v>170.85436281406999</v>
      </c>
      <c r="C245" s="13" t="s">
        <v>33</v>
      </c>
      <c r="D245" s="13" t="s">
        <v>35</v>
      </c>
      <c r="E245" s="13" t="s">
        <v>170</v>
      </c>
      <c r="F245" s="10">
        <v>0.26</v>
      </c>
      <c r="G245" s="10">
        <v>0.36</v>
      </c>
      <c r="H245" s="11">
        <v>0.314</v>
      </c>
      <c r="I245" s="10">
        <v>0.39</v>
      </c>
      <c r="J245" s="10">
        <v>1.46</v>
      </c>
      <c r="K245" s="10">
        <v>0.97</v>
      </c>
      <c r="L245" s="13">
        <v>0</v>
      </c>
      <c r="M245" s="10">
        <v>64.400000000000006</v>
      </c>
      <c r="N245" s="13" t="s">
        <v>34</v>
      </c>
      <c r="O245" s="10">
        <v>0.87</v>
      </c>
      <c r="P245" s="10">
        <v>0.55000000000000004</v>
      </c>
      <c r="Q245" s="13" t="s">
        <v>34</v>
      </c>
      <c r="R245" s="13">
        <v>2.65</v>
      </c>
      <c r="S245" s="10">
        <f>3.2*10^-4</f>
        <v>3.2000000000000003E-4</v>
      </c>
      <c r="T245" s="10" t="s">
        <v>49</v>
      </c>
      <c r="U245" s="10" t="s">
        <v>199</v>
      </c>
      <c r="V245" s="13" t="s">
        <v>162</v>
      </c>
      <c r="W245" s="10" t="s">
        <v>34</v>
      </c>
      <c r="X245" s="13">
        <v>0.3</v>
      </c>
      <c r="Y245" s="13">
        <v>1</v>
      </c>
      <c r="Z245" s="13" t="s">
        <v>200</v>
      </c>
      <c r="AA245" s="13">
        <v>0.3</v>
      </c>
      <c r="AB245" s="13" t="s">
        <v>34</v>
      </c>
      <c r="AC245" s="13" t="s">
        <v>40</v>
      </c>
      <c r="AD245" s="13" t="s">
        <v>32</v>
      </c>
      <c r="AE245" s="13">
        <v>0.76649999999999996</v>
      </c>
      <c r="AF245" s="13" t="s">
        <v>201</v>
      </c>
      <c r="AG245" s="13">
        <v>2020</v>
      </c>
      <c r="AH245" s="13" t="s">
        <v>202</v>
      </c>
      <c r="AI245" s="2">
        <v>50</v>
      </c>
      <c r="AJ245" s="2">
        <v>2</v>
      </c>
      <c r="AK245" s="2" t="s">
        <v>34</v>
      </c>
    </row>
    <row r="246" spans="1:37" x14ac:dyDescent="0.3">
      <c r="A246" s="11">
        <v>2.2677261613691901</v>
      </c>
      <c r="B246" s="11">
        <v>418.09053135678403</v>
      </c>
      <c r="C246" s="13" t="s">
        <v>33</v>
      </c>
      <c r="D246" s="13" t="s">
        <v>35</v>
      </c>
      <c r="E246" s="13" t="s">
        <v>170</v>
      </c>
      <c r="F246" s="10">
        <v>0.26</v>
      </c>
      <c r="G246" s="10">
        <v>0.36</v>
      </c>
      <c r="H246" s="11">
        <v>0.314</v>
      </c>
      <c r="I246" s="10">
        <v>0.39</v>
      </c>
      <c r="J246" s="10">
        <v>1.46</v>
      </c>
      <c r="K246" s="10">
        <v>0.97</v>
      </c>
      <c r="L246" s="13">
        <v>0</v>
      </c>
      <c r="M246" s="10">
        <v>64.400000000000006</v>
      </c>
      <c r="N246" s="13" t="s">
        <v>34</v>
      </c>
      <c r="O246" s="10">
        <v>0.87</v>
      </c>
      <c r="P246" s="10">
        <v>0.55000000000000004</v>
      </c>
      <c r="Q246" s="13" t="s">
        <v>34</v>
      </c>
      <c r="R246" s="13">
        <v>2.65</v>
      </c>
      <c r="S246" s="10">
        <f t="shared" ref="S246:S253" si="4">3.2*10^-4</f>
        <v>3.2000000000000003E-4</v>
      </c>
      <c r="T246" s="10" t="s">
        <v>49</v>
      </c>
      <c r="U246" s="10" t="s">
        <v>199</v>
      </c>
      <c r="V246" s="13" t="s">
        <v>162</v>
      </c>
      <c r="W246" s="10" t="s">
        <v>34</v>
      </c>
      <c r="X246" s="13">
        <v>0.3</v>
      </c>
      <c r="Y246" s="13">
        <v>1</v>
      </c>
      <c r="Z246" s="13" t="s">
        <v>200</v>
      </c>
      <c r="AA246" s="13">
        <v>0.3</v>
      </c>
      <c r="AB246" s="13" t="s">
        <v>34</v>
      </c>
      <c r="AC246" s="13" t="s">
        <v>40</v>
      </c>
      <c r="AD246" s="13" t="s">
        <v>32</v>
      </c>
      <c r="AE246" s="13">
        <v>0.76649999999999996</v>
      </c>
      <c r="AF246" s="13" t="s">
        <v>201</v>
      </c>
      <c r="AG246" s="13">
        <v>2020</v>
      </c>
      <c r="AH246" s="13" t="s">
        <v>202</v>
      </c>
      <c r="AI246" s="2">
        <v>50</v>
      </c>
      <c r="AJ246" s="2">
        <v>2</v>
      </c>
      <c r="AK246" s="2" t="s">
        <v>34</v>
      </c>
    </row>
    <row r="247" spans="1:37" x14ac:dyDescent="0.3">
      <c r="A247" s="11">
        <v>2.31051344743276</v>
      </c>
      <c r="B247" s="11">
        <v>397.99002984924601</v>
      </c>
      <c r="C247" s="13" t="s">
        <v>33</v>
      </c>
      <c r="D247" s="13" t="s">
        <v>35</v>
      </c>
      <c r="E247" s="13" t="s">
        <v>170</v>
      </c>
      <c r="F247" s="10">
        <v>0.26</v>
      </c>
      <c r="G247" s="10">
        <v>0.36</v>
      </c>
      <c r="H247" s="11">
        <v>0.314</v>
      </c>
      <c r="I247" s="10">
        <v>0.39</v>
      </c>
      <c r="J247" s="10">
        <v>1.46</v>
      </c>
      <c r="K247" s="10">
        <v>0.97</v>
      </c>
      <c r="L247" s="13">
        <v>0</v>
      </c>
      <c r="M247" s="10">
        <v>64.400000000000006</v>
      </c>
      <c r="N247" s="13" t="s">
        <v>34</v>
      </c>
      <c r="O247" s="10">
        <v>0.87</v>
      </c>
      <c r="P247" s="10">
        <v>0.55000000000000004</v>
      </c>
      <c r="Q247" s="13" t="s">
        <v>34</v>
      </c>
      <c r="R247" s="13">
        <v>2.65</v>
      </c>
      <c r="S247" s="10">
        <f t="shared" si="4"/>
        <v>3.2000000000000003E-4</v>
      </c>
      <c r="T247" s="10" t="s">
        <v>49</v>
      </c>
      <c r="U247" s="10" t="s">
        <v>199</v>
      </c>
      <c r="V247" s="13" t="s">
        <v>162</v>
      </c>
      <c r="W247" s="10" t="s">
        <v>34</v>
      </c>
      <c r="X247" s="13">
        <v>0.3</v>
      </c>
      <c r="Y247" s="13">
        <v>1</v>
      </c>
      <c r="Z247" s="13" t="s">
        <v>200</v>
      </c>
      <c r="AA247" s="13">
        <v>0.3</v>
      </c>
      <c r="AB247" s="13" t="s">
        <v>34</v>
      </c>
      <c r="AC247" s="13" t="s">
        <v>40</v>
      </c>
      <c r="AD247" s="13" t="s">
        <v>32</v>
      </c>
      <c r="AE247" s="13">
        <v>0.76649999999999996</v>
      </c>
      <c r="AF247" s="13" t="s">
        <v>201</v>
      </c>
      <c r="AG247" s="13">
        <v>2020</v>
      </c>
      <c r="AH247" s="13" t="s">
        <v>202</v>
      </c>
      <c r="AI247" s="2">
        <v>50</v>
      </c>
      <c r="AJ247" s="2">
        <v>2</v>
      </c>
      <c r="AK247" s="2" t="s">
        <v>34</v>
      </c>
    </row>
    <row r="248" spans="1:37" x14ac:dyDescent="0.3">
      <c r="A248" s="11">
        <v>2.4474327628361801</v>
      </c>
      <c r="B248" s="11">
        <v>381.90962864321602</v>
      </c>
      <c r="C248" s="13" t="s">
        <v>33</v>
      </c>
      <c r="D248" s="13" t="s">
        <v>35</v>
      </c>
      <c r="E248" s="13" t="s">
        <v>170</v>
      </c>
      <c r="F248" s="10">
        <v>0.26</v>
      </c>
      <c r="G248" s="10">
        <v>0.36</v>
      </c>
      <c r="H248" s="11">
        <v>0.314</v>
      </c>
      <c r="I248" s="10">
        <v>0.39</v>
      </c>
      <c r="J248" s="10">
        <v>1.46</v>
      </c>
      <c r="K248" s="10">
        <v>0.97</v>
      </c>
      <c r="L248" s="13">
        <v>0</v>
      </c>
      <c r="M248" s="10">
        <v>64.400000000000006</v>
      </c>
      <c r="N248" s="13" t="s">
        <v>34</v>
      </c>
      <c r="O248" s="10">
        <v>0.87</v>
      </c>
      <c r="P248" s="10">
        <v>0.55000000000000004</v>
      </c>
      <c r="Q248" s="13" t="s">
        <v>34</v>
      </c>
      <c r="R248" s="13">
        <v>2.65</v>
      </c>
      <c r="S248" s="10">
        <f t="shared" si="4"/>
        <v>3.2000000000000003E-4</v>
      </c>
      <c r="T248" s="10" t="s">
        <v>49</v>
      </c>
      <c r="U248" s="10" t="s">
        <v>199</v>
      </c>
      <c r="V248" s="13" t="s">
        <v>162</v>
      </c>
      <c r="W248" s="10" t="s">
        <v>34</v>
      </c>
      <c r="X248" s="13">
        <v>0.3</v>
      </c>
      <c r="Y248" s="13">
        <v>1</v>
      </c>
      <c r="Z248" s="13" t="s">
        <v>200</v>
      </c>
      <c r="AA248" s="13">
        <v>0.3</v>
      </c>
      <c r="AB248" s="13" t="s">
        <v>34</v>
      </c>
      <c r="AC248" s="13" t="s">
        <v>40</v>
      </c>
      <c r="AD248" s="13" t="s">
        <v>32</v>
      </c>
      <c r="AE248" s="13">
        <v>0.76649999999999996</v>
      </c>
      <c r="AF248" s="13" t="s">
        <v>201</v>
      </c>
      <c r="AG248" s="13">
        <v>2020</v>
      </c>
      <c r="AH248" s="13" t="s">
        <v>202</v>
      </c>
      <c r="AI248" s="2">
        <v>50</v>
      </c>
      <c r="AJ248" s="2">
        <v>2</v>
      </c>
      <c r="AK248" s="2" t="s">
        <v>34</v>
      </c>
    </row>
    <row r="249" spans="1:37" x14ac:dyDescent="0.3">
      <c r="A249" s="11">
        <v>3.1919315403422899</v>
      </c>
      <c r="B249" s="11">
        <v>524.62318934673397</v>
      </c>
      <c r="C249" s="13" t="s">
        <v>33</v>
      </c>
      <c r="D249" s="13" t="s">
        <v>35</v>
      </c>
      <c r="E249" s="13" t="s">
        <v>170</v>
      </c>
      <c r="F249" s="10">
        <v>0.26</v>
      </c>
      <c r="G249" s="10">
        <v>0.36</v>
      </c>
      <c r="H249" s="11">
        <v>0.314</v>
      </c>
      <c r="I249" s="10">
        <v>0.39</v>
      </c>
      <c r="J249" s="10">
        <v>1.46</v>
      </c>
      <c r="K249" s="10">
        <v>0.97</v>
      </c>
      <c r="L249" s="13">
        <v>0</v>
      </c>
      <c r="M249" s="10">
        <v>64.400000000000006</v>
      </c>
      <c r="N249" s="13" t="s">
        <v>34</v>
      </c>
      <c r="O249" s="10">
        <v>0.87</v>
      </c>
      <c r="P249" s="10">
        <v>0.55000000000000004</v>
      </c>
      <c r="Q249" s="13" t="s">
        <v>34</v>
      </c>
      <c r="R249" s="13">
        <v>2.65</v>
      </c>
      <c r="S249" s="10">
        <f t="shared" si="4"/>
        <v>3.2000000000000003E-4</v>
      </c>
      <c r="T249" s="10" t="s">
        <v>49</v>
      </c>
      <c r="U249" s="10" t="s">
        <v>199</v>
      </c>
      <c r="V249" s="13" t="s">
        <v>162</v>
      </c>
      <c r="W249" s="10" t="s">
        <v>34</v>
      </c>
      <c r="X249" s="13">
        <v>0.3</v>
      </c>
      <c r="Y249" s="13">
        <v>1</v>
      </c>
      <c r="Z249" s="13" t="s">
        <v>200</v>
      </c>
      <c r="AA249" s="13">
        <v>0.3</v>
      </c>
      <c r="AB249" s="13" t="s">
        <v>34</v>
      </c>
      <c r="AC249" s="13" t="s">
        <v>40</v>
      </c>
      <c r="AD249" s="13" t="s">
        <v>32</v>
      </c>
      <c r="AE249" s="13">
        <v>0.76649999999999996</v>
      </c>
      <c r="AF249" s="13" t="s">
        <v>201</v>
      </c>
      <c r="AG249" s="13">
        <v>2020</v>
      </c>
      <c r="AH249" s="13" t="s">
        <v>202</v>
      </c>
      <c r="AI249" s="2">
        <v>50</v>
      </c>
      <c r="AJ249" s="2">
        <v>2</v>
      </c>
      <c r="AK249" s="2" t="s">
        <v>34</v>
      </c>
    </row>
    <row r="250" spans="1:37" x14ac:dyDescent="0.3">
      <c r="A250" s="11">
        <v>3.70110024449877</v>
      </c>
      <c r="B250" s="11">
        <v>532.66338994974797</v>
      </c>
      <c r="C250" s="13" t="s">
        <v>33</v>
      </c>
      <c r="D250" s="13" t="s">
        <v>35</v>
      </c>
      <c r="E250" s="13" t="s">
        <v>170</v>
      </c>
      <c r="F250" s="10">
        <v>0.26</v>
      </c>
      <c r="G250" s="10">
        <v>0.36</v>
      </c>
      <c r="H250" s="11">
        <v>0.314</v>
      </c>
      <c r="I250" s="10">
        <v>0.39</v>
      </c>
      <c r="J250" s="10">
        <v>1.46</v>
      </c>
      <c r="K250" s="10">
        <v>0.97</v>
      </c>
      <c r="L250" s="13">
        <v>0</v>
      </c>
      <c r="M250" s="10">
        <v>64.400000000000006</v>
      </c>
      <c r="N250" s="13" t="s">
        <v>34</v>
      </c>
      <c r="O250" s="10">
        <v>0.87</v>
      </c>
      <c r="P250" s="10">
        <v>0.55000000000000004</v>
      </c>
      <c r="Q250" s="13" t="s">
        <v>34</v>
      </c>
      <c r="R250" s="13">
        <v>2.65</v>
      </c>
      <c r="S250" s="10">
        <f t="shared" si="4"/>
        <v>3.2000000000000003E-4</v>
      </c>
      <c r="T250" s="10" t="s">
        <v>49</v>
      </c>
      <c r="U250" s="10" t="s">
        <v>199</v>
      </c>
      <c r="V250" s="13" t="s">
        <v>162</v>
      </c>
      <c r="W250" s="10" t="s">
        <v>34</v>
      </c>
      <c r="X250" s="13">
        <v>0.3</v>
      </c>
      <c r="Y250" s="13">
        <v>1</v>
      </c>
      <c r="Z250" s="13" t="s">
        <v>200</v>
      </c>
      <c r="AA250" s="13">
        <v>0.3</v>
      </c>
      <c r="AB250" s="13" t="s">
        <v>34</v>
      </c>
      <c r="AC250" s="13" t="s">
        <v>40</v>
      </c>
      <c r="AD250" s="13" t="s">
        <v>32</v>
      </c>
      <c r="AE250" s="13">
        <v>0.76649999999999996</v>
      </c>
      <c r="AF250" s="13" t="s">
        <v>201</v>
      </c>
      <c r="AG250" s="13">
        <v>2020</v>
      </c>
      <c r="AH250" s="13" t="s">
        <v>202</v>
      </c>
      <c r="AI250" s="2">
        <v>50</v>
      </c>
      <c r="AJ250" s="2">
        <v>2</v>
      </c>
      <c r="AK250" s="2" t="s">
        <v>34</v>
      </c>
    </row>
    <row r="251" spans="1:37" x14ac:dyDescent="0.3">
      <c r="A251" s="11">
        <v>5.1900977995110003</v>
      </c>
      <c r="B251" s="11">
        <v>693.46740201005002</v>
      </c>
      <c r="C251" s="13" t="s">
        <v>33</v>
      </c>
      <c r="D251" s="13" t="s">
        <v>35</v>
      </c>
      <c r="E251" s="13" t="s">
        <v>170</v>
      </c>
      <c r="F251" s="10">
        <v>0.26</v>
      </c>
      <c r="G251" s="10">
        <v>0.36</v>
      </c>
      <c r="H251" s="11">
        <v>0.314</v>
      </c>
      <c r="I251" s="10">
        <v>0.39</v>
      </c>
      <c r="J251" s="10">
        <v>1.46</v>
      </c>
      <c r="K251" s="10">
        <v>0.97</v>
      </c>
      <c r="L251" s="13">
        <v>0</v>
      </c>
      <c r="M251" s="10">
        <v>64.400000000000006</v>
      </c>
      <c r="N251" s="13" t="s">
        <v>34</v>
      </c>
      <c r="O251" s="10">
        <v>0.87</v>
      </c>
      <c r="P251" s="10">
        <v>0.55000000000000004</v>
      </c>
      <c r="Q251" s="13" t="s">
        <v>34</v>
      </c>
      <c r="R251" s="13">
        <v>2.65</v>
      </c>
      <c r="S251" s="10">
        <f t="shared" si="4"/>
        <v>3.2000000000000003E-4</v>
      </c>
      <c r="T251" s="10" t="s">
        <v>49</v>
      </c>
      <c r="U251" s="10" t="s">
        <v>199</v>
      </c>
      <c r="V251" s="13" t="s">
        <v>162</v>
      </c>
      <c r="W251" s="10" t="s">
        <v>34</v>
      </c>
      <c r="X251" s="13">
        <v>0.3</v>
      </c>
      <c r="Y251" s="13">
        <v>1</v>
      </c>
      <c r="Z251" s="13" t="s">
        <v>200</v>
      </c>
      <c r="AA251" s="13">
        <v>0.3</v>
      </c>
      <c r="AB251" s="13" t="s">
        <v>34</v>
      </c>
      <c r="AC251" s="13" t="s">
        <v>40</v>
      </c>
      <c r="AD251" s="13" t="s">
        <v>32</v>
      </c>
      <c r="AE251" s="13">
        <v>0.76649999999999996</v>
      </c>
      <c r="AF251" s="13" t="s">
        <v>201</v>
      </c>
      <c r="AG251" s="13">
        <v>2020</v>
      </c>
      <c r="AH251" s="13" t="s">
        <v>202</v>
      </c>
      <c r="AI251" s="2">
        <v>50</v>
      </c>
      <c r="AJ251" s="2">
        <v>2</v>
      </c>
      <c r="AK251" s="2" t="s">
        <v>34</v>
      </c>
    </row>
    <row r="252" spans="1:37" x14ac:dyDescent="0.3">
      <c r="A252" s="11">
        <v>6.0501222493887497</v>
      </c>
      <c r="B252" s="11">
        <v>818.09051135678396</v>
      </c>
      <c r="C252" s="13" t="s">
        <v>33</v>
      </c>
      <c r="D252" s="13" t="s">
        <v>35</v>
      </c>
      <c r="E252" s="13" t="s">
        <v>170</v>
      </c>
      <c r="F252" s="10">
        <v>0.26</v>
      </c>
      <c r="G252" s="10">
        <v>0.36</v>
      </c>
      <c r="H252" s="11">
        <v>0.314</v>
      </c>
      <c r="I252" s="10">
        <v>0.39</v>
      </c>
      <c r="J252" s="10">
        <v>1.46</v>
      </c>
      <c r="K252" s="10">
        <v>0.97</v>
      </c>
      <c r="L252" s="13">
        <v>0</v>
      </c>
      <c r="M252" s="10">
        <v>64.400000000000006</v>
      </c>
      <c r="N252" s="13" t="s">
        <v>34</v>
      </c>
      <c r="O252" s="10">
        <v>0.87</v>
      </c>
      <c r="P252" s="10">
        <v>0.55000000000000004</v>
      </c>
      <c r="Q252" s="13" t="s">
        <v>34</v>
      </c>
      <c r="R252" s="13">
        <v>2.65</v>
      </c>
      <c r="S252" s="10">
        <f t="shared" si="4"/>
        <v>3.2000000000000003E-4</v>
      </c>
      <c r="T252" s="10" t="s">
        <v>49</v>
      </c>
      <c r="U252" s="10" t="s">
        <v>199</v>
      </c>
      <c r="V252" s="13" t="s">
        <v>162</v>
      </c>
      <c r="W252" s="10" t="s">
        <v>34</v>
      </c>
      <c r="X252" s="13">
        <v>0.3</v>
      </c>
      <c r="Y252" s="13">
        <v>1</v>
      </c>
      <c r="Z252" s="13" t="s">
        <v>200</v>
      </c>
      <c r="AA252" s="13">
        <v>0.3</v>
      </c>
      <c r="AB252" s="13" t="s">
        <v>34</v>
      </c>
      <c r="AC252" s="13" t="s">
        <v>40</v>
      </c>
      <c r="AD252" s="13" t="s">
        <v>32</v>
      </c>
      <c r="AE252" s="13">
        <v>0.76649999999999996</v>
      </c>
      <c r="AF252" s="13" t="s">
        <v>201</v>
      </c>
      <c r="AG252" s="13">
        <v>2020</v>
      </c>
      <c r="AH252" s="13" t="s">
        <v>202</v>
      </c>
      <c r="AI252" s="2">
        <v>50</v>
      </c>
      <c r="AJ252" s="2">
        <v>2</v>
      </c>
      <c r="AK252" s="2" t="s">
        <v>34</v>
      </c>
    </row>
    <row r="253" spans="1:37" s="15" customFormat="1" ht="16.2" thickBot="1" x14ac:dyDescent="0.35">
      <c r="A253" s="17">
        <v>6.5165036674816603</v>
      </c>
      <c r="B253" s="17">
        <v>882.41211618090404</v>
      </c>
      <c r="C253" s="18" t="s">
        <v>33</v>
      </c>
      <c r="D253" s="18" t="s">
        <v>35</v>
      </c>
      <c r="E253" s="18" t="s">
        <v>170</v>
      </c>
      <c r="F253" s="14">
        <v>0.26</v>
      </c>
      <c r="G253" s="14">
        <v>0.36</v>
      </c>
      <c r="H253" s="17">
        <v>0.314</v>
      </c>
      <c r="I253" s="14">
        <v>0.39</v>
      </c>
      <c r="J253" s="14">
        <v>1.46</v>
      </c>
      <c r="K253" s="14">
        <v>0.97</v>
      </c>
      <c r="L253" s="18">
        <v>0</v>
      </c>
      <c r="M253" s="14">
        <v>64.400000000000006</v>
      </c>
      <c r="N253" s="14" t="s">
        <v>34</v>
      </c>
      <c r="O253" s="14">
        <v>0.87</v>
      </c>
      <c r="P253" s="14">
        <v>0.55000000000000004</v>
      </c>
      <c r="Q253" s="14" t="s">
        <v>34</v>
      </c>
      <c r="R253" s="18">
        <v>2.65</v>
      </c>
      <c r="S253" s="14">
        <f t="shared" si="4"/>
        <v>3.2000000000000003E-4</v>
      </c>
      <c r="T253" s="14" t="s">
        <v>49</v>
      </c>
      <c r="U253" s="14" t="s">
        <v>199</v>
      </c>
      <c r="V253" s="18" t="s">
        <v>162</v>
      </c>
      <c r="W253" s="14" t="s">
        <v>34</v>
      </c>
      <c r="X253" s="18">
        <v>0.3</v>
      </c>
      <c r="Y253" s="18">
        <v>1</v>
      </c>
      <c r="Z253" s="18" t="s">
        <v>200</v>
      </c>
      <c r="AA253" s="18">
        <v>0.3</v>
      </c>
      <c r="AB253" s="18" t="s">
        <v>34</v>
      </c>
      <c r="AC253" s="18" t="s">
        <v>40</v>
      </c>
      <c r="AD253" s="18" t="s">
        <v>32</v>
      </c>
      <c r="AE253" s="18">
        <v>0.76649999999999996</v>
      </c>
      <c r="AF253" s="18" t="s">
        <v>201</v>
      </c>
      <c r="AG253" s="18">
        <v>2020</v>
      </c>
      <c r="AH253" s="18" t="s">
        <v>202</v>
      </c>
      <c r="AI253" s="62">
        <v>50</v>
      </c>
      <c r="AJ253" s="34">
        <v>2</v>
      </c>
      <c r="AK253" s="34" t="s">
        <v>34</v>
      </c>
    </row>
    <row r="254" spans="1:37" x14ac:dyDescent="0.3">
      <c r="A254" s="12">
        <v>3</v>
      </c>
      <c r="B254" s="12">
        <v>53.594771241830003</v>
      </c>
      <c r="C254" s="13" t="s">
        <v>33</v>
      </c>
      <c r="D254" s="13" t="s">
        <v>35</v>
      </c>
      <c r="E254" s="13" t="s">
        <v>170</v>
      </c>
      <c r="F254" s="13">
        <v>0.25</v>
      </c>
      <c r="G254" s="13">
        <v>0.72</v>
      </c>
      <c r="H254" s="13">
        <v>0.44</v>
      </c>
      <c r="I254" s="13">
        <v>0.98</v>
      </c>
      <c r="J254" s="13">
        <v>3.92</v>
      </c>
      <c r="K254" s="12">
        <v>0.7902040816326531</v>
      </c>
      <c r="L254" s="13">
        <v>0</v>
      </c>
      <c r="M254" s="13">
        <v>20</v>
      </c>
      <c r="N254" s="13" t="s">
        <v>34</v>
      </c>
      <c r="O254" s="13">
        <v>0.74</v>
      </c>
      <c r="P254" s="13">
        <v>0.43</v>
      </c>
      <c r="Q254" s="13" t="s">
        <v>34</v>
      </c>
      <c r="R254" s="13" t="s">
        <v>34</v>
      </c>
      <c r="S254" s="13" t="s">
        <v>34</v>
      </c>
      <c r="T254" s="13" t="s">
        <v>49</v>
      </c>
      <c r="U254" s="13" t="s">
        <v>204</v>
      </c>
      <c r="V254" s="13" t="s">
        <v>162</v>
      </c>
      <c r="W254" s="13">
        <v>2</v>
      </c>
      <c r="X254" s="13">
        <v>1</v>
      </c>
      <c r="Y254" s="13">
        <v>1.5</v>
      </c>
      <c r="Z254" s="13" t="s">
        <v>204</v>
      </c>
      <c r="AA254" s="13">
        <v>0.19800000000000001</v>
      </c>
      <c r="AB254" s="13" t="s">
        <v>34</v>
      </c>
      <c r="AC254" s="13" t="s">
        <v>203</v>
      </c>
      <c r="AD254" s="13" t="s">
        <v>32</v>
      </c>
      <c r="AE254" s="13">
        <v>0.70120000000000005</v>
      </c>
      <c r="AF254" s="13" t="s">
        <v>205</v>
      </c>
      <c r="AG254" s="13">
        <v>2021</v>
      </c>
      <c r="AH254" s="13" t="s">
        <v>206</v>
      </c>
      <c r="AI254" s="2" t="s">
        <v>43</v>
      </c>
      <c r="AJ254" s="2" t="s">
        <v>43</v>
      </c>
      <c r="AK254" s="2" t="s">
        <v>43</v>
      </c>
    </row>
    <row r="255" spans="1:37" x14ac:dyDescent="0.3">
      <c r="A255" s="11">
        <v>4.3</v>
      </c>
      <c r="B255" s="11">
        <v>223.529411764705</v>
      </c>
      <c r="C255" s="10" t="s">
        <v>33</v>
      </c>
      <c r="D255" s="13" t="s">
        <v>35</v>
      </c>
      <c r="E255" s="13" t="s">
        <v>170</v>
      </c>
      <c r="F255" s="10">
        <v>0.25</v>
      </c>
      <c r="G255" s="10">
        <v>0.72</v>
      </c>
      <c r="H255" s="13">
        <v>0.44</v>
      </c>
      <c r="I255" s="13">
        <v>0.98</v>
      </c>
      <c r="J255" s="13">
        <v>3.92</v>
      </c>
      <c r="K255" s="12">
        <v>0.7902040816326531</v>
      </c>
      <c r="L255" s="13">
        <v>0</v>
      </c>
      <c r="M255" s="13">
        <v>20</v>
      </c>
      <c r="N255" s="13" t="s">
        <v>34</v>
      </c>
      <c r="O255" s="13">
        <v>0.74</v>
      </c>
      <c r="P255" s="13">
        <v>0.43</v>
      </c>
      <c r="Q255" s="13" t="s">
        <v>34</v>
      </c>
      <c r="R255" s="13" t="s">
        <v>34</v>
      </c>
      <c r="S255" s="13" t="s">
        <v>34</v>
      </c>
      <c r="T255" s="13" t="s">
        <v>49</v>
      </c>
      <c r="U255" s="13" t="s">
        <v>204</v>
      </c>
      <c r="V255" s="13" t="s">
        <v>162</v>
      </c>
      <c r="W255" s="10">
        <v>3</v>
      </c>
      <c r="X255" s="10">
        <v>1</v>
      </c>
      <c r="Y255" s="10">
        <v>1.5</v>
      </c>
      <c r="Z255" s="13" t="s">
        <v>204</v>
      </c>
      <c r="AA255" s="10">
        <v>0.19800000000000001</v>
      </c>
      <c r="AB255" s="13" t="s">
        <v>34</v>
      </c>
      <c r="AC255" s="13" t="s">
        <v>203</v>
      </c>
      <c r="AD255" s="13" t="s">
        <v>32</v>
      </c>
      <c r="AE255" s="13">
        <v>0.70120000000000005</v>
      </c>
      <c r="AF255" s="13" t="s">
        <v>205</v>
      </c>
      <c r="AG255" s="13">
        <v>2021</v>
      </c>
      <c r="AH255" s="13" t="s">
        <v>206</v>
      </c>
      <c r="AI255" s="60" t="s">
        <v>43</v>
      </c>
      <c r="AJ255" s="59" t="s">
        <v>43</v>
      </c>
      <c r="AK255" s="59" t="s">
        <v>43</v>
      </c>
    </row>
    <row r="256" spans="1:37" x14ac:dyDescent="0.3">
      <c r="A256" s="11">
        <v>6.3</v>
      </c>
      <c r="B256" s="11">
        <v>372.54901960784298</v>
      </c>
      <c r="C256" s="10" t="s">
        <v>33</v>
      </c>
      <c r="D256" s="13" t="s">
        <v>35</v>
      </c>
      <c r="E256" s="13" t="s">
        <v>170</v>
      </c>
      <c r="F256" s="10">
        <v>0.25</v>
      </c>
      <c r="G256" s="10">
        <v>0.72</v>
      </c>
      <c r="H256" s="13">
        <v>0.44</v>
      </c>
      <c r="I256" s="13">
        <v>0.98</v>
      </c>
      <c r="J256" s="13">
        <v>3.92</v>
      </c>
      <c r="K256" s="12">
        <v>0.7902040816326531</v>
      </c>
      <c r="L256" s="13">
        <v>0</v>
      </c>
      <c r="M256" s="13">
        <v>20</v>
      </c>
      <c r="N256" s="13" t="s">
        <v>34</v>
      </c>
      <c r="O256" s="13">
        <v>0.74</v>
      </c>
      <c r="P256" s="13">
        <v>0.43</v>
      </c>
      <c r="Q256" s="13" t="s">
        <v>34</v>
      </c>
      <c r="R256" s="13" t="s">
        <v>34</v>
      </c>
      <c r="S256" s="13" t="s">
        <v>34</v>
      </c>
      <c r="T256" s="13" t="s">
        <v>49</v>
      </c>
      <c r="U256" s="13" t="s">
        <v>204</v>
      </c>
      <c r="V256" s="13" t="s">
        <v>162</v>
      </c>
      <c r="W256" s="10">
        <v>4</v>
      </c>
      <c r="X256" s="10">
        <v>1</v>
      </c>
      <c r="Y256" s="10">
        <v>1.5</v>
      </c>
      <c r="Z256" s="13" t="s">
        <v>204</v>
      </c>
      <c r="AA256" s="10">
        <v>0.19800000000000001</v>
      </c>
      <c r="AB256" s="13" t="s">
        <v>34</v>
      </c>
      <c r="AC256" s="13" t="s">
        <v>203</v>
      </c>
      <c r="AD256" s="13" t="s">
        <v>32</v>
      </c>
      <c r="AE256" s="13">
        <v>0.70120000000000005</v>
      </c>
      <c r="AF256" s="13" t="s">
        <v>205</v>
      </c>
      <c r="AG256" s="13">
        <v>2021</v>
      </c>
      <c r="AH256" s="13" t="s">
        <v>206</v>
      </c>
      <c r="AI256" s="57" t="s">
        <v>43</v>
      </c>
      <c r="AJ256" s="2" t="s">
        <v>43</v>
      </c>
      <c r="AK256" s="2" t="s">
        <v>43</v>
      </c>
    </row>
    <row r="257" spans="1:37" x14ac:dyDescent="0.3">
      <c r="A257" s="11">
        <v>4.0999999999999996</v>
      </c>
      <c r="B257" s="11">
        <v>100.653594771241</v>
      </c>
      <c r="C257" s="10" t="s">
        <v>33</v>
      </c>
      <c r="D257" s="13" t="s">
        <v>35</v>
      </c>
      <c r="E257" s="13" t="s">
        <v>170</v>
      </c>
      <c r="F257" s="10">
        <v>0.25</v>
      </c>
      <c r="G257" s="10">
        <v>0.72</v>
      </c>
      <c r="H257" s="13">
        <v>0.44</v>
      </c>
      <c r="I257" s="13">
        <v>0.98</v>
      </c>
      <c r="J257" s="13">
        <v>3.92</v>
      </c>
      <c r="K257" s="12">
        <v>0.7902040816326531</v>
      </c>
      <c r="L257" s="13">
        <v>0</v>
      </c>
      <c r="M257" s="13">
        <v>20</v>
      </c>
      <c r="N257" s="13" t="s">
        <v>34</v>
      </c>
      <c r="O257" s="13">
        <v>0.74</v>
      </c>
      <c r="P257" s="13">
        <v>0.43</v>
      </c>
      <c r="Q257" s="13" t="s">
        <v>34</v>
      </c>
      <c r="R257" s="13" t="s">
        <v>34</v>
      </c>
      <c r="S257" s="13" t="s">
        <v>34</v>
      </c>
      <c r="T257" s="13" t="s">
        <v>49</v>
      </c>
      <c r="U257" s="13" t="s">
        <v>204</v>
      </c>
      <c r="V257" s="13" t="s">
        <v>162</v>
      </c>
      <c r="W257" s="10">
        <v>2</v>
      </c>
      <c r="X257" s="10">
        <v>1.5</v>
      </c>
      <c r="Y257" s="10">
        <v>1.5</v>
      </c>
      <c r="Z257" s="13" t="s">
        <v>204</v>
      </c>
      <c r="AA257" s="10">
        <v>0.29699999999999999</v>
      </c>
      <c r="AB257" s="13" t="s">
        <v>34</v>
      </c>
      <c r="AC257" s="13" t="s">
        <v>203</v>
      </c>
      <c r="AD257" s="13" t="s">
        <v>32</v>
      </c>
      <c r="AE257" s="13">
        <v>0.70120000000000005</v>
      </c>
      <c r="AF257" s="13" t="s">
        <v>205</v>
      </c>
      <c r="AG257" s="13">
        <v>2021</v>
      </c>
      <c r="AH257" s="13" t="s">
        <v>206</v>
      </c>
      <c r="AI257" s="57" t="s">
        <v>43</v>
      </c>
      <c r="AJ257" s="2" t="s">
        <v>43</v>
      </c>
      <c r="AK257" s="2" t="s">
        <v>43</v>
      </c>
    </row>
    <row r="258" spans="1:37" x14ac:dyDescent="0.3">
      <c r="A258" s="11">
        <v>5.4</v>
      </c>
      <c r="B258" s="11">
        <v>662.74509803921501</v>
      </c>
      <c r="C258" s="10" t="s">
        <v>33</v>
      </c>
      <c r="D258" s="13" t="s">
        <v>35</v>
      </c>
      <c r="E258" s="13" t="s">
        <v>170</v>
      </c>
      <c r="F258" s="10">
        <v>0.25</v>
      </c>
      <c r="G258" s="10">
        <v>0.72</v>
      </c>
      <c r="H258" s="13">
        <v>0.44</v>
      </c>
      <c r="I258" s="13">
        <v>0.98</v>
      </c>
      <c r="J258" s="13">
        <v>3.92</v>
      </c>
      <c r="K258" s="12">
        <v>0.7902040816326531</v>
      </c>
      <c r="L258" s="13">
        <v>0</v>
      </c>
      <c r="M258" s="13">
        <v>20</v>
      </c>
      <c r="N258" s="13" t="s">
        <v>34</v>
      </c>
      <c r="O258" s="13">
        <v>0.74</v>
      </c>
      <c r="P258" s="13">
        <v>0.43</v>
      </c>
      <c r="Q258" s="13" t="s">
        <v>34</v>
      </c>
      <c r="R258" s="13" t="s">
        <v>34</v>
      </c>
      <c r="S258" s="13" t="s">
        <v>34</v>
      </c>
      <c r="T258" s="13" t="s">
        <v>49</v>
      </c>
      <c r="U258" s="13" t="s">
        <v>204</v>
      </c>
      <c r="V258" s="13" t="s">
        <v>162</v>
      </c>
      <c r="W258" s="10">
        <v>3</v>
      </c>
      <c r="X258" s="10">
        <v>1.5</v>
      </c>
      <c r="Y258" s="10">
        <v>1.5</v>
      </c>
      <c r="Z258" s="13" t="s">
        <v>204</v>
      </c>
      <c r="AA258" s="10">
        <v>0.29699999999999999</v>
      </c>
      <c r="AB258" s="13" t="s">
        <v>34</v>
      </c>
      <c r="AC258" s="13" t="s">
        <v>203</v>
      </c>
      <c r="AD258" s="13" t="s">
        <v>32</v>
      </c>
      <c r="AE258" s="13">
        <v>0.70120000000000005</v>
      </c>
      <c r="AF258" s="13" t="s">
        <v>205</v>
      </c>
      <c r="AG258" s="13">
        <v>2021</v>
      </c>
      <c r="AH258" s="13" t="s">
        <v>206</v>
      </c>
      <c r="AI258" s="57" t="s">
        <v>43</v>
      </c>
      <c r="AJ258" s="2" t="s">
        <v>43</v>
      </c>
      <c r="AK258" s="2" t="s">
        <v>43</v>
      </c>
    </row>
    <row r="259" spans="1:37" s="15" customFormat="1" ht="16.2" thickBot="1" x14ac:dyDescent="0.35">
      <c r="A259" s="17">
        <v>6.9</v>
      </c>
      <c r="B259" s="17">
        <v>792.15686274509801</v>
      </c>
      <c r="C259" s="14" t="s">
        <v>33</v>
      </c>
      <c r="D259" s="18" t="s">
        <v>35</v>
      </c>
      <c r="E259" s="18" t="s">
        <v>170</v>
      </c>
      <c r="F259" s="14">
        <v>0.25</v>
      </c>
      <c r="G259" s="14">
        <v>0.72</v>
      </c>
      <c r="H259" s="18">
        <v>0.44</v>
      </c>
      <c r="I259" s="18">
        <v>0.98</v>
      </c>
      <c r="J259" s="18">
        <v>3.92</v>
      </c>
      <c r="K259" s="19">
        <v>0.7902040816326531</v>
      </c>
      <c r="L259" s="18">
        <v>0</v>
      </c>
      <c r="M259" s="18">
        <v>20</v>
      </c>
      <c r="N259" s="18" t="s">
        <v>34</v>
      </c>
      <c r="O259" s="18">
        <v>0.74</v>
      </c>
      <c r="P259" s="18">
        <v>0.43</v>
      </c>
      <c r="Q259" s="18" t="s">
        <v>34</v>
      </c>
      <c r="R259" s="18" t="s">
        <v>34</v>
      </c>
      <c r="S259" s="18" t="s">
        <v>34</v>
      </c>
      <c r="T259" s="18" t="s">
        <v>49</v>
      </c>
      <c r="U259" s="18" t="s">
        <v>204</v>
      </c>
      <c r="V259" s="18" t="s">
        <v>162</v>
      </c>
      <c r="W259" s="14">
        <v>4</v>
      </c>
      <c r="X259" s="14">
        <v>1.5</v>
      </c>
      <c r="Y259" s="14">
        <v>1.5</v>
      </c>
      <c r="Z259" s="18" t="s">
        <v>204</v>
      </c>
      <c r="AA259" s="14">
        <v>0.29699999999999999</v>
      </c>
      <c r="AB259" s="18" t="s">
        <v>34</v>
      </c>
      <c r="AC259" s="18" t="s">
        <v>203</v>
      </c>
      <c r="AD259" s="18" t="s">
        <v>32</v>
      </c>
      <c r="AE259" s="18">
        <v>0.70120000000000005</v>
      </c>
      <c r="AF259" s="18" t="s">
        <v>205</v>
      </c>
      <c r="AG259" s="18">
        <v>2021</v>
      </c>
      <c r="AH259" s="18" t="s">
        <v>206</v>
      </c>
      <c r="AI259" s="61" t="s">
        <v>43</v>
      </c>
      <c r="AJ259" s="15" t="s">
        <v>43</v>
      </c>
      <c r="AK259" s="15" t="s">
        <v>43</v>
      </c>
    </row>
    <row r="260" spans="1:37" s="30" customFormat="1" ht="16.2" thickBot="1" x14ac:dyDescent="0.35">
      <c r="A260" s="28">
        <v>2.9</v>
      </c>
      <c r="B260" s="28">
        <v>1330</v>
      </c>
      <c r="C260" s="29" t="s">
        <v>33</v>
      </c>
      <c r="D260" s="29" t="s">
        <v>47</v>
      </c>
      <c r="E260" s="29" t="s">
        <v>170</v>
      </c>
      <c r="F260" s="29">
        <v>0.26</v>
      </c>
      <c r="G260" s="29">
        <v>0.33</v>
      </c>
      <c r="H260" s="29">
        <v>0.28599999999999998</v>
      </c>
      <c r="I260" s="29">
        <v>0.35099999999999998</v>
      </c>
      <c r="J260" s="29">
        <v>1.35</v>
      </c>
      <c r="K260" s="29">
        <v>0.9</v>
      </c>
      <c r="L260" s="29" t="s">
        <v>34</v>
      </c>
      <c r="M260" s="29" t="s">
        <v>34</v>
      </c>
      <c r="N260" s="29" t="s">
        <v>34</v>
      </c>
      <c r="O260" s="29" t="s">
        <v>34</v>
      </c>
      <c r="P260" s="29" t="s">
        <v>34</v>
      </c>
      <c r="Q260" s="29" t="s">
        <v>34</v>
      </c>
      <c r="R260" s="29" t="s">
        <v>34</v>
      </c>
      <c r="S260" s="29" t="s">
        <v>34</v>
      </c>
      <c r="T260" s="29" t="s">
        <v>49</v>
      </c>
      <c r="U260" s="29" t="s">
        <v>50</v>
      </c>
      <c r="V260" s="29" t="s">
        <v>207</v>
      </c>
      <c r="W260" s="29" t="s">
        <v>34</v>
      </c>
      <c r="X260" s="29">
        <v>1</v>
      </c>
      <c r="Y260" s="29">
        <v>1.5</v>
      </c>
      <c r="Z260" s="29" t="s">
        <v>51</v>
      </c>
      <c r="AA260" s="29">
        <v>0.40699999999999997</v>
      </c>
      <c r="AB260" s="29" t="s">
        <v>34</v>
      </c>
      <c r="AC260" s="29" t="s">
        <v>40</v>
      </c>
      <c r="AD260" s="29" t="s">
        <v>32</v>
      </c>
      <c r="AE260" s="29" t="s">
        <v>34</v>
      </c>
      <c r="AF260" s="29" t="s">
        <v>208</v>
      </c>
      <c r="AG260" s="29">
        <v>2018</v>
      </c>
      <c r="AH260" s="29" t="s">
        <v>209</v>
      </c>
      <c r="AI260" s="30">
        <v>51</v>
      </c>
      <c r="AJ260" s="30" t="s">
        <v>43</v>
      </c>
      <c r="AK260" s="30">
        <v>1</v>
      </c>
    </row>
    <row r="261" spans="1:37" x14ac:dyDescent="0.3">
      <c r="A261" s="12">
        <v>1.1458733205374201</v>
      </c>
      <c r="B261" s="12">
        <v>116.182572614107</v>
      </c>
      <c r="C261" s="13" t="s">
        <v>33</v>
      </c>
      <c r="D261" s="13" t="s">
        <v>35</v>
      </c>
      <c r="E261" s="13" t="s">
        <v>170</v>
      </c>
      <c r="F261" s="13">
        <v>0.2</v>
      </c>
      <c r="G261" s="13">
        <v>0.36</v>
      </c>
      <c r="H261" s="13">
        <v>0.31900000000000001</v>
      </c>
      <c r="I261" s="13">
        <v>0.39300000000000002</v>
      </c>
      <c r="J261" s="13">
        <v>1.9650000000000001</v>
      </c>
      <c r="K261" s="13">
        <v>1.29</v>
      </c>
      <c r="L261" s="13">
        <v>0</v>
      </c>
      <c r="M261" s="13" t="s">
        <v>34</v>
      </c>
      <c r="N261" s="13">
        <v>1600</v>
      </c>
      <c r="O261" s="13" t="s">
        <v>34</v>
      </c>
      <c r="P261" s="13" t="s">
        <v>34</v>
      </c>
      <c r="Q261" s="13">
        <v>0</v>
      </c>
      <c r="R261" s="13">
        <v>2.65</v>
      </c>
      <c r="S261" s="13" t="s">
        <v>34</v>
      </c>
      <c r="T261" s="13" t="s">
        <v>49</v>
      </c>
      <c r="U261" s="13" t="s">
        <v>50</v>
      </c>
      <c r="V261" s="13" t="s">
        <v>207</v>
      </c>
      <c r="W261" s="13" t="s">
        <v>34</v>
      </c>
      <c r="X261" s="13">
        <v>1</v>
      </c>
      <c r="Y261" s="13">
        <v>1.5</v>
      </c>
      <c r="Z261" s="13" t="s">
        <v>177</v>
      </c>
      <c r="AA261" s="13">
        <v>0.13500000000000001</v>
      </c>
      <c r="AB261" s="13" t="s">
        <v>34</v>
      </c>
      <c r="AC261" s="13" t="s">
        <v>203</v>
      </c>
      <c r="AD261" s="13" t="s">
        <v>32</v>
      </c>
      <c r="AE261" s="13">
        <v>0.84240000000000004</v>
      </c>
      <c r="AF261" s="13" t="s">
        <v>210</v>
      </c>
      <c r="AG261" s="13">
        <v>2021</v>
      </c>
      <c r="AH261" s="13" t="s">
        <v>211</v>
      </c>
      <c r="AI261" s="2">
        <v>50</v>
      </c>
      <c r="AJ261" s="2">
        <v>2</v>
      </c>
      <c r="AK261" s="2">
        <v>0.5</v>
      </c>
    </row>
    <row r="262" spans="1:37" x14ac:dyDescent="0.3">
      <c r="A262" s="11">
        <v>1.0652591170825301</v>
      </c>
      <c r="B262" s="11">
        <v>188.796680497925</v>
      </c>
      <c r="C262" s="13" t="s">
        <v>33</v>
      </c>
      <c r="D262" s="13" t="s">
        <v>35</v>
      </c>
      <c r="E262" s="13" t="s">
        <v>170</v>
      </c>
      <c r="F262" s="13">
        <v>0.2</v>
      </c>
      <c r="G262" s="13">
        <v>0.36</v>
      </c>
      <c r="H262" s="13">
        <v>0.31900000000000001</v>
      </c>
      <c r="I262" s="13">
        <v>0.39300000000000002</v>
      </c>
      <c r="J262" s="13">
        <v>1.9650000000000001</v>
      </c>
      <c r="K262" s="13">
        <v>1.29</v>
      </c>
      <c r="L262" s="13">
        <v>0</v>
      </c>
      <c r="M262" s="13" t="s">
        <v>34</v>
      </c>
      <c r="N262" s="13">
        <v>1600</v>
      </c>
      <c r="O262" s="13" t="s">
        <v>34</v>
      </c>
      <c r="P262" s="13" t="s">
        <v>34</v>
      </c>
      <c r="Q262" s="13">
        <v>0</v>
      </c>
      <c r="R262" s="13">
        <v>2.65</v>
      </c>
      <c r="S262" s="13" t="s">
        <v>34</v>
      </c>
      <c r="T262" s="13" t="s">
        <v>49</v>
      </c>
      <c r="U262" s="13" t="s">
        <v>50</v>
      </c>
      <c r="V262" s="13" t="s">
        <v>207</v>
      </c>
      <c r="W262" s="13" t="s">
        <v>34</v>
      </c>
      <c r="X262" s="10">
        <v>1</v>
      </c>
      <c r="Y262" s="13">
        <v>1.5</v>
      </c>
      <c r="Z262" s="13" t="s">
        <v>177</v>
      </c>
      <c r="AA262" s="10">
        <v>0.13500000000000001</v>
      </c>
      <c r="AB262" s="13" t="s">
        <v>34</v>
      </c>
      <c r="AC262" s="13" t="s">
        <v>203</v>
      </c>
      <c r="AD262" s="13" t="s">
        <v>32</v>
      </c>
      <c r="AE262" s="13">
        <v>0.84240000000000004</v>
      </c>
      <c r="AF262" s="13" t="s">
        <v>210</v>
      </c>
      <c r="AG262" s="13">
        <v>2021</v>
      </c>
      <c r="AH262" s="13" t="s">
        <v>211</v>
      </c>
      <c r="AI262" s="2">
        <v>50</v>
      </c>
      <c r="AJ262" s="2">
        <v>2</v>
      </c>
      <c r="AK262" s="2">
        <v>0.5</v>
      </c>
    </row>
    <row r="263" spans="1:37" x14ac:dyDescent="0.3">
      <c r="A263" s="11">
        <v>1.08829174664107</v>
      </c>
      <c r="B263" s="11">
        <v>210.58091286307101</v>
      </c>
      <c r="C263" s="13" t="s">
        <v>33</v>
      </c>
      <c r="D263" s="13" t="s">
        <v>35</v>
      </c>
      <c r="E263" s="13" t="s">
        <v>170</v>
      </c>
      <c r="F263" s="13">
        <v>0.2</v>
      </c>
      <c r="G263" s="13">
        <v>0.36</v>
      </c>
      <c r="H263" s="13">
        <v>0.31900000000000001</v>
      </c>
      <c r="I263" s="13">
        <v>0.39300000000000002</v>
      </c>
      <c r="J263" s="13">
        <v>1.9650000000000001</v>
      </c>
      <c r="K263" s="13">
        <v>1.29</v>
      </c>
      <c r="L263" s="13">
        <v>0</v>
      </c>
      <c r="M263" s="13" t="s">
        <v>34</v>
      </c>
      <c r="N263" s="13">
        <v>1600</v>
      </c>
      <c r="O263" s="13" t="s">
        <v>34</v>
      </c>
      <c r="P263" s="13" t="s">
        <v>34</v>
      </c>
      <c r="Q263" s="13">
        <v>0</v>
      </c>
      <c r="R263" s="13">
        <v>2.65</v>
      </c>
      <c r="S263" s="13" t="s">
        <v>34</v>
      </c>
      <c r="T263" s="13" t="s">
        <v>49</v>
      </c>
      <c r="U263" s="13" t="s">
        <v>50</v>
      </c>
      <c r="V263" s="13" t="s">
        <v>207</v>
      </c>
      <c r="W263" s="13" t="s">
        <v>34</v>
      </c>
      <c r="X263" s="10">
        <v>1</v>
      </c>
      <c r="Y263" s="13">
        <v>1.5</v>
      </c>
      <c r="Z263" s="13" t="s">
        <v>177</v>
      </c>
      <c r="AA263" s="10">
        <v>0.13500000000000001</v>
      </c>
      <c r="AB263" s="13" t="s">
        <v>34</v>
      </c>
      <c r="AC263" s="13" t="s">
        <v>203</v>
      </c>
      <c r="AD263" s="13" t="s">
        <v>32</v>
      </c>
      <c r="AE263" s="13">
        <v>0.84240000000000004</v>
      </c>
      <c r="AF263" s="13" t="s">
        <v>210</v>
      </c>
      <c r="AG263" s="13">
        <v>2021</v>
      </c>
      <c r="AH263" s="13" t="s">
        <v>211</v>
      </c>
      <c r="AI263" s="2">
        <v>50</v>
      </c>
      <c r="AJ263" s="2">
        <v>2</v>
      </c>
      <c r="AK263" s="2">
        <v>0.5</v>
      </c>
    </row>
    <row r="264" spans="1:37" x14ac:dyDescent="0.3">
      <c r="A264" s="11">
        <v>1.20345489443378</v>
      </c>
      <c r="B264" s="11">
        <v>239.62655601659799</v>
      </c>
      <c r="C264" s="13" t="s">
        <v>33</v>
      </c>
      <c r="D264" s="13" t="s">
        <v>35</v>
      </c>
      <c r="E264" s="13" t="s">
        <v>170</v>
      </c>
      <c r="F264" s="13">
        <v>0.2</v>
      </c>
      <c r="G264" s="13">
        <v>0.36</v>
      </c>
      <c r="H264" s="13">
        <v>0.31900000000000001</v>
      </c>
      <c r="I264" s="13">
        <v>0.39300000000000002</v>
      </c>
      <c r="J264" s="13">
        <v>1.9650000000000001</v>
      </c>
      <c r="K264" s="13">
        <v>1.29</v>
      </c>
      <c r="L264" s="13">
        <v>0</v>
      </c>
      <c r="M264" s="13" t="s">
        <v>34</v>
      </c>
      <c r="N264" s="13">
        <v>1600</v>
      </c>
      <c r="O264" s="13" t="s">
        <v>34</v>
      </c>
      <c r="P264" s="13" t="s">
        <v>34</v>
      </c>
      <c r="Q264" s="13">
        <v>0</v>
      </c>
      <c r="R264" s="13">
        <v>2.65</v>
      </c>
      <c r="S264" s="13" t="s">
        <v>34</v>
      </c>
      <c r="T264" s="13" t="s">
        <v>49</v>
      </c>
      <c r="U264" s="13" t="s">
        <v>50</v>
      </c>
      <c r="V264" s="13" t="s">
        <v>207</v>
      </c>
      <c r="W264" s="13" t="s">
        <v>34</v>
      </c>
      <c r="X264" s="10">
        <v>1</v>
      </c>
      <c r="Y264" s="13">
        <v>1.5</v>
      </c>
      <c r="Z264" s="13" t="s">
        <v>177</v>
      </c>
      <c r="AA264" s="10">
        <v>0.13500000000000001</v>
      </c>
      <c r="AB264" s="13" t="s">
        <v>34</v>
      </c>
      <c r="AC264" s="13" t="s">
        <v>203</v>
      </c>
      <c r="AD264" s="13" t="s">
        <v>32</v>
      </c>
      <c r="AE264" s="13">
        <v>0.84240000000000004</v>
      </c>
      <c r="AF264" s="13" t="s">
        <v>210</v>
      </c>
      <c r="AG264" s="13">
        <v>2021</v>
      </c>
      <c r="AH264" s="13" t="s">
        <v>211</v>
      </c>
      <c r="AI264" s="2">
        <v>50</v>
      </c>
      <c r="AJ264" s="2">
        <v>2</v>
      </c>
      <c r="AK264" s="2">
        <v>0.5</v>
      </c>
    </row>
    <row r="265" spans="1:37" x14ac:dyDescent="0.3">
      <c r="A265" s="11">
        <v>1.1285988483685201</v>
      </c>
      <c r="B265" s="11">
        <v>275.93360995850702</v>
      </c>
      <c r="C265" s="13" t="s">
        <v>33</v>
      </c>
      <c r="D265" s="13" t="s">
        <v>35</v>
      </c>
      <c r="E265" s="13" t="s">
        <v>170</v>
      </c>
      <c r="F265" s="13">
        <v>0.2</v>
      </c>
      <c r="G265" s="13">
        <v>0.36</v>
      </c>
      <c r="H265" s="13">
        <v>0.31900000000000001</v>
      </c>
      <c r="I265" s="13">
        <v>0.39300000000000002</v>
      </c>
      <c r="J265" s="13">
        <v>1.9650000000000001</v>
      </c>
      <c r="K265" s="13">
        <v>1.29</v>
      </c>
      <c r="L265" s="13">
        <v>0</v>
      </c>
      <c r="M265" s="13" t="s">
        <v>34</v>
      </c>
      <c r="N265" s="13">
        <v>1600</v>
      </c>
      <c r="O265" s="13" t="s">
        <v>34</v>
      </c>
      <c r="P265" s="13" t="s">
        <v>34</v>
      </c>
      <c r="Q265" s="13">
        <v>0</v>
      </c>
      <c r="R265" s="13">
        <v>2.65</v>
      </c>
      <c r="S265" s="13" t="s">
        <v>34</v>
      </c>
      <c r="T265" s="13" t="s">
        <v>49</v>
      </c>
      <c r="U265" s="13" t="s">
        <v>50</v>
      </c>
      <c r="V265" s="13" t="s">
        <v>207</v>
      </c>
      <c r="W265" s="13" t="s">
        <v>34</v>
      </c>
      <c r="X265" s="10">
        <v>1</v>
      </c>
      <c r="Y265" s="13">
        <v>1.5</v>
      </c>
      <c r="Z265" s="13" t="s">
        <v>177</v>
      </c>
      <c r="AA265" s="10">
        <v>0.13500000000000001</v>
      </c>
      <c r="AB265" s="13" t="s">
        <v>34</v>
      </c>
      <c r="AC265" s="13" t="s">
        <v>203</v>
      </c>
      <c r="AD265" s="13" t="s">
        <v>32</v>
      </c>
      <c r="AE265" s="13">
        <v>0.84240000000000004</v>
      </c>
      <c r="AF265" s="13" t="s">
        <v>210</v>
      </c>
      <c r="AG265" s="13">
        <v>2021</v>
      </c>
      <c r="AH265" s="13" t="s">
        <v>211</v>
      </c>
      <c r="AI265" s="2">
        <v>50</v>
      </c>
      <c r="AJ265" s="2">
        <v>2</v>
      </c>
      <c r="AK265" s="2">
        <v>0.5</v>
      </c>
    </row>
    <row r="266" spans="1:37" x14ac:dyDescent="0.3">
      <c r="A266" s="11">
        <v>1.19769673704414</v>
      </c>
      <c r="B266" s="11">
        <v>268.67219917012397</v>
      </c>
      <c r="C266" s="13" t="s">
        <v>33</v>
      </c>
      <c r="D266" s="13" t="s">
        <v>35</v>
      </c>
      <c r="E266" s="13" t="s">
        <v>170</v>
      </c>
      <c r="F266" s="13">
        <v>0.2</v>
      </c>
      <c r="G266" s="13">
        <v>0.36</v>
      </c>
      <c r="H266" s="13">
        <v>0.31900000000000001</v>
      </c>
      <c r="I266" s="13">
        <v>0.39300000000000002</v>
      </c>
      <c r="J266" s="13">
        <v>1.9650000000000001</v>
      </c>
      <c r="K266" s="13">
        <v>1.29</v>
      </c>
      <c r="L266" s="13">
        <v>0</v>
      </c>
      <c r="M266" s="13" t="s">
        <v>34</v>
      </c>
      <c r="N266" s="13">
        <v>1600</v>
      </c>
      <c r="O266" s="13" t="s">
        <v>34</v>
      </c>
      <c r="P266" s="13" t="s">
        <v>34</v>
      </c>
      <c r="Q266" s="13">
        <v>0</v>
      </c>
      <c r="R266" s="13">
        <v>2.65</v>
      </c>
      <c r="S266" s="13" t="s">
        <v>34</v>
      </c>
      <c r="T266" s="13" t="s">
        <v>49</v>
      </c>
      <c r="U266" s="13" t="s">
        <v>50</v>
      </c>
      <c r="V266" s="13" t="s">
        <v>207</v>
      </c>
      <c r="W266" s="13" t="s">
        <v>34</v>
      </c>
      <c r="X266" s="10">
        <v>1</v>
      </c>
      <c r="Y266" s="13">
        <v>1.5</v>
      </c>
      <c r="Z266" s="13" t="s">
        <v>177</v>
      </c>
      <c r="AA266" s="10">
        <v>0.13500000000000001</v>
      </c>
      <c r="AB266" s="13" t="s">
        <v>34</v>
      </c>
      <c r="AC266" s="13" t="s">
        <v>203</v>
      </c>
      <c r="AD266" s="13" t="s">
        <v>32</v>
      </c>
      <c r="AE266" s="13">
        <v>0.84240000000000004</v>
      </c>
      <c r="AF266" s="13" t="s">
        <v>210</v>
      </c>
      <c r="AG266" s="13">
        <v>2021</v>
      </c>
      <c r="AH266" s="13" t="s">
        <v>211</v>
      </c>
      <c r="AI266" s="2">
        <v>50</v>
      </c>
      <c r="AJ266" s="2">
        <v>2</v>
      </c>
      <c r="AK266" s="2">
        <v>0.5</v>
      </c>
    </row>
    <row r="267" spans="1:37" x14ac:dyDescent="0.3">
      <c r="A267" s="11">
        <v>1.3243761996161201</v>
      </c>
      <c r="B267" s="11">
        <v>308.60995850622402</v>
      </c>
      <c r="C267" s="13" t="s">
        <v>33</v>
      </c>
      <c r="D267" s="13" t="s">
        <v>35</v>
      </c>
      <c r="E267" s="13" t="s">
        <v>170</v>
      </c>
      <c r="F267" s="13">
        <v>0.2</v>
      </c>
      <c r="G267" s="13">
        <v>0.36</v>
      </c>
      <c r="H267" s="13">
        <v>0.31900000000000001</v>
      </c>
      <c r="I267" s="13">
        <v>0.39300000000000002</v>
      </c>
      <c r="J267" s="13">
        <v>1.9650000000000001</v>
      </c>
      <c r="K267" s="13">
        <v>1.29</v>
      </c>
      <c r="L267" s="13">
        <v>0</v>
      </c>
      <c r="M267" s="13" t="s">
        <v>34</v>
      </c>
      <c r="N267" s="13">
        <v>1600</v>
      </c>
      <c r="O267" s="13" t="s">
        <v>34</v>
      </c>
      <c r="P267" s="13" t="s">
        <v>34</v>
      </c>
      <c r="Q267" s="13">
        <v>0</v>
      </c>
      <c r="R267" s="13">
        <v>2.65</v>
      </c>
      <c r="S267" s="13" t="s">
        <v>34</v>
      </c>
      <c r="T267" s="13" t="s">
        <v>49</v>
      </c>
      <c r="U267" s="13" t="s">
        <v>50</v>
      </c>
      <c r="V267" s="13" t="s">
        <v>207</v>
      </c>
      <c r="W267" s="13" t="s">
        <v>34</v>
      </c>
      <c r="X267" s="10">
        <v>1</v>
      </c>
      <c r="Y267" s="13">
        <v>1.5</v>
      </c>
      <c r="Z267" s="13" t="s">
        <v>177</v>
      </c>
      <c r="AA267" s="10">
        <v>0.13500000000000001</v>
      </c>
      <c r="AB267" s="13" t="s">
        <v>34</v>
      </c>
      <c r="AC267" s="13" t="s">
        <v>203</v>
      </c>
      <c r="AD267" s="13" t="s">
        <v>32</v>
      </c>
      <c r="AE267" s="13">
        <v>0.84240000000000004</v>
      </c>
      <c r="AF267" s="13" t="s">
        <v>210</v>
      </c>
      <c r="AG267" s="13">
        <v>2021</v>
      </c>
      <c r="AH267" s="13" t="s">
        <v>211</v>
      </c>
      <c r="AI267" s="2">
        <v>50</v>
      </c>
      <c r="AJ267" s="2">
        <v>2</v>
      </c>
      <c r="AK267" s="2">
        <v>0.5</v>
      </c>
    </row>
    <row r="268" spans="1:37" x14ac:dyDescent="0.3">
      <c r="A268" s="11">
        <v>1.2725527831093999</v>
      </c>
      <c r="B268" s="11">
        <v>355.80912863070603</v>
      </c>
      <c r="C268" s="13" t="s">
        <v>33</v>
      </c>
      <c r="D268" s="13" t="s">
        <v>35</v>
      </c>
      <c r="E268" s="13" t="s">
        <v>170</v>
      </c>
      <c r="F268" s="13">
        <v>0.2</v>
      </c>
      <c r="G268" s="13">
        <v>0.36</v>
      </c>
      <c r="H268" s="13">
        <v>0.31900000000000001</v>
      </c>
      <c r="I268" s="13">
        <v>0.39300000000000002</v>
      </c>
      <c r="J268" s="13">
        <v>1.9650000000000001</v>
      </c>
      <c r="K268" s="13">
        <v>1.29</v>
      </c>
      <c r="L268" s="13">
        <v>0</v>
      </c>
      <c r="M268" s="13" t="s">
        <v>34</v>
      </c>
      <c r="N268" s="13">
        <v>1600</v>
      </c>
      <c r="O268" s="13" t="s">
        <v>34</v>
      </c>
      <c r="P268" s="13" t="s">
        <v>34</v>
      </c>
      <c r="Q268" s="13">
        <v>0</v>
      </c>
      <c r="R268" s="13">
        <v>2.65</v>
      </c>
      <c r="S268" s="13" t="s">
        <v>34</v>
      </c>
      <c r="T268" s="13" t="s">
        <v>49</v>
      </c>
      <c r="U268" s="13" t="s">
        <v>50</v>
      </c>
      <c r="V268" s="13" t="s">
        <v>207</v>
      </c>
      <c r="W268" s="13" t="s">
        <v>34</v>
      </c>
      <c r="X268" s="10">
        <v>1</v>
      </c>
      <c r="Y268" s="13">
        <v>1.5</v>
      </c>
      <c r="Z268" s="13" t="s">
        <v>177</v>
      </c>
      <c r="AA268" s="10">
        <v>0.13500000000000001</v>
      </c>
      <c r="AB268" s="13" t="s">
        <v>34</v>
      </c>
      <c r="AC268" s="13" t="s">
        <v>203</v>
      </c>
      <c r="AD268" s="13" t="s">
        <v>32</v>
      </c>
      <c r="AE268" s="13">
        <v>0.84240000000000004</v>
      </c>
      <c r="AF268" s="13" t="s">
        <v>210</v>
      </c>
      <c r="AG268" s="13">
        <v>2021</v>
      </c>
      <c r="AH268" s="13" t="s">
        <v>211</v>
      </c>
      <c r="AI268" s="2">
        <v>50</v>
      </c>
      <c r="AJ268" s="2">
        <v>2</v>
      </c>
      <c r="AK268" s="2">
        <v>0.5</v>
      </c>
    </row>
    <row r="269" spans="1:37" x14ac:dyDescent="0.3">
      <c r="A269" s="11">
        <v>2.0671785028790701</v>
      </c>
      <c r="B269" s="11">
        <v>279.56431535269701</v>
      </c>
      <c r="C269" s="13" t="s">
        <v>33</v>
      </c>
      <c r="D269" s="13" t="s">
        <v>35</v>
      </c>
      <c r="E269" s="13" t="s">
        <v>170</v>
      </c>
      <c r="F269" s="13">
        <v>0.2</v>
      </c>
      <c r="G269" s="13">
        <v>0.36</v>
      </c>
      <c r="H269" s="13">
        <v>0.31900000000000001</v>
      </c>
      <c r="I269" s="13">
        <v>0.39300000000000002</v>
      </c>
      <c r="J269" s="13">
        <v>1.9650000000000001</v>
      </c>
      <c r="K269" s="13">
        <v>1.29</v>
      </c>
      <c r="L269" s="13">
        <v>0</v>
      </c>
      <c r="M269" s="13" t="s">
        <v>34</v>
      </c>
      <c r="N269" s="13">
        <v>1600</v>
      </c>
      <c r="O269" s="13" t="s">
        <v>34</v>
      </c>
      <c r="P269" s="13" t="s">
        <v>34</v>
      </c>
      <c r="Q269" s="13">
        <v>0</v>
      </c>
      <c r="R269" s="13">
        <v>2.65</v>
      </c>
      <c r="S269" s="13" t="s">
        <v>34</v>
      </c>
      <c r="T269" s="13" t="s">
        <v>49</v>
      </c>
      <c r="U269" s="13" t="s">
        <v>50</v>
      </c>
      <c r="V269" s="13" t="s">
        <v>207</v>
      </c>
      <c r="W269" s="13" t="s">
        <v>34</v>
      </c>
      <c r="X269" s="10">
        <v>2</v>
      </c>
      <c r="Y269" s="13">
        <v>1.5</v>
      </c>
      <c r="Z269" s="13" t="s">
        <v>177</v>
      </c>
      <c r="AA269" s="10">
        <v>0.27</v>
      </c>
      <c r="AB269" s="13" t="s">
        <v>34</v>
      </c>
      <c r="AC269" s="13" t="s">
        <v>203</v>
      </c>
      <c r="AD269" s="13" t="s">
        <v>32</v>
      </c>
      <c r="AE269" s="13">
        <v>0.84240000000000004</v>
      </c>
      <c r="AF269" s="13" t="s">
        <v>210</v>
      </c>
      <c r="AG269" s="13">
        <v>2021</v>
      </c>
      <c r="AH269" s="13" t="s">
        <v>211</v>
      </c>
      <c r="AI269" s="2">
        <v>50</v>
      </c>
      <c r="AJ269" s="2">
        <v>2</v>
      </c>
      <c r="AK269" s="2">
        <v>0.5</v>
      </c>
    </row>
    <row r="270" spans="1:37" x14ac:dyDescent="0.3">
      <c r="A270" s="11">
        <v>2.17082533589251</v>
      </c>
      <c r="B270" s="11">
        <v>312.24066390041497</v>
      </c>
      <c r="C270" s="13" t="s">
        <v>33</v>
      </c>
      <c r="D270" s="13" t="s">
        <v>35</v>
      </c>
      <c r="E270" s="13" t="s">
        <v>170</v>
      </c>
      <c r="F270" s="13">
        <v>0.2</v>
      </c>
      <c r="G270" s="13">
        <v>0.36</v>
      </c>
      <c r="H270" s="13">
        <v>0.31900000000000001</v>
      </c>
      <c r="I270" s="13">
        <v>0.39300000000000002</v>
      </c>
      <c r="J270" s="13">
        <v>1.9650000000000001</v>
      </c>
      <c r="K270" s="13">
        <v>1.29</v>
      </c>
      <c r="L270" s="13">
        <v>0</v>
      </c>
      <c r="M270" s="13" t="s">
        <v>34</v>
      </c>
      <c r="N270" s="13">
        <v>1600</v>
      </c>
      <c r="O270" s="13" t="s">
        <v>34</v>
      </c>
      <c r="P270" s="13" t="s">
        <v>34</v>
      </c>
      <c r="Q270" s="13">
        <v>0</v>
      </c>
      <c r="R270" s="13">
        <v>2.65</v>
      </c>
      <c r="S270" s="13" t="s">
        <v>34</v>
      </c>
      <c r="T270" s="13" t="s">
        <v>49</v>
      </c>
      <c r="U270" s="13" t="s">
        <v>50</v>
      </c>
      <c r="V270" s="13" t="s">
        <v>207</v>
      </c>
      <c r="W270" s="13" t="s">
        <v>34</v>
      </c>
      <c r="X270" s="10">
        <v>2</v>
      </c>
      <c r="Y270" s="13">
        <v>1.5</v>
      </c>
      <c r="Z270" s="13" t="s">
        <v>177</v>
      </c>
      <c r="AA270" s="10">
        <v>0.27</v>
      </c>
      <c r="AB270" s="13" t="s">
        <v>34</v>
      </c>
      <c r="AC270" s="13" t="s">
        <v>203</v>
      </c>
      <c r="AD270" s="13" t="s">
        <v>32</v>
      </c>
      <c r="AE270" s="13">
        <v>0.84240000000000004</v>
      </c>
      <c r="AF270" s="13" t="s">
        <v>210</v>
      </c>
      <c r="AG270" s="13">
        <v>2021</v>
      </c>
      <c r="AH270" s="13" t="s">
        <v>211</v>
      </c>
      <c r="AI270" s="2">
        <v>50</v>
      </c>
      <c r="AJ270" s="2">
        <v>2</v>
      </c>
      <c r="AK270" s="2">
        <v>0.5</v>
      </c>
    </row>
    <row r="271" spans="1:37" x14ac:dyDescent="0.3">
      <c r="A271" s="11">
        <v>2.2341650671785001</v>
      </c>
      <c r="B271" s="11">
        <v>301.34854771784302</v>
      </c>
      <c r="C271" s="13" t="s">
        <v>33</v>
      </c>
      <c r="D271" s="13" t="s">
        <v>35</v>
      </c>
      <c r="E271" s="13" t="s">
        <v>170</v>
      </c>
      <c r="F271" s="13">
        <v>0.2</v>
      </c>
      <c r="G271" s="13">
        <v>0.36</v>
      </c>
      <c r="H271" s="13">
        <v>0.31900000000000001</v>
      </c>
      <c r="I271" s="13">
        <v>0.39300000000000002</v>
      </c>
      <c r="J271" s="13">
        <v>1.9650000000000001</v>
      </c>
      <c r="K271" s="13">
        <v>1.29</v>
      </c>
      <c r="L271" s="13">
        <v>0</v>
      </c>
      <c r="M271" s="13" t="s">
        <v>34</v>
      </c>
      <c r="N271" s="13">
        <v>1600</v>
      </c>
      <c r="O271" s="13" t="s">
        <v>34</v>
      </c>
      <c r="P271" s="13" t="s">
        <v>34</v>
      </c>
      <c r="Q271" s="13">
        <v>0</v>
      </c>
      <c r="R271" s="13">
        <v>2.65</v>
      </c>
      <c r="S271" s="13" t="s">
        <v>34</v>
      </c>
      <c r="T271" s="13" t="s">
        <v>49</v>
      </c>
      <c r="U271" s="13" t="s">
        <v>50</v>
      </c>
      <c r="V271" s="13" t="s">
        <v>207</v>
      </c>
      <c r="W271" s="13" t="s">
        <v>34</v>
      </c>
      <c r="X271" s="10">
        <v>2</v>
      </c>
      <c r="Y271" s="13">
        <v>1.5</v>
      </c>
      <c r="Z271" s="13" t="s">
        <v>177</v>
      </c>
      <c r="AA271" s="10">
        <v>0.27</v>
      </c>
      <c r="AB271" s="13" t="s">
        <v>34</v>
      </c>
      <c r="AC271" s="13" t="s">
        <v>203</v>
      </c>
      <c r="AD271" s="13" t="s">
        <v>32</v>
      </c>
      <c r="AE271" s="13">
        <v>0.84240000000000004</v>
      </c>
      <c r="AF271" s="13" t="s">
        <v>210</v>
      </c>
      <c r="AG271" s="13">
        <v>2021</v>
      </c>
      <c r="AH271" s="13" t="s">
        <v>211</v>
      </c>
      <c r="AI271" s="2">
        <v>50</v>
      </c>
      <c r="AJ271" s="2">
        <v>2</v>
      </c>
      <c r="AK271" s="2">
        <v>0.5</v>
      </c>
    </row>
    <row r="272" spans="1:37" x14ac:dyDescent="0.3">
      <c r="A272" s="11">
        <v>2.3378119001919302</v>
      </c>
      <c r="B272" s="11">
        <v>315.87136929460502</v>
      </c>
      <c r="C272" s="13" t="s">
        <v>33</v>
      </c>
      <c r="D272" s="13" t="s">
        <v>35</v>
      </c>
      <c r="E272" s="13" t="s">
        <v>170</v>
      </c>
      <c r="F272" s="13">
        <v>0.2</v>
      </c>
      <c r="G272" s="13">
        <v>0.36</v>
      </c>
      <c r="H272" s="13">
        <v>0.31900000000000001</v>
      </c>
      <c r="I272" s="13">
        <v>0.39300000000000002</v>
      </c>
      <c r="J272" s="13">
        <v>1.9650000000000001</v>
      </c>
      <c r="K272" s="13">
        <v>1.29</v>
      </c>
      <c r="L272" s="13">
        <v>0</v>
      </c>
      <c r="M272" s="13" t="s">
        <v>34</v>
      </c>
      <c r="N272" s="13">
        <v>1600</v>
      </c>
      <c r="O272" s="13" t="s">
        <v>34</v>
      </c>
      <c r="P272" s="13" t="s">
        <v>34</v>
      </c>
      <c r="Q272" s="13">
        <v>0</v>
      </c>
      <c r="R272" s="13">
        <v>2.65</v>
      </c>
      <c r="S272" s="13" t="s">
        <v>34</v>
      </c>
      <c r="T272" s="13" t="s">
        <v>49</v>
      </c>
      <c r="U272" s="13" t="s">
        <v>50</v>
      </c>
      <c r="V272" s="13" t="s">
        <v>207</v>
      </c>
      <c r="W272" s="13" t="s">
        <v>34</v>
      </c>
      <c r="X272" s="10">
        <v>2</v>
      </c>
      <c r="Y272" s="13">
        <v>1.5</v>
      </c>
      <c r="Z272" s="13" t="s">
        <v>177</v>
      </c>
      <c r="AA272" s="10">
        <v>0.27</v>
      </c>
      <c r="AB272" s="13" t="s">
        <v>34</v>
      </c>
      <c r="AC272" s="13" t="s">
        <v>203</v>
      </c>
      <c r="AD272" s="13" t="s">
        <v>32</v>
      </c>
      <c r="AE272" s="13">
        <v>0.84240000000000004</v>
      </c>
      <c r="AF272" s="13" t="s">
        <v>210</v>
      </c>
      <c r="AG272" s="13">
        <v>2021</v>
      </c>
      <c r="AH272" s="13" t="s">
        <v>211</v>
      </c>
      <c r="AI272" s="2">
        <v>50</v>
      </c>
      <c r="AJ272" s="2">
        <v>2</v>
      </c>
      <c r="AK272" s="2">
        <v>0.5</v>
      </c>
    </row>
    <row r="273" spans="1:37" x14ac:dyDescent="0.3">
      <c r="A273" s="11">
        <v>2.4587332053742799</v>
      </c>
      <c r="B273" s="11">
        <v>406.639004149377</v>
      </c>
      <c r="C273" s="13" t="s">
        <v>33</v>
      </c>
      <c r="D273" s="13" t="s">
        <v>35</v>
      </c>
      <c r="E273" s="13" t="s">
        <v>170</v>
      </c>
      <c r="F273" s="13">
        <v>0.2</v>
      </c>
      <c r="G273" s="13">
        <v>0.36</v>
      </c>
      <c r="H273" s="13">
        <v>0.31900000000000001</v>
      </c>
      <c r="I273" s="13">
        <v>0.39300000000000002</v>
      </c>
      <c r="J273" s="13">
        <v>1.9650000000000001</v>
      </c>
      <c r="K273" s="13">
        <v>1.29</v>
      </c>
      <c r="L273" s="13">
        <v>0</v>
      </c>
      <c r="M273" s="13" t="s">
        <v>34</v>
      </c>
      <c r="N273" s="13">
        <v>1600</v>
      </c>
      <c r="O273" s="13" t="s">
        <v>34</v>
      </c>
      <c r="P273" s="13" t="s">
        <v>34</v>
      </c>
      <c r="Q273" s="13">
        <v>0</v>
      </c>
      <c r="R273" s="13">
        <v>2.65</v>
      </c>
      <c r="S273" s="13" t="s">
        <v>34</v>
      </c>
      <c r="T273" s="13" t="s">
        <v>49</v>
      </c>
      <c r="U273" s="13" t="s">
        <v>50</v>
      </c>
      <c r="V273" s="13" t="s">
        <v>207</v>
      </c>
      <c r="W273" s="13" t="s">
        <v>34</v>
      </c>
      <c r="X273" s="10">
        <v>2</v>
      </c>
      <c r="Y273" s="13">
        <v>1.5</v>
      </c>
      <c r="Z273" s="13" t="s">
        <v>177</v>
      </c>
      <c r="AA273" s="10">
        <v>0.27</v>
      </c>
      <c r="AB273" s="13" t="s">
        <v>34</v>
      </c>
      <c r="AC273" s="13" t="s">
        <v>203</v>
      </c>
      <c r="AD273" s="13" t="s">
        <v>32</v>
      </c>
      <c r="AE273" s="13">
        <v>0.84240000000000004</v>
      </c>
      <c r="AF273" s="13" t="s">
        <v>210</v>
      </c>
      <c r="AG273" s="13">
        <v>2021</v>
      </c>
      <c r="AH273" s="13" t="s">
        <v>211</v>
      </c>
      <c r="AI273" s="2">
        <v>50</v>
      </c>
      <c r="AJ273" s="2">
        <v>2</v>
      </c>
      <c r="AK273" s="2">
        <v>0.5</v>
      </c>
    </row>
    <row r="274" spans="1:37" x14ac:dyDescent="0.3">
      <c r="A274" s="11">
        <v>2.4414587332053701</v>
      </c>
      <c r="B274" s="11">
        <v>435.68464730290498</v>
      </c>
      <c r="C274" s="13" t="s">
        <v>33</v>
      </c>
      <c r="D274" s="13" t="s">
        <v>35</v>
      </c>
      <c r="E274" s="13" t="s">
        <v>170</v>
      </c>
      <c r="F274" s="13">
        <v>0.2</v>
      </c>
      <c r="G274" s="13">
        <v>0.36</v>
      </c>
      <c r="H274" s="13">
        <v>0.31900000000000001</v>
      </c>
      <c r="I274" s="13">
        <v>0.39300000000000002</v>
      </c>
      <c r="J274" s="13">
        <v>1.9650000000000001</v>
      </c>
      <c r="K274" s="13">
        <v>1.29</v>
      </c>
      <c r="L274" s="13">
        <v>0</v>
      </c>
      <c r="M274" s="13" t="s">
        <v>34</v>
      </c>
      <c r="N274" s="13">
        <v>1600</v>
      </c>
      <c r="O274" s="13" t="s">
        <v>34</v>
      </c>
      <c r="P274" s="13" t="s">
        <v>34</v>
      </c>
      <c r="Q274" s="13">
        <v>0</v>
      </c>
      <c r="R274" s="13">
        <v>2.65</v>
      </c>
      <c r="S274" s="13" t="s">
        <v>34</v>
      </c>
      <c r="T274" s="13" t="s">
        <v>49</v>
      </c>
      <c r="U274" s="13" t="s">
        <v>50</v>
      </c>
      <c r="V274" s="13" t="s">
        <v>207</v>
      </c>
      <c r="W274" s="13" t="s">
        <v>34</v>
      </c>
      <c r="X274" s="10">
        <v>2</v>
      </c>
      <c r="Y274" s="13">
        <v>1.5</v>
      </c>
      <c r="Z274" s="13" t="s">
        <v>177</v>
      </c>
      <c r="AA274" s="10">
        <v>0.27</v>
      </c>
      <c r="AB274" s="13" t="s">
        <v>34</v>
      </c>
      <c r="AC274" s="13" t="s">
        <v>203</v>
      </c>
      <c r="AD274" s="13" t="s">
        <v>32</v>
      </c>
      <c r="AE274" s="13">
        <v>0.84240000000000004</v>
      </c>
      <c r="AF274" s="13" t="s">
        <v>210</v>
      </c>
      <c r="AG274" s="13">
        <v>2021</v>
      </c>
      <c r="AH274" s="13" t="s">
        <v>211</v>
      </c>
      <c r="AI274" s="2">
        <v>50</v>
      </c>
      <c r="AJ274" s="2">
        <v>2</v>
      </c>
      <c r="AK274" s="2">
        <v>0.5</v>
      </c>
    </row>
    <row r="275" spans="1:37" x14ac:dyDescent="0.3">
      <c r="A275" s="11">
        <v>2.4529750479846402</v>
      </c>
      <c r="B275" s="11">
        <v>475.62240663900297</v>
      </c>
      <c r="C275" s="13" t="s">
        <v>33</v>
      </c>
      <c r="D275" s="13" t="s">
        <v>35</v>
      </c>
      <c r="E275" s="13" t="s">
        <v>170</v>
      </c>
      <c r="F275" s="13">
        <v>0.2</v>
      </c>
      <c r="G275" s="13">
        <v>0.36</v>
      </c>
      <c r="H275" s="13">
        <v>0.31900000000000001</v>
      </c>
      <c r="I275" s="13">
        <v>0.39300000000000002</v>
      </c>
      <c r="J275" s="13">
        <v>1.9650000000000001</v>
      </c>
      <c r="K275" s="13">
        <v>1.29</v>
      </c>
      <c r="L275" s="13">
        <v>0</v>
      </c>
      <c r="M275" s="13" t="s">
        <v>34</v>
      </c>
      <c r="N275" s="13">
        <v>1600</v>
      </c>
      <c r="O275" s="13" t="s">
        <v>34</v>
      </c>
      <c r="P275" s="13" t="s">
        <v>34</v>
      </c>
      <c r="Q275" s="13">
        <v>0</v>
      </c>
      <c r="R275" s="13">
        <v>2.65</v>
      </c>
      <c r="S275" s="13" t="s">
        <v>34</v>
      </c>
      <c r="T275" s="13" t="s">
        <v>49</v>
      </c>
      <c r="U275" s="13" t="s">
        <v>50</v>
      </c>
      <c r="V275" s="13" t="s">
        <v>207</v>
      </c>
      <c r="W275" s="13" t="s">
        <v>34</v>
      </c>
      <c r="X275" s="10">
        <v>2</v>
      </c>
      <c r="Y275" s="13">
        <v>1.5</v>
      </c>
      <c r="Z275" s="13" t="s">
        <v>177</v>
      </c>
      <c r="AA275" s="10">
        <v>0.27</v>
      </c>
      <c r="AB275" s="13" t="s">
        <v>34</v>
      </c>
      <c r="AC275" s="13" t="s">
        <v>203</v>
      </c>
      <c r="AD275" s="13" t="s">
        <v>32</v>
      </c>
      <c r="AE275" s="13">
        <v>0.84240000000000004</v>
      </c>
      <c r="AF275" s="13" t="s">
        <v>210</v>
      </c>
      <c r="AG275" s="13">
        <v>2021</v>
      </c>
      <c r="AH275" s="13" t="s">
        <v>211</v>
      </c>
      <c r="AI275" s="2">
        <v>50</v>
      </c>
      <c r="AJ275" s="2">
        <v>2</v>
      </c>
      <c r="AK275" s="2">
        <v>0.5</v>
      </c>
    </row>
    <row r="276" spans="1:37" x14ac:dyDescent="0.3">
      <c r="A276" s="11">
        <v>2.4932821497120901</v>
      </c>
      <c r="B276" s="11">
        <v>501.03734439834</v>
      </c>
      <c r="C276" s="13" t="s">
        <v>33</v>
      </c>
      <c r="D276" s="13" t="s">
        <v>35</v>
      </c>
      <c r="E276" s="13" t="s">
        <v>170</v>
      </c>
      <c r="F276" s="13">
        <v>0.2</v>
      </c>
      <c r="G276" s="13">
        <v>0.36</v>
      </c>
      <c r="H276" s="13">
        <v>0.31900000000000001</v>
      </c>
      <c r="I276" s="13">
        <v>0.39300000000000002</v>
      </c>
      <c r="J276" s="13">
        <v>1.9650000000000001</v>
      </c>
      <c r="K276" s="13">
        <v>1.29</v>
      </c>
      <c r="L276" s="13">
        <v>0</v>
      </c>
      <c r="M276" s="13" t="s">
        <v>34</v>
      </c>
      <c r="N276" s="13">
        <v>1600</v>
      </c>
      <c r="O276" s="13" t="s">
        <v>34</v>
      </c>
      <c r="P276" s="13" t="s">
        <v>34</v>
      </c>
      <c r="Q276" s="13">
        <v>0</v>
      </c>
      <c r="R276" s="13">
        <v>2.65</v>
      </c>
      <c r="S276" s="13" t="s">
        <v>34</v>
      </c>
      <c r="T276" s="13" t="s">
        <v>49</v>
      </c>
      <c r="U276" s="13" t="s">
        <v>50</v>
      </c>
      <c r="V276" s="13" t="s">
        <v>207</v>
      </c>
      <c r="W276" s="13" t="s">
        <v>34</v>
      </c>
      <c r="X276" s="10">
        <v>2</v>
      </c>
      <c r="Y276" s="13">
        <v>1.5</v>
      </c>
      <c r="Z276" s="13" t="s">
        <v>177</v>
      </c>
      <c r="AA276" s="10">
        <v>0.27</v>
      </c>
      <c r="AB276" s="13" t="s">
        <v>34</v>
      </c>
      <c r="AC276" s="13" t="s">
        <v>203</v>
      </c>
      <c r="AD276" s="13" t="s">
        <v>32</v>
      </c>
      <c r="AE276" s="13">
        <v>0.84240000000000004</v>
      </c>
      <c r="AF276" s="13" t="s">
        <v>210</v>
      </c>
      <c r="AG276" s="13">
        <v>2021</v>
      </c>
      <c r="AH276" s="13" t="s">
        <v>211</v>
      </c>
      <c r="AI276" s="2">
        <v>50</v>
      </c>
      <c r="AJ276" s="2">
        <v>2</v>
      </c>
      <c r="AK276" s="2">
        <v>0.5</v>
      </c>
    </row>
    <row r="277" spans="1:37" x14ac:dyDescent="0.3">
      <c r="A277" s="11">
        <v>3.2706333973128499</v>
      </c>
      <c r="B277" s="11">
        <v>504.66804979253197</v>
      </c>
      <c r="C277" s="13" t="s">
        <v>33</v>
      </c>
      <c r="D277" s="13" t="s">
        <v>35</v>
      </c>
      <c r="E277" s="13" t="s">
        <v>170</v>
      </c>
      <c r="F277" s="13">
        <v>0.2</v>
      </c>
      <c r="G277" s="13">
        <v>0.36</v>
      </c>
      <c r="H277" s="13">
        <v>0.31900000000000001</v>
      </c>
      <c r="I277" s="13">
        <v>0.39300000000000002</v>
      </c>
      <c r="J277" s="13">
        <v>1.9650000000000001</v>
      </c>
      <c r="K277" s="13">
        <v>1.29</v>
      </c>
      <c r="L277" s="13">
        <v>0</v>
      </c>
      <c r="M277" s="13" t="s">
        <v>34</v>
      </c>
      <c r="N277" s="13">
        <v>1600</v>
      </c>
      <c r="O277" s="13" t="s">
        <v>34</v>
      </c>
      <c r="P277" s="13" t="s">
        <v>34</v>
      </c>
      <c r="Q277" s="13">
        <v>0</v>
      </c>
      <c r="R277" s="13">
        <v>2.65</v>
      </c>
      <c r="S277" s="13" t="s">
        <v>34</v>
      </c>
      <c r="T277" s="13" t="s">
        <v>49</v>
      </c>
      <c r="U277" s="13" t="s">
        <v>50</v>
      </c>
      <c r="V277" s="13" t="s">
        <v>207</v>
      </c>
      <c r="W277" s="13" t="s">
        <v>34</v>
      </c>
      <c r="X277" s="10">
        <v>3</v>
      </c>
      <c r="Y277" s="13">
        <v>1.5</v>
      </c>
      <c r="Z277" s="13" t="s">
        <v>177</v>
      </c>
      <c r="AA277" s="10">
        <v>0.40500000000000003</v>
      </c>
      <c r="AB277" s="13" t="s">
        <v>34</v>
      </c>
      <c r="AC277" s="13" t="s">
        <v>203</v>
      </c>
      <c r="AD277" s="13" t="s">
        <v>32</v>
      </c>
      <c r="AE277" s="13">
        <v>0.84240000000000004</v>
      </c>
      <c r="AF277" s="13" t="s">
        <v>210</v>
      </c>
      <c r="AG277" s="13">
        <v>2021</v>
      </c>
      <c r="AH277" s="13" t="s">
        <v>211</v>
      </c>
      <c r="AI277" s="2">
        <v>50</v>
      </c>
      <c r="AJ277" s="2">
        <v>2</v>
      </c>
      <c r="AK277" s="2">
        <v>0.5</v>
      </c>
    </row>
    <row r="278" spans="1:37" x14ac:dyDescent="0.3">
      <c r="A278" s="11">
        <v>3.16122840690978</v>
      </c>
      <c r="B278" s="11">
        <v>508.29875518672202</v>
      </c>
      <c r="C278" s="13" t="s">
        <v>33</v>
      </c>
      <c r="D278" s="13" t="s">
        <v>35</v>
      </c>
      <c r="E278" s="13" t="s">
        <v>170</v>
      </c>
      <c r="F278" s="13">
        <v>0.2</v>
      </c>
      <c r="G278" s="13">
        <v>0.36</v>
      </c>
      <c r="H278" s="13">
        <v>0.31900000000000001</v>
      </c>
      <c r="I278" s="13">
        <v>0.39300000000000002</v>
      </c>
      <c r="J278" s="13">
        <v>1.9650000000000001</v>
      </c>
      <c r="K278" s="13">
        <v>1.29</v>
      </c>
      <c r="L278" s="13">
        <v>0</v>
      </c>
      <c r="M278" s="13" t="s">
        <v>34</v>
      </c>
      <c r="N278" s="13">
        <v>1600</v>
      </c>
      <c r="O278" s="13" t="s">
        <v>34</v>
      </c>
      <c r="P278" s="13" t="s">
        <v>34</v>
      </c>
      <c r="Q278" s="13">
        <v>0</v>
      </c>
      <c r="R278" s="13">
        <v>2.65</v>
      </c>
      <c r="S278" s="13" t="s">
        <v>34</v>
      </c>
      <c r="T278" s="13" t="s">
        <v>49</v>
      </c>
      <c r="U278" s="13" t="s">
        <v>50</v>
      </c>
      <c r="V278" s="13" t="s">
        <v>207</v>
      </c>
      <c r="W278" s="13" t="s">
        <v>34</v>
      </c>
      <c r="X278" s="10">
        <v>3</v>
      </c>
      <c r="Y278" s="13">
        <v>1.5</v>
      </c>
      <c r="Z278" s="13" t="s">
        <v>177</v>
      </c>
      <c r="AA278" s="10">
        <v>0.40500000000000003</v>
      </c>
      <c r="AB278" s="13" t="s">
        <v>34</v>
      </c>
      <c r="AC278" s="13" t="s">
        <v>203</v>
      </c>
      <c r="AD278" s="13" t="s">
        <v>32</v>
      </c>
      <c r="AE278" s="13">
        <v>0.84240000000000004</v>
      </c>
      <c r="AF278" s="13" t="s">
        <v>210</v>
      </c>
      <c r="AG278" s="13">
        <v>2021</v>
      </c>
      <c r="AH278" s="13" t="s">
        <v>211</v>
      </c>
      <c r="AI278" s="2">
        <v>50</v>
      </c>
      <c r="AJ278" s="2">
        <v>2</v>
      </c>
      <c r="AK278" s="2">
        <v>0.5</v>
      </c>
    </row>
    <row r="279" spans="1:37" x14ac:dyDescent="0.3">
      <c r="A279" s="11">
        <v>3.1036468330134301</v>
      </c>
      <c r="B279" s="11">
        <v>809.64730290456396</v>
      </c>
      <c r="C279" s="13" t="s">
        <v>33</v>
      </c>
      <c r="D279" s="13" t="s">
        <v>35</v>
      </c>
      <c r="E279" s="13" t="s">
        <v>170</v>
      </c>
      <c r="F279" s="13">
        <v>0.2</v>
      </c>
      <c r="G279" s="13">
        <v>0.36</v>
      </c>
      <c r="H279" s="13">
        <v>0.31900000000000001</v>
      </c>
      <c r="I279" s="13">
        <v>0.39300000000000002</v>
      </c>
      <c r="J279" s="13">
        <v>1.9650000000000001</v>
      </c>
      <c r="K279" s="13">
        <v>1.29</v>
      </c>
      <c r="L279" s="13">
        <v>0</v>
      </c>
      <c r="M279" s="13" t="s">
        <v>34</v>
      </c>
      <c r="N279" s="13">
        <v>1600</v>
      </c>
      <c r="O279" s="13" t="s">
        <v>34</v>
      </c>
      <c r="P279" s="13" t="s">
        <v>34</v>
      </c>
      <c r="Q279" s="13">
        <v>0</v>
      </c>
      <c r="R279" s="13">
        <v>2.65</v>
      </c>
      <c r="S279" s="13" t="s">
        <v>34</v>
      </c>
      <c r="T279" s="13" t="s">
        <v>49</v>
      </c>
      <c r="U279" s="13" t="s">
        <v>50</v>
      </c>
      <c r="V279" s="13" t="s">
        <v>207</v>
      </c>
      <c r="W279" s="13" t="s">
        <v>34</v>
      </c>
      <c r="X279" s="10">
        <v>3</v>
      </c>
      <c r="Y279" s="13">
        <v>1.5</v>
      </c>
      <c r="Z279" s="13" t="s">
        <v>177</v>
      </c>
      <c r="AA279" s="10">
        <v>0.40500000000000003</v>
      </c>
      <c r="AB279" s="13" t="s">
        <v>34</v>
      </c>
      <c r="AC279" s="13" t="s">
        <v>203</v>
      </c>
      <c r="AD279" s="13" t="s">
        <v>32</v>
      </c>
      <c r="AE279" s="13">
        <v>0.84240000000000004</v>
      </c>
      <c r="AF279" s="13" t="s">
        <v>210</v>
      </c>
      <c r="AG279" s="13">
        <v>2021</v>
      </c>
      <c r="AH279" s="13" t="s">
        <v>211</v>
      </c>
      <c r="AI279" s="2">
        <v>50</v>
      </c>
      <c r="AJ279" s="2">
        <v>2</v>
      </c>
      <c r="AK279" s="2">
        <v>0.5</v>
      </c>
    </row>
    <row r="280" spans="1:37" x14ac:dyDescent="0.3">
      <c r="A280" s="11">
        <v>4.1401151631477902</v>
      </c>
      <c r="B280" s="11">
        <v>1110.9958506224</v>
      </c>
      <c r="C280" s="13" t="s">
        <v>33</v>
      </c>
      <c r="D280" s="13" t="s">
        <v>35</v>
      </c>
      <c r="E280" s="13" t="s">
        <v>170</v>
      </c>
      <c r="F280" s="13">
        <v>0.2</v>
      </c>
      <c r="G280" s="13">
        <v>0.36</v>
      </c>
      <c r="H280" s="13">
        <v>0.31900000000000001</v>
      </c>
      <c r="I280" s="13">
        <v>0.39300000000000002</v>
      </c>
      <c r="J280" s="13">
        <v>1.9650000000000001</v>
      </c>
      <c r="K280" s="13">
        <v>1.29</v>
      </c>
      <c r="L280" s="13">
        <v>0</v>
      </c>
      <c r="M280" s="13" t="s">
        <v>34</v>
      </c>
      <c r="N280" s="13">
        <v>1600</v>
      </c>
      <c r="O280" s="13" t="s">
        <v>34</v>
      </c>
      <c r="P280" s="13" t="s">
        <v>34</v>
      </c>
      <c r="Q280" s="13">
        <v>0</v>
      </c>
      <c r="R280" s="13">
        <v>2.65</v>
      </c>
      <c r="S280" s="13" t="s">
        <v>34</v>
      </c>
      <c r="T280" s="13" t="s">
        <v>49</v>
      </c>
      <c r="U280" s="13" t="s">
        <v>50</v>
      </c>
      <c r="V280" s="13" t="s">
        <v>207</v>
      </c>
      <c r="W280" s="13" t="s">
        <v>34</v>
      </c>
      <c r="X280" s="10">
        <v>3</v>
      </c>
      <c r="Y280" s="13">
        <v>1.5</v>
      </c>
      <c r="Z280" s="13" t="s">
        <v>177</v>
      </c>
      <c r="AA280" s="10">
        <v>0.40500000000000003</v>
      </c>
      <c r="AB280" s="13" t="s">
        <v>34</v>
      </c>
      <c r="AC280" s="13" t="s">
        <v>203</v>
      </c>
      <c r="AD280" s="13" t="s">
        <v>32</v>
      </c>
      <c r="AE280" s="13">
        <v>0.84240000000000004</v>
      </c>
      <c r="AF280" s="13" t="s">
        <v>210</v>
      </c>
      <c r="AG280" s="13">
        <v>2021</v>
      </c>
      <c r="AH280" s="13" t="s">
        <v>211</v>
      </c>
      <c r="AI280" s="2">
        <v>50</v>
      </c>
      <c r="AJ280" s="2">
        <v>2</v>
      </c>
      <c r="AK280" s="2">
        <v>0.5</v>
      </c>
    </row>
    <row r="281" spans="1:37" x14ac:dyDescent="0.3">
      <c r="A281" s="11">
        <v>4.1228406909788804</v>
      </c>
      <c r="B281" s="11">
        <v>1089.2116182572599</v>
      </c>
      <c r="C281" s="13" t="s">
        <v>33</v>
      </c>
      <c r="D281" s="13" t="s">
        <v>35</v>
      </c>
      <c r="E281" s="13" t="s">
        <v>170</v>
      </c>
      <c r="F281" s="13">
        <v>0.2</v>
      </c>
      <c r="G281" s="13">
        <v>0.36</v>
      </c>
      <c r="H281" s="13">
        <v>0.31900000000000001</v>
      </c>
      <c r="I281" s="13">
        <v>0.39300000000000002</v>
      </c>
      <c r="J281" s="13">
        <v>1.9650000000000001</v>
      </c>
      <c r="K281" s="13">
        <v>1.29</v>
      </c>
      <c r="L281" s="13">
        <v>0</v>
      </c>
      <c r="M281" s="13" t="s">
        <v>34</v>
      </c>
      <c r="N281" s="13">
        <v>1600</v>
      </c>
      <c r="O281" s="13" t="s">
        <v>34</v>
      </c>
      <c r="P281" s="13" t="s">
        <v>34</v>
      </c>
      <c r="Q281" s="13">
        <v>0</v>
      </c>
      <c r="R281" s="13">
        <v>2.65</v>
      </c>
      <c r="S281" s="13" t="s">
        <v>34</v>
      </c>
      <c r="T281" s="13" t="s">
        <v>49</v>
      </c>
      <c r="U281" s="13" t="s">
        <v>50</v>
      </c>
      <c r="V281" s="13" t="s">
        <v>207</v>
      </c>
      <c r="W281" s="13" t="s">
        <v>34</v>
      </c>
      <c r="X281" s="10">
        <v>3</v>
      </c>
      <c r="Y281" s="13">
        <v>1.5</v>
      </c>
      <c r="Z281" s="13" t="s">
        <v>177</v>
      </c>
      <c r="AA281" s="10">
        <v>0.40500000000000003</v>
      </c>
      <c r="AB281" s="13" t="s">
        <v>34</v>
      </c>
      <c r="AC281" s="13" t="s">
        <v>203</v>
      </c>
      <c r="AD281" s="13" t="s">
        <v>32</v>
      </c>
      <c r="AE281" s="13">
        <v>0.84240000000000004</v>
      </c>
      <c r="AF281" s="13" t="s">
        <v>210</v>
      </c>
      <c r="AG281" s="13">
        <v>2021</v>
      </c>
      <c r="AH281" s="13" t="s">
        <v>211</v>
      </c>
      <c r="AI281" s="2">
        <v>50</v>
      </c>
      <c r="AJ281" s="2">
        <v>2</v>
      </c>
      <c r="AK281" s="2">
        <v>0.5</v>
      </c>
    </row>
    <row r="282" spans="1:37" x14ac:dyDescent="0.3">
      <c r="A282" s="11">
        <v>4.1285988483685196</v>
      </c>
      <c r="B282" s="11">
        <v>1143.6721991701199</v>
      </c>
      <c r="C282" s="13" t="s">
        <v>33</v>
      </c>
      <c r="D282" s="13" t="s">
        <v>35</v>
      </c>
      <c r="E282" s="13" t="s">
        <v>170</v>
      </c>
      <c r="F282" s="13">
        <v>0.2</v>
      </c>
      <c r="G282" s="13">
        <v>0.36</v>
      </c>
      <c r="H282" s="13">
        <v>0.31900000000000001</v>
      </c>
      <c r="I282" s="13">
        <v>0.39300000000000002</v>
      </c>
      <c r="J282" s="13">
        <v>1.9650000000000001</v>
      </c>
      <c r="K282" s="13">
        <v>1.29</v>
      </c>
      <c r="L282" s="13">
        <v>0</v>
      </c>
      <c r="M282" s="13" t="s">
        <v>34</v>
      </c>
      <c r="N282" s="13">
        <v>1600</v>
      </c>
      <c r="O282" s="13" t="s">
        <v>34</v>
      </c>
      <c r="P282" s="13" t="s">
        <v>34</v>
      </c>
      <c r="Q282" s="13">
        <v>0</v>
      </c>
      <c r="R282" s="13">
        <v>2.65</v>
      </c>
      <c r="S282" s="13" t="s">
        <v>34</v>
      </c>
      <c r="T282" s="13" t="s">
        <v>49</v>
      </c>
      <c r="U282" s="13" t="s">
        <v>50</v>
      </c>
      <c r="V282" s="13" t="s">
        <v>207</v>
      </c>
      <c r="W282" s="13" t="s">
        <v>34</v>
      </c>
      <c r="X282" s="10">
        <v>3</v>
      </c>
      <c r="Y282" s="13">
        <v>1.5</v>
      </c>
      <c r="Z282" s="13" t="s">
        <v>177</v>
      </c>
      <c r="AA282" s="10">
        <v>0.40500000000000003</v>
      </c>
      <c r="AB282" s="13" t="s">
        <v>34</v>
      </c>
      <c r="AC282" s="13" t="s">
        <v>203</v>
      </c>
      <c r="AD282" s="13" t="s">
        <v>32</v>
      </c>
      <c r="AE282" s="13">
        <v>0.84240000000000004</v>
      </c>
      <c r="AF282" s="13" t="s">
        <v>210</v>
      </c>
      <c r="AG282" s="13">
        <v>2021</v>
      </c>
      <c r="AH282" s="13" t="s">
        <v>211</v>
      </c>
      <c r="AI282" s="2">
        <v>50</v>
      </c>
      <c r="AJ282" s="2">
        <v>2</v>
      </c>
      <c r="AK282" s="2">
        <v>0.5</v>
      </c>
    </row>
    <row r="283" spans="1:37" x14ac:dyDescent="0.3">
      <c r="A283" s="11">
        <v>4.2495201535508604</v>
      </c>
      <c r="B283" s="11">
        <v>1274.37759336099</v>
      </c>
      <c r="C283" s="13" t="s">
        <v>33</v>
      </c>
      <c r="D283" s="13" t="s">
        <v>35</v>
      </c>
      <c r="E283" s="13" t="s">
        <v>170</v>
      </c>
      <c r="F283" s="13">
        <v>0.2</v>
      </c>
      <c r="G283" s="13">
        <v>0.36</v>
      </c>
      <c r="H283" s="13">
        <v>0.31900000000000001</v>
      </c>
      <c r="I283" s="13">
        <v>0.39300000000000002</v>
      </c>
      <c r="J283" s="13">
        <v>1.9650000000000001</v>
      </c>
      <c r="K283" s="13">
        <v>1.29</v>
      </c>
      <c r="L283" s="13">
        <v>0</v>
      </c>
      <c r="M283" s="13" t="s">
        <v>34</v>
      </c>
      <c r="N283" s="13">
        <v>1600</v>
      </c>
      <c r="O283" s="13" t="s">
        <v>34</v>
      </c>
      <c r="P283" s="13" t="s">
        <v>34</v>
      </c>
      <c r="Q283" s="13">
        <v>0</v>
      </c>
      <c r="R283" s="13">
        <v>2.65</v>
      </c>
      <c r="S283" s="13" t="s">
        <v>34</v>
      </c>
      <c r="T283" s="13" t="s">
        <v>49</v>
      </c>
      <c r="U283" s="13" t="s">
        <v>50</v>
      </c>
      <c r="V283" s="13" t="s">
        <v>207</v>
      </c>
      <c r="W283" s="13" t="s">
        <v>34</v>
      </c>
      <c r="X283" s="10">
        <v>3</v>
      </c>
      <c r="Y283" s="13">
        <v>1.5</v>
      </c>
      <c r="Z283" s="13" t="s">
        <v>177</v>
      </c>
      <c r="AA283" s="10">
        <v>0.40500000000000003</v>
      </c>
      <c r="AB283" s="13" t="s">
        <v>34</v>
      </c>
      <c r="AC283" s="13" t="s">
        <v>203</v>
      </c>
      <c r="AD283" s="13" t="s">
        <v>32</v>
      </c>
      <c r="AE283" s="13">
        <v>0.84240000000000004</v>
      </c>
      <c r="AF283" s="13" t="s">
        <v>210</v>
      </c>
      <c r="AG283" s="13">
        <v>2021</v>
      </c>
      <c r="AH283" s="13" t="s">
        <v>211</v>
      </c>
      <c r="AI283" s="2">
        <v>50</v>
      </c>
      <c r="AJ283" s="2">
        <v>2</v>
      </c>
      <c r="AK283" s="2">
        <v>0.5</v>
      </c>
    </row>
    <row r="284" spans="1:37" x14ac:dyDescent="0.3">
      <c r="A284" s="11">
        <v>4.2322456813819596</v>
      </c>
      <c r="B284" s="11">
        <v>1238.07053941908</v>
      </c>
      <c r="C284" s="13" t="s">
        <v>33</v>
      </c>
      <c r="D284" s="13" t="s">
        <v>35</v>
      </c>
      <c r="E284" s="13" t="s">
        <v>170</v>
      </c>
      <c r="F284" s="13">
        <v>0.2</v>
      </c>
      <c r="G284" s="13">
        <v>0.36</v>
      </c>
      <c r="H284" s="13">
        <v>0.31900000000000001</v>
      </c>
      <c r="I284" s="13">
        <v>0.39300000000000002</v>
      </c>
      <c r="J284" s="13">
        <v>1.9650000000000001</v>
      </c>
      <c r="K284" s="13">
        <v>1.29</v>
      </c>
      <c r="L284" s="13">
        <v>0</v>
      </c>
      <c r="M284" s="13" t="s">
        <v>34</v>
      </c>
      <c r="N284" s="13">
        <v>1600</v>
      </c>
      <c r="O284" s="13" t="s">
        <v>34</v>
      </c>
      <c r="P284" s="13" t="s">
        <v>34</v>
      </c>
      <c r="Q284" s="13">
        <v>0</v>
      </c>
      <c r="R284" s="13">
        <v>2.65</v>
      </c>
      <c r="S284" s="13" t="s">
        <v>34</v>
      </c>
      <c r="T284" s="13" t="s">
        <v>49</v>
      </c>
      <c r="U284" s="13" t="s">
        <v>50</v>
      </c>
      <c r="V284" s="13" t="s">
        <v>207</v>
      </c>
      <c r="W284" s="13" t="s">
        <v>34</v>
      </c>
      <c r="X284" s="10">
        <v>3</v>
      </c>
      <c r="Y284" s="13">
        <v>1.5</v>
      </c>
      <c r="Z284" s="13" t="s">
        <v>177</v>
      </c>
      <c r="AA284" s="10">
        <v>0.40500000000000003</v>
      </c>
      <c r="AB284" s="13" t="s">
        <v>34</v>
      </c>
      <c r="AC284" s="13" t="s">
        <v>203</v>
      </c>
      <c r="AD284" s="13" t="s">
        <v>32</v>
      </c>
      <c r="AE284" s="13">
        <v>0.84240000000000004</v>
      </c>
      <c r="AF284" s="13" t="s">
        <v>210</v>
      </c>
      <c r="AG284" s="13">
        <v>2021</v>
      </c>
      <c r="AH284" s="13" t="s">
        <v>211</v>
      </c>
      <c r="AI284" s="2">
        <v>50</v>
      </c>
      <c r="AJ284" s="2">
        <v>2</v>
      </c>
      <c r="AK284" s="2">
        <v>0.5</v>
      </c>
    </row>
    <row r="285" spans="1:37" x14ac:dyDescent="0.3">
      <c r="A285" s="11">
        <v>4.1631477927063303</v>
      </c>
      <c r="B285" s="11">
        <v>1292.53112033195</v>
      </c>
      <c r="C285" s="13" t="s">
        <v>33</v>
      </c>
      <c r="D285" s="13" t="s">
        <v>35</v>
      </c>
      <c r="E285" s="13" t="s">
        <v>170</v>
      </c>
      <c r="F285" s="13">
        <v>0.2</v>
      </c>
      <c r="G285" s="13">
        <v>0.36</v>
      </c>
      <c r="H285" s="13">
        <v>0.31900000000000001</v>
      </c>
      <c r="I285" s="13">
        <v>0.39300000000000002</v>
      </c>
      <c r="J285" s="13">
        <v>1.9650000000000001</v>
      </c>
      <c r="K285" s="13">
        <v>1.29</v>
      </c>
      <c r="L285" s="13">
        <v>0</v>
      </c>
      <c r="M285" s="13" t="s">
        <v>34</v>
      </c>
      <c r="N285" s="13">
        <v>1600</v>
      </c>
      <c r="O285" s="13" t="s">
        <v>34</v>
      </c>
      <c r="P285" s="13" t="s">
        <v>34</v>
      </c>
      <c r="Q285" s="13">
        <v>0</v>
      </c>
      <c r="R285" s="13">
        <v>2.65</v>
      </c>
      <c r="S285" s="13" t="s">
        <v>34</v>
      </c>
      <c r="T285" s="13" t="s">
        <v>49</v>
      </c>
      <c r="U285" s="13" t="s">
        <v>50</v>
      </c>
      <c r="V285" s="13" t="s">
        <v>207</v>
      </c>
      <c r="W285" s="13" t="s">
        <v>34</v>
      </c>
      <c r="X285" s="10">
        <v>3</v>
      </c>
      <c r="Y285" s="13">
        <v>1.5</v>
      </c>
      <c r="Z285" s="13" t="s">
        <v>177</v>
      </c>
      <c r="AA285" s="10">
        <v>0.40500000000000003</v>
      </c>
      <c r="AB285" s="13" t="s">
        <v>34</v>
      </c>
      <c r="AC285" s="13" t="s">
        <v>203</v>
      </c>
      <c r="AD285" s="13" t="s">
        <v>32</v>
      </c>
      <c r="AE285" s="13">
        <v>0.84240000000000004</v>
      </c>
      <c r="AF285" s="13" t="s">
        <v>210</v>
      </c>
      <c r="AG285" s="13">
        <v>2021</v>
      </c>
      <c r="AH285" s="13" t="s">
        <v>211</v>
      </c>
      <c r="AI285" s="2">
        <v>50</v>
      </c>
      <c r="AJ285" s="2">
        <v>2</v>
      </c>
      <c r="AK285" s="2">
        <v>0.5</v>
      </c>
    </row>
    <row r="286" spans="1:37" x14ac:dyDescent="0.3">
      <c r="A286" s="11">
        <v>4.2898272552782997</v>
      </c>
      <c r="B286" s="11">
        <v>1405.08298755186</v>
      </c>
      <c r="C286" s="13" t="s">
        <v>33</v>
      </c>
      <c r="D286" s="13" t="s">
        <v>35</v>
      </c>
      <c r="E286" s="13" t="s">
        <v>170</v>
      </c>
      <c r="F286" s="13">
        <v>0.2</v>
      </c>
      <c r="G286" s="13">
        <v>0.36</v>
      </c>
      <c r="H286" s="13">
        <v>0.31900000000000001</v>
      </c>
      <c r="I286" s="13">
        <v>0.39300000000000002</v>
      </c>
      <c r="J286" s="13">
        <v>1.9650000000000001</v>
      </c>
      <c r="K286" s="13">
        <v>1.29</v>
      </c>
      <c r="L286" s="13">
        <v>0</v>
      </c>
      <c r="M286" s="13" t="s">
        <v>34</v>
      </c>
      <c r="N286" s="13">
        <v>1600</v>
      </c>
      <c r="O286" s="13" t="s">
        <v>34</v>
      </c>
      <c r="P286" s="13" t="s">
        <v>34</v>
      </c>
      <c r="Q286" s="13">
        <v>0</v>
      </c>
      <c r="R286" s="13">
        <v>2.65</v>
      </c>
      <c r="S286" s="13" t="s">
        <v>34</v>
      </c>
      <c r="T286" s="13" t="s">
        <v>49</v>
      </c>
      <c r="U286" s="13" t="s">
        <v>50</v>
      </c>
      <c r="V286" s="13" t="s">
        <v>207</v>
      </c>
      <c r="W286" s="13" t="s">
        <v>34</v>
      </c>
      <c r="X286" s="10">
        <v>3</v>
      </c>
      <c r="Y286" s="13">
        <v>1.5</v>
      </c>
      <c r="Z286" s="13" t="s">
        <v>177</v>
      </c>
      <c r="AA286" s="10">
        <v>0.40500000000000003</v>
      </c>
      <c r="AB286" s="13" t="s">
        <v>34</v>
      </c>
      <c r="AC286" s="13" t="s">
        <v>203</v>
      </c>
      <c r="AD286" s="13" t="s">
        <v>32</v>
      </c>
      <c r="AE286" s="13">
        <v>0.84240000000000004</v>
      </c>
      <c r="AF286" s="13" t="s">
        <v>210</v>
      </c>
      <c r="AG286" s="13">
        <v>2021</v>
      </c>
      <c r="AH286" s="13" t="s">
        <v>211</v>
      </c>
      <c r="AI286" s="2">
        <v>50</v>
      </c>
      <c r="AJ286" s="2">
        <v>2</v>
      </c>
      <c r="AK286" s="2">
        <v>0.5</v>
      </c>
    </row>
    <row r="287" spans="1:37" x14ac:dyDescent="0.3">
      <c r="A287" s="11">
        <v>4.3416506717850201</v>
      </c>
      <c r="B287" s="11">
        <v>1445.0207468879601</v>
      </c>
      <c r="C287" s="13" t="s">
        <v>33</v>
      </c>
      <c r="D287" s="13" t="s">
        <v>35</v>
      </c>
      <c r="E287" s="13" t="s">
        <v>170</v>
      </c>
      <c r="F287" s="13">
        <v>0.2</v>
      </c>
      <c r="G287" s="13">
        <v>0.36</v>
      </c>
      <c r="H287" s="13">
        <v>0.31900000000000001</v>
      </c>
      <c r="I287" s="13">
        <v>0.39300000000000002</v>
      </c>
      <c r="J287" s="13">
        <v>1.9650000000000001</v>
      </c>
      <c r="K287" s="13">
        <v>1.29</v>
      </c>
      <c r="L287" s="13">
        <v>0</v>
      </c>
      <c r="M287" s="13" t="s">
        <v>34</v>
      </c>
      <c r="N287" s="13">
        <v>1600</v>
      </c>
      <c r="O287" s="13" t="s">
        <v>34</v>
      </c>
      <c r="P287" s="13" t="s">
        <v>34</v>
      </c>
      <c r="Q287" s="13">
        <v>0</v>
      </c>
      <c r="R287" s="13">
        <v>2.65</v>
      </c>
      <c r="S287" s="13" t="s">
        <v>34</v>
      </c>
      <c r="T287" s="13" t="s">
        <v>49</v>
      </c>
      <c r="U287" s="13" t="s">
        <v>50</v>
      </c>
      <c r="V287" s="13" t="s">
        <v>207</v>
      </c>
      <c r="W287" s="13" t="s">
        <v>34</v>
      </c>
      <c r="X287" s="10">
        <v>3</v>
      </c>
      <c r="Y287" s="13">
        <v>1.5</v>
      </c>
      <c r="Z287" s="13" t="s">
        <v>177</v>
      </c>
      <c r="AA287" s="10">
        <v>0.40500000000000003</v>
      </c>
      <c r="AB287" s="13" t="s">
        <v>34</v>
      </c>
      <c r="AC287" s="13" t="s">
        <v>203</v>
      </c>
      <c r="AD287" s="13" t="s">
        <v>32</v>
      </c>
      <c r="AE287" s="13">
        <v>0.84240000000000004</v>
      </c>
      <c r="AF287" s="13" t="s">
        <v>210</v>
      </c>
      <c r="AG287" s="13">
        <v>2021</v>
      </c>
      <c r="AH287" s="13" t="s">
        <v>211</v>
      </c>
      <c r="AI287" s="2">
        <v>50</v>
      </c>
      <c r="AJ287" s="2">
        <v>2</v>
      </c>
      <c r="AK287" s="2">
        <v>0.5</v>
      </c>
    </row>
    <row r="288" spans="1:37" x14ac:dyDescent="0.3">
      <c r="A288" s="11">
        <v>4.3416506717850298</v>
      </c>
      <c r="B288" s="11">
        <v>1543.0497925311199</v>
      </c>
      <c r="C288" s="13" t="s">
        <v>33</v>
      </c>
      <c r="D288" s="13" t="s">
        <v>35</v>
      </c>
      <c r="E288" s="13" t="s">
        <v>170</v>
      </c>
      <c r="F288" s="13">
        <v>0.2</v>
      </c>
      <c r="G288" s="13">
        <v>0.36</v>
      </c>
      <c r="H288" s="13">
        <v>0.31900000000000001</v>
      </c>
      <c r="I288" s="13">
        <v>0.39300000000000002</v>
      </c>
      <c r="J288" s="13">
        <v>1.9650000000000001</v>
      </c>
      <c r="K288" s="13">
        <v>1.29</v>
      </c>
      <c r="L288" s="13">
        <v>0</v>
      </c>
      <c r="M288" s="13" t="s">
        <v>34</v>
      </c>
      <c r="N288" s="13">
        <v>1600</v>
      </c>
      <c r="O288" s="13" t="s">
        <v>34</v>
      </c>
      <c r="P288" s="13" t="s">
        <v>34</v>
      </c>
      <c r="Q288" s="13">
        <v>0</v>
      </c>
      <c r="R288" s="13">
        <v>2.65</v>
      </c>
      <c r="S288" s="13" t="s">
        <v>34</v>
      </c>
      <c r="T288" s="13" t="s">
        <v>49</v>
      </c>
      <c r="U288" s="13" t="s">
        <v>50</v>
      </c>
      <c r="V288" s="13" t="s">
        <v>207</v>
      </c>
      <c r="W288" s="13" t="s">
        <v>34</v>
      </c>
      <c r="X288" s="10">
        <v>3</v>
      </c>
      <c r="Y288" s="13">
        <v>1.5</v>
      </c>
      <c r="Z288" s="13" t="s">
        <v>177</v>
      </c>
      <c r="AA288" s="10">
        <v>0.40500000000000003</v>
      </c>
      <c r="AB288" s="13" t="s">
        <v>34</v>
      </c>
      <c r="AC288" s="13" t="s">
        <v>203</v>
      </c>
      <c r="AD288" s="13" t="s">
        <v>32</v>
      </c>
      <c r="AE288" s="13">
        <v>0.84240000000000004</v>
      </c>
      <c r="AF288" s="13" t="s">
        <v>210</v>
      </c>
      <c r="AG288" s="13">
        <v>2021</v>
      </c>
      <c r="AH288" s="13" t="s">
        <v>211</v>
      </c>
      <c r="AI288" s="2">
        <v>50</v>
      </c>
      <c r="AJ288" s="2">
        <v>2</v>
      </c>
      <c r="AK288" s="2">
        <v>0.5</v>
      </c>
    </row>
    <row r="289" spans="1:37" x14ac:dyDescent="0.3">
      <c r="A289" s="11">
        <v>4.3761996161228396</v>
      </c>
      <c r="B289" s="11">
        <v>1699.17012448132</v>
      </c>
      <c r="C289" s="13" t="s">
        <v>33</v>
      </c>
      <c r="D289" s="13" t="s">
        <v>35</v>
      </c>
      <c r="E289" s="13" t="s">
        <v>170</v>
      </c>
      <c r="F289" s="13">
        <v>0.2</v>
      </c>
      <c r="G289" s="13">
        <v>0.36</v>
      </c>
      <c r="H289" s="13">
        <v>0.31900000000000001</v>
      </c>
      <c r="I289" s="13">
        <v>0.39300000000000002</v>
      </c>
      <c r="J289" s="13">
        <v>1.9650000000000001</v>
      </c>
      <c r="K289" s="13">
        <v>1.29</v>
      </c>
      <c r="L289" s="13">
        <v>0</v>
      </c>
      <c r="M289" s="13" t="s">
        <v>34</v>
      </c>
      <c r="N289" s="13">
        <v>1600</v>
      </c>
      <c r="O289" s="13" t="s">
        <v>34</v>
      </c>
      <c r="P289" s="13" t="s">
        <v>34</v>
      </c>
      <c r="Q289" s="13">
        <v>0</v>
      </c>
      <c r="R289" s="13">
        <v>2.65</v>
      </c>
      <c r="S289" s="13" t="s">
        <v>34</v>
      </c>
      <c r="T289" s="13" t="s">
        <v>49</v>
      </c>
      <c r="U289" s="13" t="s">
        <v>50</v>
      </c>
      <c r="V289" s="13" t="s">
        <v>207</v>
      </c>
      <c r="W289" s="13" t="s">
        <v>34</v>
      </c>
      <c r="X289" s="10">
        <v>3</v>
      </c>
      <c r="Y289" s="13">
        <v>1.5</v>
      </c>
      <c r="Z289" s="13" t="s">
        <v>177</v>
      </c>
      <c r="AA289" s="10">
        <v>0.40500000000000003</v>
      </c>
      <c r="AB289" s="13" t="s">
        <v>34</v>
      </c>
      <c r="AC289" s="13" t="s">
        <v>203</v>
      </c>
      <c r="AD289" s="13" t="s">
        <v>32</v>
      </c>
      <c r="AE289" s="13">
        <v>0.84240000000000004</v>
      </c>
      <c r="AF289" s="13" t="s">
        <v>210</v>
      </c>
      <c r="AG289" s="13">
        <v>2021</v>
      </c>
      <c r="AH289" s="13" t="s">
        <v>211</v>
      </c>
      <c r="AI289" s="2">
        <v>50</v>
      </c>
      <c r="AJ289" s="2">
        <v>2</v>
      </c>
      <c r="AK289" s="2">
        <v>0.5</v>
      </c>
    </row>
    <row r="290" spans="1:37" x14ac:dyDescent="0.3">
      <c r="A290" s="11">
        <v>4.4222648752399198</v>
      </c>
      <c r="B290" s="11">
        <v>1742.7385892116099</v>
      </c>
      <c r="C290" s="13" t="s">
        <v>33</v>
      </c>
      <c r="D290" s="13" t="s">
        <v>35</v>
      </c>
      <c r="E290" s="13" t="s">
        <v>170</v>
      </c>
      <c r="F290" s="13">
        <v>0.2</v>
      </c>
      <c r="G290" s="13">
        <v>0.36</v>
      </c>
      <c r="H290" s="13">
        <v>0.31900000000000001</v>
      </c>
      <c r="I290" s="13">
        <v>0.39300000000000002</v>
      </c>
      <c r="J290" s="13">
        <v>1.9650000000000001</v>
      </c>
      <c r="K290" s="13">
        <v>1.29</v>
      </c>
      <c r="L290" s="13">
        <v>0</v>
      </c>
      <c r="M290" s="13" t="s">
        <v>34</v>
      </c>
      <c r="N290" s="13">
        <v>1600</v>
      </c>
      <c r="O290" s="13" t="s">
        <v>34</v>
      </c>
      <c r="P290" s="13" t="s">
        <v>34</v>
      </c>
      <c r="Q290" s="13">
        <v>0</v>
      </c>
      <c r="R290" s="13">
        <v>2.65</v>
      </c>
      <c r="S290" s="13" t="s">
        <v>34</v>
      </c>
      <c r="T290" s="13" t="s">
        <v>49</v>
      </c>
      <c r="U290" s="13" t="s">
        <v>50</v>
      </c>
      <c r="V290" s="13" t="s">
        <v>207</v>
      </c>
      <c r="W290" s="13" t="s">
        <v>34</v>
      </c>
      <c r="X290" s="10">
        <v>3</v>
      </c>
      <c r="Y290" s="13">
        <v>1.5</v>
      </c>
      <c r="Z290" s="13" t="s">
        <v>177</v>
      </c>
      <c r="AA290" s="10">
        <v>0.40500000000000003</v>
      </c>
      <c r="AB290" s="13" t="s">
        <v>34</v>
      </c>
      <c r="AC290" s="13" t="s">
        <v>203</v>
      </c>
      <c r="AD290" s="13" t="s">
        <v>32</v>
      </c>
      <c r="AE290" s="13">
        <v>0.84240000000000004</v>
      </c>
      <c r="AF290" s="13" t="s">
        <v>210</v>
      </c>
      <c r="AG290" s="13">
        <v>2021</v>
      </c>
      <c r="AH290" s="13" t="s">
        <v>211</v>
      </c>
      <c r="AI290" s="2">
        <v>50</v>
      </c>
      <c r="AJ290" s="2">
        <v>2</v>
      </c>
      <c r="AK290" s="2">
        <v>0.5</v>
      </c>
    </row>
    <row r="291" spans="1:37" x14ac:dyDescent="0.3">
      <c r="A291" s="11">
        <v>4.0652591170825296</v>
      </c>
      <c r="B291" s="11">
        <v>1731.84647302904</v>
      </c>
      <c r="C291" s="13" t="s">
        <v>33</v>
      </c>
      <c r="D291" s="13" t="s">
        <v>35</v>
      </c>
      <c r="E291" s="13" t="s">
        <v>170</v>
      </c>
      <c r="F291" s="13">
        <v>0.2</v>
      </c>
      <c r="G291" s="13">
        <v>0.36</v>
      </c>
      <c r="H291" s="13">
        <v>0.31900000000000001</v>
      </c>
      <c r="I291" s="13">
        <v>0.39300000000000002</v>
      </c>
      <c r="J291" s="13">
        <v>1.9650000000000001</v>
      </c>
      <c r="K291" s="13">
        <v>1.29</v>
      </c>
      <c r="L291" s="13">
        <v>0</v>
      </c>
      <c r="M291" s="13" t="s">
        <v>34</v>
      </c>
      <c r="N291" s="13">
        <v>1600</v>
      </c>
      <c r="O291" s="13" t="s">
        <v>34</v>
      </c>
      <c r="P291" s="13" t="s">
        <v>34</v>
      </c>
      <c r="Q291" s="13">
        <v>0</v>
      </c>
      <c r="R291" s="13">
        <v>2.65</v>
      </c>
      <c r="S291" s="13" t="s">
        <v>34</v>
      </c>
      <c r="T291" s="13" t="s">
        <v>49</v>
      </c>
      <c r="U291" s="13" t="s">
        <v>50</v>
      </c>
      <c r="V291" s="13" t="s">
        <v>207</v>
      </c>
      <c r="W291" s="13" t="s">
        <v>34</v>
      </c>
      <c r="X291" s="10">
        <v>3</v>
      </c>
      <c r="Y291" s="13">
        <v>1.5</v>
      </c>
      <c r="Z291" s="13" t="s">
        <v>177</v>
      </c>
      <c r="AA291" s="10">
        <v>0.40500000000000003</v>
      </c>
      <c r="AB291" s="13" t="s">
        <v>34</v>
      </c>
      <c r="AC291" s="13" t="s">
        <v>203</v>
      </c>
      <c r="AD291" s="13" t="s">
        <v>32</v>
      </c>
      <c r="AE291" s="13">
        <v>0.84240000000000004</v>
      </c>
      <c r="AF291" s="13" t="s">
        <v>210</v>
      </c>
      <c r="AG291" s="13">
        <v>2021</v>
      </c>
      <c r="AH291" s="13" t="s">
        <v>211</v>
      </c>
      <c r="AI291" s="2">
        <v>50</v>
      </c>
      <c r="AJ291" s="2">
        <v>2</v>
      </c>
      <c r="AK291" s="2">
        <v>0.5</v>
      </c>
    </row>
    <row r="292" spans="1:37" x14ac:dyDescent="0.3">
      <c r="A292" s="11">
        <v>4.3128598848368496</v>
      </c>
      <c r="B292" s="11">
        <v>1931.53526970954</v>
      </c>
      <c r="C292" s="13" t="s">
        <v>33</v>
      </c>
      <c r="D292" s="13" t="s">
        <v>35</v>
      </c>
      <c r="E292" s="13" t="s">
        <v>170</v>
      </c>
      <c r="F292" s="13">
        <v>0.2</v>
      </c>
      <c r="G292" s="13">
        <v>0.36</v>
      </c>
      <c r="H292" s="13">
        <v>0.31900000000000001</v>
      </c>
      <c r="I292" s="13">
        <v>0.39300000000000002</v>
      </c>
      <c r="J292" s="13">
        <v>1.9650000000000001</v>
      </c>
      <c r="K292" s="13">
        <v>1.29</v>
      </c>
      <c r="L292" s="13">
        <v>0</v>
      </c>
      <c r="M292" s="13" t="s">
        <v>34</v>
      </c>
      <c r="N292" s="13">
        <v>1600</v>
      </c>
      <c r="O292" s="13" t="s">
        <v>34</v>
      </c>
      <c r="P292" s="13" t="s">
        <v>34</v>
      </c>
      <c r="Q292" s="13">
        <v>0</v>
      </c>
      <c r="R292" s="13">
        <v>2.65</v>
      </c>
      <c r="S292" s="13" t="s">
        <v>34</v>
      </c>
      <c r="T292" s="13" t="s">
        <v>49</v>
      </c>
      <c r="U292" s="13" t="s">
        <v>50</v>
      </c>
      <c r="V292" s="13" t="s">
        <v>207</v>
      </c>
      <c r="W292" s="13" t="s">
        <v>34</v>
      </c>
      <c r="X292" s="10">
        <v>3</v>
      </c>
      <c r="Y292" s="13">
        <v>1.5</v>
      </c>
      <c r="Z292" s="13" t="s">
        <v>177</v>
      </c>
      <c r="AA292" s="10">
        <v>0.40500000000000003</v>
      </c>
      <c r="AB292" s="13" t="s">
        <v>34</v>
      </c>
      <c r="AC292" s="13" t="s">
        <v>203</v>
      </c>
      <c r="AD292" s="13" t="s">
        <v>32</v>
      </c>
      <c r="AE292" s="13">
        <v>0.84240000000000004</v>
      </c>
      <c r="AF292" s="13" t="s">
        <v>210</v>
      </c>
      <c r="AG292" s="13">
        <v>2021</v>
      </c>
      <c r="AH292" s="13" t="s">
        <v>211</v>
      </c>
      <c r="AI292" s="2">
        <v>50</v>
      </c>
      <c r="AJ292" s="2">
        <v>2</v>
      </c>
      <c r="AK292" s="2">
        <v>0.5</v>
      </c>
    </row>
    <row r="293" spans="1:37" x14ac:dyDescent="0.3">
      <c r="A293" s="11">
        <v>4.3358925143953897</v>
      </c>
      <c r="B293" s="11">
        <v>2058.6099585062202</v>
      </c>
      <c r="C293" s="13" t="s">
        <v>33</v>
      </c>
      <c r="D293" s="13" t="s">
        <v>35</v>
      </c>
      <c r="E293" s="13" t="s">
        <v>170</v>
      </c>
      <c r="F293" s="13">
        <v>0.2</v>
      </c>
      <c r="G293" s="13">
        <v>0.36</v>
      </c>
      <c r="H293" s="13">
        <v>0.31900000000000001</v>
      </c>
      <c r="I293" s="13">
        <v>0.39300000000000002</v>
      </c>
      <c r="J293" s="13">
        <v>1.9650000000000001</v>
      </c>
      <c r="K293" s="13">
        <v>1.29</v>
      </c>
      <c r="L293" s="13">
        <v>0</v>
      </c>
      <c r="M293" s="13" t="s">
        <v>34</v>
      </c>
      <c r="N293" s="13">
        <v>1600</v>
      </c>
      <c r="O293" s="13" t="s">
        <v>34</v>
      </c>
      <c r="P293" s="13" t="s">
        <v>34</v>
      </c>
      <c r="Q293" s="13">
        <v>0</v>
      </c>
      <c r="R293" s="13">
        <v>2.65</v>
      </c>
      <c r="S293" s="13" t="s">
        <v>34</v>
      </c>
      <c r="T293" s="13" t="s">
        <v>49</v>
      </c>
      <c r="U293" s="13" t="s">
        <v>50</v>
      </c>
      <c r="V293" s="13" t="s">
        <v>207</v>
      </c>
      <c r="W293" s="13" t="s">
        <v>34</v>
      </c>
      <c r="X293" s="10">
        <v>3</v>
      </c>
      <c r="Y293" s="13">
        <v>1.5</v>
      </c>
      <c r="Z293" s="13" t="s">
        <v>177</v>
      </c>
      <c r="AA293" s="10">
        <v>0.40500000000000003</v>
      </c>
      <c r="AB293" s="13" t="s">
        <v>34</v>
      </c>
      <c r="AC293" s="13" t="s">
        <v>203</v>
      </c>
      <c r="AD293" s="13" t="s">
        <v>32</v>
      </c>
      <c r="AE293" s="13">
        <v>0.84240000000000004</v>
      </c>
      <c r="AF293" s="13" t="s">
        <v>210</v>
      </c>
      <c r="AG293" s="13">
        <v>2021</v>
      </c>
      <c r="AH293" s="13" t="s">
        <v>211</v>
      </c>
      <c r="AI293" s="2">
        <v>50</v>
      </c>
      <c r="AJ293" s="2">
        <v>2</v>
      </c>
      <c r="AK293" s="2">
        <v>0.5</v>
      </c>
    </row>
    <row r="294" spans="1:37" x14ac:dyDescent="0.3">
      <c r="A294" s="11">
        <v>4.2207293666026802</v>
      </c>
      <c r="B294" s="11">
        <v>2058.6099585062202</v>
      </c>
      <c r="C294" s="13" t="s">
        <v>33</v>
      </c>
      <c r="D294" s="13" t="s">
        <v>35</v>
      </c>
      <c r="E294" s="13" t="s">
        <v>170</v>
      </c>
      <c r="F294" s="13">
        <v>0.2</v>
      </c>
      <c r="G294" s="13">
        <v>0.36</v>
      </c>
      <c r="H294" s="13">
        <v>0.31900000000000001</v>
      </c>
      <c r="I294" s="13">
        <v>0.39300000000000002</v>
      </c>
      <c r="J294" s="13">
        <v>1.9650000000000001</v>
      </c>
      <c r="K294" s="13">
        <v>1.29</v>
      </c>
      <c r="L294" s="13">
        <v>0</v>
      </c>
      <c r="M294" s="13" t="s">
        <v>34</v>
      </c>
      <c r="N294" s="13">
        <v>1600</v>
      </c>
      <c r="O294" s="13" t="s">
        <v>34</v>
      </c>
      <c r="P294" s="13" t="s">
        <v>34</v>
      </c>
      <c r="Q294" s="13">
        <v>0</v>
      </c>
      <c r="R294" s="13">
        <v>2.65</v>
      </c>
      <c r="S294" s="13" t="s">
        <v>34</v>
      </c>
      <c r="T294" s="13" t="s">
        <v>49</v>
      </c>
      <c r="U294" s="13" t="s">
        <v>50</v>
      </c>
      <c r="V294" s="13" t="s">
        <v>207</v>
      </c>
      <c r="W294" s="13" t="s">
        <v>34</v>
      </c>
      <c r="X294" s="10">
        <v>3</v>
      </c>
      <c r="Y294" s="13">
        <v>1.5</v>
      </c>
      <c r="Z294" s="13" t="s">
        <v>177</v>
      </c>
      <c r="AA294" s="10">
        <v>0.40500000000000003</v>
      </c>
      <c r="AB294" s="13" t="s">
        <v>34</v>
      </c>
      <c r="AC294" s="13" t="s">
        <v>203</v>
      </c>
      <c r="AD294" s="13" t="s">
        <v>32</v>
      </c>
      <c r="AE294" s="13">
        <v>0.84240000000000004</v>
      </c>
      <c r="AF294" s="13" t="s">
        <v>210</v>
      </c>
      <c r="AG294" s="13">
        <v>2021</v>
      </c>
      <c r="AH294" s="13" t="s">
        <v>211</v>
      </c>
      <c r="AI294" s="2">
        <v>50</v>
      </c>
      <c r="AJ294" s="2">
        <v>2</v>
      </c>
      <c r="AK294" s="2">
        <v>0.5</v>
      </c>
    </row>
    <row r="295" spans="1:37" x14ac:dyDescent="0.3">
      <c r="A295" s="11">
        <v>4.2840690978886702</v>
      </c>
      <c r="B295" s="11">
        <v>2116.70124481327</v>
      </c>
      <c r="C295" s="13" t="s">
        <v>33</v>
      </c>
      <c r="D295" s="13" t="s">
        <v>35</v>
      </c>
      <c r="E295" s="13" t="s">
        <v>170</v>
      </c>
      <c r="F295" s="13">
        <v>0.2</v>
      </c>
      <c r="G295" s="13">
        <v>0.36</v>
      </c>
      <c r="H295" s="13">
        <v>0.31900000000000001</v>
      </c>
      <c r="I295" s="13">
        <v>0.39300000000000002</v>
      </c>
      <c r="J295" s="13">
        <v>1.9650000000000001</v>
      </c>
      <c r="K295" s="13">
        <v>1.29</v>
      </c>
      <c r="L295" s="13">
        <v>0</v>
      </c>
      <c r="M295" s="13" t="s">
        <v>34</v>
      </c>
      <c r="N295" s="13">
        <v>1600</v>
      </c>
      <c r="O295" s="13" t="s">
        <v>34</v>
      </c>
      <c r="P295" s="13" t="s">
        <v>34</v>
      </c>
      <c r="Q295" s="13">
        <v>0</v>
      </c>
      <c r="R295" s="13">
        <v>2.65</v>
      </c>
      <c r="S295" s="13" t="s">
        <v>34</v>
      </c>
      <c r="T295" s="13" t="s">
        <v>49</v>
      </c>
      <c r="U295" s="13" t="s">
        <v>50</v>
      </c>
      <c r="V295" s="13" t="s">
        <v>207</v>
      </c>
      <c r="W295" s="13" t="s">
        <v>34</v>
      </c>
      <c r="X295" s="10">
        <v>3</v>
      </c>
      <c r="Y295" s="13">
        <v>1.5</v>
      </c>
      <c r="Z295" s="13" t="s">
        <v>177</v>
      </c>
      <c r="AA295" s="10">
        <v>0.40500000000000003</v>
      </c>
      <c r="AB295" s="13" t="s">
        <v>34</v>
      </c>
      <c r="AC295" s="13" t="s">
        <v>203</v>
      </c>
      <c r="AD295" s="13" t="s">
        <v>32</v>
      </c>
      <c r="AE295" s="13">
        <v>0.84240000000000004</v>
      </c>
      <c r="AF295" s="13" t="s">
        <v>210</v>
      </c>
      <c r="AG295" s="13">
        <v>2021</v>
      </c>
      <c r="AH295" s="13" t="s">
        <v>211</v>
      </c>
      <c r="AI295" s="2">
        <v>50</v>
      </c>
      <c r="AJ295" s="2">
        <v>2</v>
      </c>
      <c r="AK295" s="2">
        <v>0.5</v>
      </c>
    </row>
    <row r="296" spans="1:37" x14ac:dyDescent="0.3">
      <c r="A296" s="11">
        <v>4.5489443378118999</v>
      </c>
      <c r="B296" s="11">
        <v>2610.4771784232298</v>
      </c>
      <c r="C296" s="13" t="s">
        <v>33</v>
      </c>
      <c r="D296" s="13" t="s">
        <v>35</v>
      </c>
      <c r="E296" s="13" t="s">
        <v>170</v>
      </c>
      <c r="F296" s="13">
        <v>0.2</v>
      </c>
      <c r="G296" s="13">
        <v>0.36</v>
      </c>
      <c r="H296" s="13">
        <v>0.31900000000000001</v>
      </c>
      <c r="I296" s="13">
        <v>0.39300000000000002</v>
      </c>
      <c r="J296" s="13">
        <v>1.9650000000000001</v>
      </c>
      <c r="K296" s="13">
        <v>1.29</v>
      </c>
      <c r="L296" s="13">
        <v>0</v>
      </c>
      <c r="M296" s="13" t="s">
        <v>34</v>
      </c>
      <c r="N296" s="13">
        <v>1600</v>
      </c>
      <c r="O296" s="13" t="s">
        <v>34</v>
      </c>
      <c r="P296" s="13" t="s">
        <v>34</v>
      </c>
      <c r="Q296" s="13">
        <v>0</v>
      </c>
      <c r="R296" s="13">
        <v>2.65</v>
      </c>
      <c r="S296" s="13" t="s">
        <v>34</v>
      </c>
      <c r="T296" s="13" t="s">
        <v>49</v>
      </c>
      <c r="U296" s="13" t="s">
        <v>50</v>
      </c>
      <c r="V296" s="13" t="s">
        <v>207</v>
      </c>
      <c r="W296" s="13" t="s">
        <v>34</v>
      </c>
      <c r="X296" s="10">
        <v>3</v>
      </c>
      <c r="Y296" s="13">
        <v>1.5</v>
      </c>
      <c r="Z296" s="13" t="s">
        <v>177</v>
      </c>
      <c r="AA296" s="10">
        <v>0.40500000000000003</v>
      </c>
      <c r="AB296" s="13" t="s">
        <v>34</v>
      </c>
      <c r="AC296" s="13" t="s">
        <v>203</v>
      </c>
      <c r="AD296" s="13" t="s">
        <v>32</v>
      </c>
      <c r="AE296" s="13">
        <v>0.84240000000000004</v>
      </c>
      <c r="AF296" s="13" t="s">
        <v>210</v>
      </c>
      <c r="AG296" s="13">
        <v>2021</v>
      </c>
      <c r="AH296" s="13" t="s">
        <v>211</v>
      </c>
      <c r="AI296" s="2">
        <v>50</v>
      </c>
      <c r="AJ296" s="2">
        <v>2</v>
      </c>
      <c r="AK296" s="2">
        <v>0.5</v>
      </c>
    </row>
    <row r="297" spans="1:37" x14ac:dyDescent="0.3">
      <c r="A297" s="11">
        <v>5.5911708253358903</v>
      </c>
      <c r="B297" s="11">
        <v>2984.4398340248899</v>
      </c>
      <c r="C297" s="13" t="s">
        <v>33</v>
      </c>
      <c r="D297" s="13" t="s">
        <v>35</v>
      </c>
      <c r="E297" s="13" t="s">
        <v>170</v>
      </c>
      <c r="F297" s="13">
        <v>0.2</v>
      </c>
      <c r="G297" s="13">
        <v>0.36</v>
      </c>
      <c r="H297" s="13">
        <v>0.31900000000000001</v>
      </c>
      <c r="I297" s="13">
        <v>0.39300000000000002</v>
      </c>
      <c r="J297" s="13">
        <v>1.9650000000000001</v>
      </c>
      <c r="K297" s="13">
        <v>1.29</v>
      </c>
      <c r="L297" s="13">
        <v>0</v>
      </c>
      <c r="M297" s="13" t="s">
        <v>34</v>
      </c>
      <c r="N297" s="13">
        <v>1600</v>
      </c>
      <c r="O297" s="13" t="s">
        <v>34</v>
      </c>
      <c r="P297" s="13" t="s">
        <v>34</v>
      </c>
      <c r="Q297" s="13">
        <v>0</v>
      </c>
      <c r="R297" s="13">
        <v>2.65</v>
      </c>
      <c r="S297" s="13" t="s">
        <v>34</v>
      </c>
      <c r="T297" s="13" t="s">
        <v>49</v>
      </c>
      <c r="U297" s="13" t="s">
        <v>50</v>
      </c>
      <c r="V297" s="13" t="s">
        <v>207</v>
      </c>
      <c r="W297" s="13" t="s">
        <v>34</v>
      </c>
      <c r="X297" s="10">
        <v>3</v>
      </c>
      <c r="Y297" s="13">
        <v>1.5</v>
      </c>
      <c r="Z297" s="13" t="s">
        <v>177</v>
      </c>
      <c r="AA297" s="10">
        <v>0.40500000000000003</v>
      </c>
      <c r="AB297" s="13" t="s">
        <v>34</v>
      </c>
      <c r="AC297" s="13" t="s">
        <v>203</v>
      </c>
      <c r="AD297" s="13" t="s">
        <v>32</v>
      </c>
      <c r="AE297" s="13">
        <v>0.84240000000000004</v>
      </c>
      <c r="AF297" s="13" t="s">
        <v>210</v>
      </c>
      <c r="AG297" s="13">
        <v>2021</v>
      </c>
      <c r="AH297" s="13" t="s">
        <v>211</v>
      </c>
      <c r="AI297" s="2">
        <v>50</v>
      </c>
      <c r="AJ297" s="2">
        <v>2</v>
      </c>
      <c r="AK297" s="2">
        <v>0.5</v>
      </c>
    </row>
    <row r="298" spans="1:37" x14ac:dyDescent="0.3">
      <c r="A298" s="11">
        <v>4.3243761996161201</v>
      </c>
      <c r="B298" s="11">
        <v>1412.3443983402401</v>
      </c>
      <c r="C298" s="13" t="s">
        <v>33</v>
      </c>
      <c r="D298" s="13" t="s">
        <v>35</v>
      </c>
      <c r="E298" s="13" t="s">
        <v>170</v>
      </c>
      <c r="F298" s="13">
        <v>0.2</v>
      </c>
      <c r="G298" s="13">
        <v>0.36</v>
      </c>
      <c r="H298" s="13">
        <v>0.31900000000000001</v>
      </c>
      <c r="I298" s="13">
        <v>0.39300000000000002</v>
      </c>
      <c r="J298" s="13">
        <v>1.9650000000000001</v>
      </c>
      <c r="K298" s="13">
        <v>1.29</v>
      </c>
      <c r="L298" s="13">
        <v>0</v>
      </c>
      <c r="M298" s="13" t="s">
        <v>34</v>
      </c>
      <c r="N298" s="13">
        <v>1600</v>
      </c>
      <c r="O298" s="13" t="s">
        <v>34</v>
      </c>
      <c r="P298" s="13" t="s">
        <v>34</v>
      </c>
      <c r="Q298" s="13">
        <v>0</v>
      </c>
      <c r="R298" s="13">
        <v>2.65</v>
      </c>
      <c r="S298" s="13" t="s">
        <v>34</v>
      </c>
      <c r="T298" s="13" t="s">
        <v>49</v>
      </c>
      <c r="U298" s="13" t="s">
        <v>50</v>
      </c>
      <c r="V298" s="13" t="s">
        <v>207</v>
      </c>
      <c r="W298" s="13" t="s">
        <v>34</v>
      </c>
      <c r="X298" s="10">
        <v>3</v>
      </c>
      <c r="Y298" s="13">
        <v>1.5</v>
      </c>
      <c r="Z298" s="13" t="s">
        <v>177</v>
      </c>
      <c r="AA298" s="10">
        <v>0.40500000000000003</v>
      </c>
      <c r="AB298" s="13" t="s">
        <v>34</v>
      </c>
      <c r="AC298" s="13" t="s">
        <v>203</v>
      </c>
      <c r="AD298" s="13" t="s">
        <v>32</v>
      </c>
      <c r="AE298" s="13">
        <v>0.84240000000000004</v>
      </c>
      <c r="AF298" s="13" t="s">
        <v>210</v>
      </c>
      <c r="AG298" s="13">
        <v>2021</v>
      </c>
      <c r="AH298" s="13" t="s">
        <v>211</v>
      </c>
      <c r="AI298" s="2">
        <v>50</v>
      </c>
      <c r="AJ298" s="2">
        <v>2</v>
      </c>
      <c r="AK298" s="2">
        <v>0.5</v>
      </c>
    </row>
    <row r="299" spans="1:37" x14ac:dyDescent="0.3">
      <c r="A299" s="11">
        <v>4.3761996161228396</v>
      </c>
      <c r="B299" s="11">
        <v>1593.8796680497901</v>
      </c>
      <c r="C299" s="13" t="s">
        <v>33</v>
      </c>
      <c r="D299" s="13" t="s">
        <v>35</v>
      </c>
      <c r="E299" s="13" t="s">
        <v>170</v>
      </c>
      <c r="F299" s="13">
        <v>0.2</v>
      </c>
      <c r="G299" s="13">
        <v>0.36</v>
      </c>
      <c r="H299" s="13">
        <v>0.31900000000000001</v>
      </c>
      <c r="I299" s="13">
        <v>0.39300000000000002</v>
      </c>
      <c r="J299" s="13">
        <v>1.9650000000000001</v>
      </c>
      <c r="K299" s="13">
        <v>1.29</v>
      </c>
      <c r="L299" s="13">
        <v>0</v>
      </c>
      <c r="M299" s="13" t="s">
        <v>34</v>
      </c>
      <c r="N299" s="13">
        <v>1600</v>
      </c>
      <c r="O299" s="13" t="s">
        <v>34</v>
      </c>
      <c r="P299" s="13" t="s">
        <v>34</v>
      </c>
      <c r="Q299" s="13">
        <v>0</v>
      </c>
      <c r="R299" s="13">
        <v>2.65</v>
      </c>
      <c r="S299" s="13" t="s">
        <v>34</v>
      </c>
      <c r="T299" s="13" t="s">
        <v>49</v>
      </c>
      <c r="U299" s="13" t="s">
        <v>50</v>
      </c>
      <c r="V299" s="13" t="s">
        <v>207</v>
      </c>
      <c r="W299" s="13" t="s">
        <v>34</v>
      </c>
      <c r="X299" s="10">
        <v>3</v>
      </c>
      <c r="Y299" s="13">
        <v>1.5</v>
      </c>
      <c r="Z299" s="13" t="s">
        <v>177</v>
      </c>
      <c r="AA299" s="10">
        <v>0.40500000000000003</v>
      </c>
      <c r="AB299" s="13" t="s">
        <v>34</v>
      </c>
      <c r="AC299" s="13" t="s">
        <v>203</v>
      </c>
      <c r="AD299" s="13" t="s">
        <v>32</v>
      </c>
      <c r="AE299" s="13">
        <v>0.84240000000000004</v>
      </c>
      <c r="AF299" s="13" t="s">
        <v>210</v>
      </c>
      <c r="AG299" s="13">
        <v>2021</v>
      </c>
      <c r="AH299" s="13" t="s">
        <v>211</v>
      </c>
      <c r="AI299" s="2">
        <v>50</v>
      </c>
      <c r="AJ299" s="2">
        <v>2</v>
      </c>
      <c r="AK299" s="2">
        <v>0.5</v>
      </c>
    </row>
    <row r="300" spans="1:37" x14ac:dyDescent="0.3">
      <c r="A300" s="11">
        <v>4.4798464491362697</v>
      </c>
      <c r="B300" s="11">
        <v>1604.77178423236</v>
      </c>
      <c r="C300" s="13" t="s">
        <v>33</v>
      </c>
      <c r="D300" s="13" t="s">
        <v>35</v>
      </c>
      <c r="E300" s="13" t="s">
        <v>170</v>
      </c>
      <c r="F300" s="13">
        <v>0.2</v>
      </c>
      <c r="G300" s="13">
        <v>0.36</v>
      </c>
      <c r="H300" s="13">
        <v>0.31900000000000001</v>
      </c>
      <c r="I300" s="13">
        <v>0.39300000000000002</v>
      </c>
      <c r="J300" s="13">
        <v>1.9650000000000001</v>
      </c>
      <c r="K300" s="13">
        <v>1.29</v>
      </c>
      <c r="L300" s="13">
        <v>0</v>
      </c>
      <c r="M300" s="13" t="s">
        <v>34</v>
      </c>
      <c r="N300" s="13">
        <v>1600</v>
      </c>
      <c r="O300" s="13" t="s">
        <v>34</v>
      </c>
      <c r="P300" s="13" t="s">
        <v>34</v>
      </c>
      <c r="Q300" s="13">
        <v>0</v>
      </c>
      <c r="R300" s="13">
        <v>2.65</v>
      </c>
      <c r="S300" s="13" t="s">
        <v>34</v>
      </c>
      <c r="T300" s="13" t="s">
        <v>49</v>
      </c>
      <c r="U300" s="13" t="s">
        <v>50</v>
      </c>
      <c r="V300" s="13" t="s">
        <v>207</v>
      </c>
      <c r="W300" s="13" t="s">
        <v>34</v>
      </c>
      <c r="X300" s="10">
        <v>3</v>
      </c>
      <c r="Y300" s="13">
        <v>1.5</v>
      </c>
      <c r="Z300" s="13" t="s">
        <v>177</v>
      </c>
      <c r="AA300" s="10">
        <v>0.40500000000000003</v>
      </c>
      <c r="AB300" s="13" t="s">
        <v>34</v>
      </c>
      <c r="AC300" s="13" t="s">
        <v>203</v>
      </c>
      <c r="AD300" s="13" t="s">
        <v>32</v>
      </c>
      <c r="AE300" s="13">
        <v>0.84240000000000004</v>
      </c>
      <c r="AF300" s="13" t="s">
        <v>210</v>
      </c>
      <c r="AG300" s="13">
        <v>2021</v>
      </c>
      <c r="AH300" s="13" t="s">
        <v>211</v>
      </c>
      <c r="AI300" s="2">
        <v>50</v>
      </c>
      <c r="AJ300" s="2">
        <v>2</v>
      </c>
      <c r="AK300" s="2">
        <v>0.5</v>
      </c>
    </row>
    <row r="301" spans="1:37" x14ac:dyDescent="0.3">
      <c r="A301" s="11">
        <v>3.42034548944337</v>
      </c>
      <c r="B301" s="11">
        <v>806.016597510373</v>
      </c>
      <c r="C301" s="13" t="s">
        <v>33</v>
      </c>
      <c r="D301" s="13" t="s">
        <v>35</v>
      </c>
      <c r="E301" s="13" t="s">
        <v>170</v>
      </c>
      <c r="F301" s="13">
        <v>0.2</v>
      </c>
      <c r="G301" s="13">
        <v>0.36</v>
      </c>
      <c r="H301" s="13">
        <v>0.31900000000000001</v>
      </c>
      <c r="I301" s="13">
        <v>0.39300000000000002</v>
      </c>
      <c r="J301" s="13">
        <v>1.9650000000000001</v>
      </c>
      <c r="K301" s="13">
        <v>1.29</v>
      </c>
      <c r="L301" s="13">
        <v>0</v>
      </c>
      <c r="M301" s="13" t="s">
        <v>34</v>
      </c>
      <c r="N301" s="13">
        <v>1600</v>
      </c>
      <c r="O301" s="13" t="s">
        <v>34</v>
      </c>
      <c r="P301" s="13" t="s">
        <v>34</v>
      </c>
      <c r="Q301" s="13">
        <v>0</v>
      </c>
      <c r="R301" s="13">
        <v>2.65</v>
      </c>
      <c r="S301" s="13" t="s">
        <v>34</v>
      </c>
      <c r="T301" s="13" t="s">
        <v>49</v>
      </c>
      <c r="U301" s="13" t="s">
        <v>50</v>
      </c>
      <c r="V301" s="13" t="s">
        <v>207</v>
      </c>
      <c r="W301" s="13" t="s">
        <v>34</v>
      </c>
      <c r="X301" s="10">
        <v>3</v>
      </c>
      <c r="Y301" s="13">
        <v>1.5</v>
      </c>
      <c r="Z301" s="13" t="s">
        <v>177</v>
      </c>
      <c r="AA301" s="10">
        <v>0.40500000000000003</v>
      </c>
      <c r="AB301" s="13" t="s">
        <v>34</v>
      </c>
      <c r="AC301" s="13" t="s">
        <v>203</v>
      </c>
      <c r="AD301" s="13" t="s">
        <v>32</v>
      </c>
      <c r="AE301" s="13">
        <v>0.84240000000000004</v>
      </c>
      <c r="AF301" s="13" t="s">
        <v>210</v>
      </c>
      <c r="AG301" s="13">
        <v>2021</v>
      </c>
      <c r="AH301" s="13" t="s">
        <v>211</v>
      </c>
      <c r="AI301" s="2">
        <v>50</v>
      </c>
      <c r="AJ301" s="2">
        <v>2</v>
      </c>
      <c r="AK301" s="2">
        <v>0.5</v>
      </c>
    </row>
    <row r="302" spans="1:37" x14ac:dyDescent="0.3">
      <c r="A302" s="11">
        <v>3.3224568138195698</v>
      </c>
      <c r="B302" s="11">
        <v>824.170124481328</v>
      </c>
      <c r="C302" s="13" t="s">
        <v>33</v>
      </c>
      <c r="D302" s="13" t="s">
        <v>35</v>
      </c>
      <c r="E302" s="13" t="s">
        <v>170</v>
      </c>
      <c r="F302" s="13">
        <v>0.2</v>
      </c>
      <c r="G302" s="13">
        <v>0.36</v>
      </c>
      <c r="H302" s="13">
        <v>0.31900000000000001</v>
      </c>
      <c r="I302" s="13">
        <v>0.39300000000000002</v>
      </c>
      <c r="J302" s="13">
        <v>1.9650000000000001</v>
      </c>
      <c r="K302" s="13">
        <v>1.29</v>
      </c>
      <c r="L302" s="13">
        <v>0</v>
      </c>
      <c r="M302" s="13" t="s">
        <v>34</v>
      </c>
      <c r="N302" s="13">
        <v>1600</v>
      </c>
      <c r="O302" s="13" t="s">
        <v>34</v>
      </c>
      <c r="P302" s="13" t="s">
        <v>34</v>
      </c>
      <c r="Q302" s="13">
        <v>0</v>
      </c>
      <c r="R302" s="13">
        <v>2.65</v>
      </c>
      <c r="S302" s="13" t="s">
        <v>34</v>
      </c>
      <c r="T302" s="13" t="s">
        <v>49</v>
      </c>
      <c r="U302" s="13" t="s">
        <v>50</v>
      </c>
      <c r="V302" s="13" t="s">
        <v>207</v>
      </c>
      <c r="W302" s="13" t="s">
        <v>34</v>
      </c>
      <c r="X302" s="10">
        <v>3</v>
      </c>
      <c r="Y302" s="13">
        <v>1.5</v>
      </c>
      <c r="Z302" s="13" t="s">
        <v>177</v>
      </c>
      <c r="AA302" s="10">
        <v>0.40500000000000003</v>
      </c>
      <c r="AB302" s="13" t="s">
        <v>34</v>
      </c>
      <c r="AC302" s="13" t="s">
        <v>203</v>
      </c>
      <c r="AD302" s="13" t="s">
        <v>32</v>
      </c>
      <c r="AE302" s="13">
        <v>0.84240000000000004</v>
      </c>
      <c r="AF302" s="13" t="s">
        <v>210</v>
      </c>
      <c r="AG302" s="13">
        <v>2021</v>
      </c>
      <c r="AH302" s="13" t="s">
        <v>211</v>
      </c>
      <c r="AI302" s="2">
        <v>50</v>
      </c>
      <c r="AJ302" s="2">
        <v>2</v>
      </c>
      <c r="AK302" s="2">
        <v>0.5</v>
      </c>
    </row>
    <row r="303" spans="1:37" s="15" customFormat="1" ht="16.2" thickBot="1" x14ac:dyDescent="0.35">
      <c r="A303" s="17">
        <v>2.3608445297504699</v>
      </c>
      <c r="B303" s="17">
        <v>377.59336099584999</v>
      </c>
      <c r="C303" s="18" t="s">
        <v>33</v>
      </c>
      <c r="D303" s="18" t="s">
        <v>35</v>
      </c>
      <c r="E303" s="18" t="s">
        <v>170</v>
      </c>
      <c r="F303" s="18">
        <v>0.2</v>
      </c>
      <c r="G303" s="18">
        <v>0.36</v>
      </c>
      <c r="H303" s="18">
        <v>0.31900000000000001</v>
      </c>
      <c r="I303" s="18">
        <v>0.39300000000000002</v>
      </c>
      <c r="J303" s="18">
        <v>1.9650000000000001</v>
      </c>
      <c r="K303" s="18">
        <v>1.29</v>
      </c>
      <c r="L303" s="18">
        <v>0</v>
      </c>
      <c r="M303" s="18" t="s">
        <v>34</v>
      </c>
      <c r="N303" s="18">
        <v>1600</v>
      </c>
      <c r="O303" s="18" t="s">
        <v>34</v>
      </c>
      <c r="P303" s="18" t="s">
        <v>34</v>
      </c>
      <c r="Q303" s="18">
        <v>0</v>
      </c>
      <c r="R303" s="18">
        <v>2.65</v>
      </c>
      <c r="S303" s="18" t="s">
        <v>34</v>
      </c>
      <c r="T303" s="18" t="s">
        <v>49</v>
      </c>
      <c r="U303" s="18" t="s">
        <v>50</v>
      </c>
      <c r="V303" s="18" t="s">
        <v>207</v>
      </c>
      <c r="W303" s="18" t="s">
        <v>34</v>
      </c>
      <c r="X303" s="14">
        <v>3</v>
      </c>
      <c r="Y303" s="18">
        <v>1.5</v>
      </c>
      <c r="Z303" s="18" t="s">
        <v>177</v>
      </c>
      <c r="AA303" s="14">
        <v>0.40500000000000003</v>
      </c>
      <c r="AB303" s="18" t="s">
        <v>34</v>
      </c>
      <c r="AC303" s="18" t="s">
        <v>203</v>
      </c>
      <c r="AD303" s="18" t="s">
        <v>32</v>
      </c>
      <c r="AE303" s="18">
        <v>0.84240000000000004</v>
      </c>
      <c r="AF303" s="18" t="s">
        <v>210</v>
      </c>
      <c r="AG303" s="18">
        <v>2021</v>
      </c>
      <c r="AH303" s="18" t="s">
        <v>211</v>
      </c>
      <c r="AI303" s="62">
        <v>50</v>
      </c>
      <c r="AJ303" s="34">
        <v>2</v>
      </c>
      <c r="AK303" s="34">
        <v>0.5</v>
      </c>
    </row>
    <row r="304" spans="1:37" x14ac:dyDescent="0.3">
      <c r="A304" s="12">
        <v>1.5486891385767714</v>
      </c>
      <c r="B304" s="12">
        <v>745.88014981273398</v>
      </c>
      <c r="C304" s="13" t="s">
        <v>33</v>
      </c>
      <c r="D304" s="13" t="s">
        <v>212</v>
      </c>
      <c r="E304" s="13" t="s">
        <v>170</v>
      </c>
      <c r="F304" s="13">
        <v>0.6</v>
      </c>
      <c r="G304" s="13">
        <v>0.7</v>
      </c>
      <c r="H304" s="13" t="s">
        <v>34</v>
      </c>
      <c r="I304" s="13" t="s">
        <v>34</v>
      </c>
      <c r="J304" s="13" t="s">
        <v>34</v>
      </c>
      <c r="K304" s="13" t="s">
        <v>34</v>
      </c>
      <c r="L304" s="13">
        <v>0</v>
      </c>
      <c r="M304" s="13">
        <v>78</v>
      </c>
      <c r="N304" s="13" t="s">
        <v>34</v>
      </c>
      <c r="O304" s="13">
        <v>0.74</v>
      </c>
      <c r="P304" s="13">
        <v>0.5</v>
      </c>
      <c r="Q304" s="13">
        <v>20.86</v>
      </c>
      <c r="R304" s="13">
        <v>2.65</v>
      </c>
      <c r="S304" s="13" t="s">
        <v>34</v>
      </c>
      <c r="T304" s="13" t="s">
        <v>49</v>
      </c>
      <c r="U304" s="13" t="s">
        <v>204</v>
      </c>
      <c r="V304" s="13" t="s">
        <v>162</v>
      </c>
      <c r="W304" s="13" t="s">
        <v>34</v>
      </c>
      <c r="X304" s="13">
        <v>1</v>
      </c>
      <c r="Y304" s="13">
        <v>1.5</v>
      </c>
      <c r="Z304" s="13" t="s">
        <v>217</v>
      </c>
      <c r="AA304" s="13">
        <v>0.39</v>
      </c>
      <c r="AB304" s="13">
        <v>7.7</v>
      </c>
      <c r="AC304" s="13" t="s">
        <v>203</v>
      </c>
      <c r="AD304" s="13" t="s">
        <v>32</v>
      </c>
      <c r="AE304" s="13">
        <v>5.8000000000000003E-2</v>
      </c>
      <c r="AF304" s="13" t="s">
        <v>221</v>
      </c>
      <c r="AG304" s="13">
        <v>2020</v>
      </c>
      <c r="AH304" s="13" t="s">
        <v>222</v>
      </c>
      <c r="AI304" s="2">
        <v>51</v>
      </c>
      <c r="AJ304" s="2">
        <v>2</v>
      </c>
      <c r="AK304" s="2">
        <v>1.2450000000000001</v>
      </c>
    </row>
    <row r="305" spans="1:37" x14ac:dyDescent="0.3">
      <c r="A305" s="11">
        <v>1.5805243445692856</v>
      </c>
      <c r="B305" s="11">
        <v>630.52434456928802</v>
      </c>
      <c r="C305" s="13" t="s">
        <v>33</v>
      </c>
      <c r="D305" s="13" t="s">
        <v>212</v>
      </c>
      <c r="E305" s="13" t="s">
        <v>170</v>
      </c>
      <c r="F305" s="13">
        <v>0.6</v>
      </c>
      <c r="G305" s="13">
        <v>0.7</v>
      </c>
      <c r="H305" s="13" t="s">
        <v>34</v>
      </c>
      <c r="I305" s="13" t="s">
        <v>34</v>
      </c>
      <c r="J305" s="13" t="s">
        <v>34</v>
      </c>
      <c r="K305" s="13" t="s">
        <v>34</v>
      </c>
      <c r="L305" s="13">
        <v>0</v>
      </c>
      <c r="M305" s="13">
        <v>78</v>
      </c>
      <c r="N305" s="13" t="s">
        <v>34</v>
      </c>
      <c r="O305" s="13">
        <v>0.74</v>
      </c>
      <c r="P305" s="13">
        <v>0.5</v>
      </c>
      <c r="Q305" s="13">
        <v>20.86</v>
      </c>
      <c r="R305" s="13">
        <v>2.65</v>
      </c>
      <c r="S305" s="13" t="s">
        <v>34</v>
      </c>
      <c r="T305" s="13" t="s">
        <v>49</v>
      </c>
      <c r="U305" s="10" t="s">
        <v>204</v>
      </c>
      <c r="V305" s="13" t="s">
        <v>162</v>
      </c>
      <c r="W305" s="13" t="s">
        <v>34</v>
      </c>
      <c r="X305" s="13">
        <v>1</v>
      </c>
      <c r="Y305" s="13">
        <v>1.5</v>
      </c>
      <c r="Z305" s="10" t="s">
        <v>218</v>
      </c>
      <c r="AA305" s="13">
        <v>0.39</v>
      </c>
      <c r="AB305" s="13">
        <v>7.7</v>
      </c>
      <c r="AC305" s="13" t="s">
        <v>203</v>
      </c>
      <c r="AD305" s="13" t="s">
        <v>32</v>
      </c>
      <c r="AE305" s="13">
        <v>5.8000000000000003E-2</v>
      </c>
      <c r="AF305" s="13" t="s">
        <v>221</v>
      </c>
      <c r="AG305" s="13">
        <v>2020</v>
      </c>
      <c r="AH305" s="13" t="s">
        <v>222</v>
      </c>
      <c r="AI305" s="2">
        <v>51</v>
      </c>
      <c r="AJ305" s="2">
        <v>2</v>
      </c>
      <c r="AK305" s="2">
        <v>1.2450000000000001</v>
      </c>
    </row>
    <row r="306" spans="1:37" x14ac:dyDescent="0.3">
      <c r="A306" s="11">
        <v>1.7172284644194715</v>
      </c>
      <c r="B306" s="11">
        <v>996.25468164793995</v>
      </c>
      <c r="C306" s="13" t="s">
        <v>33</v>
      </c>
      <c r="D306" s="13" t="s">
        <v>212</v>
      </c>
      <c r="E306" s="13" t="s">
        <v>170</v>
      </c>
      <c r="F306" s="13">
        <v>0.6</v>
      </c>
      <c r="G306" s="13">
        <v>0.7</v>
      </c>
      <c r="H306" s="13" t="s">
        <v>34</v>
      </c>
      <c r="I306" s="13" t="s">
        <v>34</v>
      </c>
      <c r="J306" s="13" t="s">
        <v>34</v>
      </c>
      <c r="K306" s="13" t="s">
        <v>34</v>
      </c>
      <c r="L306" s="13">
        <v>0</v>
      </c>
      <c r="M306" s="13">
        <v>78</v>
      </c>
      <c r="N306" s="13" t="s">
        <v>34</v>
      </c>
      <c r="O306" s="13">
        <v>0.74</v>
      </c>
      <c r="P306" s="13">
        <v>0.5</v>
      </c>
      <c r="Q306" s="13">
        <v>20.86</v>
      </c>
      <c r="R306" s="13">
        <v>2.65</v>
      </c>
      <c r="S306" s="13" t="s">
        <v>34</v>
      </c>
      <c r="T306" s="13" t="s">
        <v>49</v>
      </c>
      <c r="U306" s="10" t="s">
        <v>50</v>
      </c>
      <c r="V306" s="13" t="s">
        <v>162</v>
      </c>
      <c r="W306" s="13" t="s">
        <v>34</v>
      </c>
      <c r="X306" s="13">
        <v>1</v>
      </c>
      <c r="Y306" s="13">
        <v>1.5</v>
      </c>
      <c r="Z306" s="10" t="s">
        <v>51</v>
      </c>
      <c r="AA306" s="13">
        <v>0.39</v>
      </c>
      <c r="AB306" s="13">
        <v>7.7</v>
      </c>
      <c r="AC306" s="13" t="s">
        <v>203</v>
      </c>
      <c r="AD306" s="13" t="s">
        <v>32</v>
      </c>
      <c r="AE306" s="13">
        <v>5.8000000000000003E-2</v>
      </c>
      <c r="AF306" s="13" t="s">
        <v>221</v>
      </c>
      <c r="AG306" s="13">
        <v>2020</v>
      </c>
      <c r="AH306" s="13" t="s">
        <v>222</v>
      </c>
      <c r="AI306" s="2">
        <v>51</v>
      </c>
      <c r="AJ306" s="2">
        <v>2</v>
      </c>
      <c r="AK306" s="2">
        <v>1.2450000000000001</v>
      </c>
    </row>
    <row r="307" spans="1:37" x14ac:dyDescent="0.3">
      <c r="A307" s="11">
        <v>1.7172284644194715</v>
      </c>
      <c r="B307" s="11">
        <v>188.76404494381899</v>
      </c>
      <c r="C307" s="13" t="s">
        <v>33</v>
      </c>
      <c r="D307" s="13" t="s">
        <v>212</v>
      </c>
      <c r="E307" s="13" t="s">
        <v>170</v>
      </c>
      <c r="F307" s="13">
        <v>0.6</v>
      </c>
      <c r="G307" s="13">
        <v>0.7</v>
      </c>
      <c r="H307" s="13" t="s">
        <v>34</v>
      </c>
      <c r="I307" s="13" t="s">
        <v>34</v>
      </c>
      <c r="J307" s="13" t="s">
        <v>34</v>
      </c>
      <c r="K307" s="13" t="s">
        <v>34</v>
      </c>
      <c r="L307" s="13">
        <v>0</v>
      </c>
      <c r="M307" s="13">
        <v>78</v>
      </c>
      <c r="N307" s="13" t="s">
        <v>34</v>
      </c>
      <c r="O307" s="13">
        <v>0.74</v>
      </c>
      <c r="P307" s="13">
        <v>0.5</v>
      </c>
      <c r="Q307" s="13">
        <v>20.86</v>
      </c>
      <c r="R307" s="13">
        <v>2.65</v>
      </c>
      <c r="S307" s="13" t="s">
        <v>34</v>
      </c>
      <c r="T307" s="13" t="s">
        <v>49</v>
      </c>
      <c r="U307" s="10" t="s">
        <v>50</v>
      </c>
      <c r="V307" s="13" t="s">
        <v>162</v>
      </c>
      <c r="W307" s="13" t="s">
        <v>34</v>
      </c>
      <c r="X307" s="13">
        <v>1</v>
      </c>
      <c r="Y307" s="13">
        <v>1.5</v>
      </c>
      <c r="Z307" s="10" t="s">
        <v>219</v>
      </c>
      <c r="AA307" s="13">
        <v>0.39</v>
      </c>
      <c r="AB307" s="13">
        <v>7.7</v>
      </c>
      <c r="AC307" s="13" t="s">
        <v>203</v>
      </c>
      <c r="AD307" s="13" t="s">
        <v>32</v>
      </c>
      <c r="AE307" s="13">
        <v>5.8000000000000003E-2</v>
      </c>
      <c r="AF307" s="13" t="s">
        <v>221</v>
      </c>
      <c r="AG307" s="13">
        <v>2020</v>
      </c>
      <c r="AH307" s="13" t="s">
        <v>222</v>
      </c>
      <c r="AI307" s="2">
        <v>51</v>
      </c>
      <c r="AJ307" s="2">
        <v>2</v>
      </c>
      <c r="AK307" s="2">
        <v>1.2450000000000001</v>
      </c>
    </row>
    <row r="308" spans="1:37" s="15" customFormat="1" ht="16.2" thickBot="1" x14ac:dyDescent="0.35">
      <c r="A308" s="17">
        <v>1.6591760299625429</v>
      </c>
      <c r="B308" s="17">
        <v>294.94382022471802</v>
      </c>
      <c r="C308" s="18" t="s">
        <v>33</v>
      </c>
      <c r="D308" s="14" t="s">
        <v>212</v>
      </c>
      <c r="E308" s="18" t="s">
        <v>170</v>
      </c>
      <c r="F308" s="18">
        <v>0.6</v>
      </c>
      <c r="G308" s="18">
        <v>0.7</v>
      </c>
      <c r="H308" s="18" t="s">
        <v>34</v>
      </c>
      <c r="I308" s="18" t="s">
        <v>34</v>
      </c>
      <c r="J308" s="18" t="s">
        <v>34</v>
      </c>
      <c r="K308" s="18" t="s">
        <v>34</v>
      </c>
      <c r="L308" s="18">
        <v>0</v>
      </c>
      <c r="M308" s="18">
        <v>78</v>
      </c>
      <c r="N308" s="18" t="s">
        <v>34</v>
      </c>
      <c r="O308" s="18">
        <v>0.74</v>
      </c>
      <c r="P308" s="18">
        <v>0.5</v>
      </c>
      <c r="Q308" s="18">
        <v>20.86</v>
      </c>
      <c r="R308" s="18">
        <v>2.65</v>
      </c>
      <c r="S308" s="18" t="s">
        <v>34</v>
      </c>
      <c r="T308" s="18" t="s">
        <v>49</v>
      </c>
      <c r="U308" s="14" t="s">
        <v>50</v>
      </c>
      <c r="V308" s="18" t="s">
        <v>162</v>
      </c>
      <c r="W308" s="18" t="s">
        <v>34</v>
      </c>
      <c r="X308" s="18">
        <v>1</v>
      </c>
      <c r="Y308" s="18">
        <v>1.5</v>
      </c>
      <c r="Z308" s="14" t="s">
        <v>220</v>
      </c>
      <c r="AA308" s="18">
        <v>0.39</v>
      </c>
      <c r="AB308" s="18">
        <v>7.7</v>
      </c>
      <c r="AC308" s="18" t="s">
        <v>203</v>
      </c>
      <c r="AD308" s="18" t="s">
        <v>32</v>
      </c>
      <c r="AE308" s="18">
        <v>5.8000000000000003E-2</v>
      </c>
      <c r="AF308" s="18" t="s">
        <v>221</v>
      </c>
      <c r="AG308" s="18">
        <v>2020</v>
      </c>
      <c r="AH308" s="18" t="s">
        <v>222</v>
      </c>
      <c r="AI308" s="60">
        <v>51</v>
      </c>
      <c r="AJ308" s="59">
        <v>2</v>
      </c>
      <c r="AK308" s="59">
        <v>1.2450000000000001</v>
      </c>
    </row>
    <row r="309" spans="1:37" x14ac:dyDescent="0.3">
      <c r="A309" s="12">
        <v>10.442307692307599</v>
      </c>
      <c r="B309" s="12">
        <v>376.168224299065</v>
      </c>
      <c r="C309" s="13" t="s">
        <v>33</v>
      </c>
      <c r="D309" s="13" t="s">
        <v>35</v>
      </c>
      <c r="E309" s="13" t="s">
        <v>170</v>
      </c>
      <c r="F309" s="13">
        <v>0.14000000000000001</v>
      </c>
      <c r="G309" s="13">
        <v>0.3</v>
      </c>
      <c r="H309" s="13">
        <v>0.22700000000000001</v>
      </c>
      <c r="I309" s="13">
        <v>0.316</v>
      </c>
      <c r="J309" s="13">
        <v>2.25</v>
      </c>
      <c r="K309" s="13">
        <v>1.1599999999999999</v>
      </c>
      <c r="L309" s="13">
        <v>0</v>
      </c>
      <c r="M309" s="13">
        <v>50</v>
      </c>
      <c r="N309" s="13" t="s">
        <v>34</v>
      </c>
      <c r="O309" s="13">
        <v>0.79900000000000004</v>
      </c>
      <c r="P309" s="13">
        <v>0.47399999999999998</v>
      </c>
      <c r="Q309" s="13">
        <v>25.734000000000002</v>
      </c>
      <c r="R309" s="13">
        <v>2.645</v>
      </c>
      <c r="S309" s="13" t="s">
        <v>34</v>
      </c>
      <c r="T309" s="13" t="s">
        <v>49</v>
      </c>
      <c r="U309" s="13" t="s">
        <v>50</v>
      </c>
      <c r="V309" s="13" t="s">
        <v>38</v>
      </c>
      <c r="W309" s="13">
        <v>2</v>
      </c>
      <c r="X309" s="13">
        <v>1</v>
      </c>
      <c r="Y309" s="13">
        <v>1</v>
      </c>
      <c r="Z309" s="13" t="s">
        <v>223</v>
      </c>
      <c r="AA309" s="13">
        <v>1.3355999999999999</v>
      </c>
      <c r="AB309" s="13" t="s">
        <v>34</v>
      </c>
      <c r="AC309" s="13" t="s">
        <v>40</v>
      </c>
      <c r="AD309" s="13" t="s">
        <v>32</v>
      </c>
      <c r="AE309" s="13">
        <v>0.71009999999999995</v>
      </c>
      <c r="AF309" s="13" t="s">
        <v>224</v>
      </c>
      <c r="AG309" s="13">
        <v>2015</v>
      </c>
      <c r="AH309" s="13" t="s">
        <v>225</v>
      </c>
      <c r="AI309" s="60">
        <v>35</v>
      </c>
      <c r="AJ309" s="59">
        <v>70</v>
      </c>
      <c r="AK309" s="59" t="s">
        <v>34</v>
      </c>
    </row>
    <row r="310" spans="1:37" x14ac:dyDescent="0.3">
      <c r="A310" s="11">
        <v>11.0625</v>
      </c>
      <c r="B310" s="11">
        <v>388.629283489096</v>
      </c>
      <c r="C310" s="13" t="s">
        <v>33</v>
      </c>
      <c r="D310" s="13" t="s">
        <v>35</v>
      </c>
      <c r="E310" s="13" t="s">
        <v>170</v>
      </c>
      <c r="F310" s="13">
        <v>0.14000000000000001</v>
      </c>
      <c r="G310" s="13">
        <v>0.3</v>
      </c>
      <c r="H310" s="13">
        <v>0.22700000000000001</v>
      </c>
      <c r="I310" s="13">
        <v>0.316</v>
      </c>
      <c r="J310" s="13">
        <v>2.25</v>
      </c>
      <c r="K310" s="13">
        <v>1.1599999999999999</v>
      </c>
      <c r="L310" s="13">
        <v>0</v>
      </c>
      <c r="M310" s="13">
        <v>50</v>
      </c>
      <c r="N310" s="13" t="s">
        <v>34</v>
      </c>
      <c r="O310" s="13">
        <v>0.79900000000000004</v>
      </c>
      <c r="P310" s="13">
        <v>0.47399999999999998</v>
      </c>
      <c r="Q310" s="13">
        <v>25.734000000000002</v>
      </c>
      <c r="R310" s="13">
        <v>2.645</v>
      </c>
      <c r="S310" s="13" t="s">
        <v>34</v>
      </c>
      <c r="T310" s="13" t="s">
        <v>49</v>
      </c>
      <c r="U310" s="13" t="s">
        <v>50</v>
      </c>
      <c r="V310" s="13" t="s">
        <v>38</v>
      </c>
      <c r="W310" s="13">
        <v>2</v>
      </c>
      <c r="X310" s="13">
        <v>1</v>
      </c>
      <c r="Y310" s="13">
        <v>1</v>
      </c>
      <c r="Z310" s="13" t="s">
        <v>223</v>
      </c>
      <c r="AA310" s="13">
        <v>1.3355999999999999</v>
      </c>
      <c r="AB310" s="13" t="s">
        <v>34</v>
      </c>
      <c r="AC310" s="13" t="s">
        <v>40</v>
      </c>
      <c r="AD310" s="13" t="s">
        <v>32</v>
      </c>
      <c r="AE310" s="13">
        <v>0.71009999999999995</v>
      </c>
      <c r="AF310" s="13" t="s">
        <v>224</v>
      </c>
      <c r="AG310" s="13">
        <v>2015</v>
      </c>
      <c r="AH310" s="13" t="s">
        <v>225</v>
      </c>
      <c r="AI310" s="57">
        <v>35</v>
      </c>
      <c r="AJ310" s="2">
        <v>70</v>
      </c>
      <c r="AK310" s="2" t="s">
        <v>34</v>
      </c>
    </row>
    <row r="311" spans="1:37" s="15" customFormat="1" ht="16.2" thickBot="1" x14ac:dyDescent="0.35">
      <c r="A311" s="17">
        <v>12.374999999999901</v>
      </c>
      <c r="B311" s="17">
        <v>331.77570093457899</v>
      </c>
      <c r="C311" s="18" t="s">
        <v>33</v>
      </c>
      <c r="D311" s="18" t="s">
        <v>35</v>
      </c>
      <c r="E311" s="18" t="s">
        <v>170</v>
      </c>
      <c r="F311" s="18">
        <v>0.14000000000000001</v>
      </c>
      <c r="G311" s="18">
        <v>0.3</v>
      </c>
      <c r="H311" s="18">
        <v>0.22700000000000001</v>
      </c>
      <c r="I311" s="18">
        <v>0.316</v>
      </c>
      <c r="J311" s="18">
        <v>2.25</v>
      </c>
      <c r="K311" s="18">
        <v>1.1599999999999999</v>
      </c>
      <c r="L311" s="18">
        <v>0</v>
      </c>
      <c r="M311" s="18">
        <v>50</v>
      </c>
      <c r="N311" s="18" t="s">
        <v>34</v>
      </c>
      <c r="O311" s="18">
        <v>0.79900000000000004</v>
      </c>
      <c r="P311" s="18">
        <v>0.47399999999999998</v>
      </c>
      <c r="Q311" s="18">
        <v>25.734000000000002</v>
      </c>
      <c r="R311" s="18">
        <v>2.645</v>
      </c>
      <c r="S311" s="18" t="s">
        <v>34</v>
      </c>
      <c r="T311" s="18" t="s">
        <v>49</v>
      </c>
      <c r="U311" s="18" t="s">
        <v>50</v>
      </c>
      <c r="V311" s="18" t="s">
        <v>38</v>
      </c>
      <c r="W311" s="18">
        <v>2</v>
      </c>
      <c r="X311" s="18">
        <v>1</v>
      </c>
      <c r="Y311" s="18">
        <v>1</v>
      </c>
      <c r="Z311" s="18" t="s">
        <v>223</v>
      </c>
      <c r="AA311" s="18">
        <v>1.3355999999999999</v>
      </c>
      <c r="AB311" s="18" t="s">
        <v>34</v>
      </c>
      <c r="AC311" s="18" t="s">
        <v>40</v>
      </c>
      <c r="AD311" s="18" t="s">
        <v>32</v>
      </c>
      <c r="AE311" s="18">
        <v>0.71009999999999995</v>
      </c>
      <c r="AF311" s="18" t="s">
        <v>224</v>
      </c>
      <c r="AG311" s="18">
        <v>2015</v>
      </c>
      <c r="AH311" s="18" t="s">
        <v>225</v>
      </c>
      <c r="AI311" s="61">
        <v>35</v>
      </c>
      <c r="AJ311" s="15">
        <v>70</v>
      </c>
      <c r="AK311" s="15" t="s">
        <v>34</v>
      </c>
    </row>
    <row r="312" spans="1:37" x14ac:dyDescent="0.3">
      <c r="A312" s="12">
        <v>0.7</v>
      </c>
      <c r="B312" s="12">
        <v>902</v>
      </c>
      <c r="C312" s="13" t="s">
        <v>33</v>
      </c>
      <c r="D312" s="13" t="s">
        <v>226</v>
      </c>
      <c r="E312" s="13" t="s">
        <v>170</v>
      </c>
      <c r="F312" s="13" t="s">
        <v>34</v>
      </c>
      <c r="G312" s="13">
        <v>0.72</v>
      </c>
      <c r="H312" s="13" t="s">
        <v>34</v>
      </c>
      <c r="I312" s="13" t="s">
        <v>34</v>
      </c>
      <c r="J312" s="13" t="s">
        <v>34</v>
      </c>
      <c r="K312" s="13" t="s">
        <v>34</v>
      </c>
      <c r="L312" s="13" t="s">
        <v>34</v>
      </c>
      <c r="M312" s="13">
        <v>82</v>
      </c>
      <c r="N312" s="13" t="s">
        <v>34</v>
      </c>
      <c r="O312" s="13">
        <v>0.73</v>
      </c>
      <c r="P312" s="13">
        <v>0.48</v>
      </c>
      <c r="Q312" s="13">
        <v>20.78</v>
      </c>
      <c r="R312" s="13" t="s">
        <v>34</v>
      </c>
      <c r="S312" s="13" t="s">
        <v>34</v>
      </c>
      <c r="T312" s="13" t="s">
        <v>49</v>
      </c>
      <c r="U312" s="13" t="s">
        <v>50</v>
      </c>
      <c r="V312" s="13" t="s">
        <v>162</v>
      </c>
      <c r="W312" s="13" t="s">
        <v>34</v>
      </c>
      <c r="X312" s="13">
        <v>1</v>
      </c>
      <c r="Y312" s="13">
        <v>1.5</v>
      </c>
      <c r="Z312" s="13" t="s">
        <v>204</v>
      </c>
      <c r="AA312" s="13" t="s">
        <v>34</v>
      </c>
      <c r="AB312" s="13" t="s">
        <v>34</v>
      </c>
      <c r="AC312" s="13" t="s">
        <v>40</v>
      </c>
      <c r="AD312" s="13" t="s">
        <v>32</v>
      </c>
      <c r="AE312" s="13">
        <v>0.86</v>
      </c>
      <c r="AF312" s="13" t="s">
        <v>228</v>
      </c>
      <c r="AG312" s="13">
        <v>2018</v>
      </c>
      <c r="AH312" s="13" t="s">
        <v>229</v>
      </c>
      <c r="AI312" s="60">
        <v>51</v>
      </c>
      <c r="AJ312" s="59">
        <v>2</v>
      </c>
      <c r="AK312" s="59">
        <v>1.2450000000000001</v>
      </c>
    </row>
    <row r="313" spans="1:37" x14ac:dyDescent="0.3">
      <c r="A313" s="11">
        <v>0.7</v>
      </c>
      <c r="B313" s="11">
        <v>627</v>
      </c>
      <c r="C313" s="13" t="s">
        <v>33</v>
      </c>
      <c r="D313" s="13" t="s">
        <v>226</v>
      </c>
      <c r="E313" s="13" t="s">
        <v>170</v>
      </c>
      <c r="F313" s="13" t="s">
        <v>34</v>
      </c>
      <c r="G313" s="10">
        <v>0.72</v>
      </c>
      <c r="H313" s="13" t="s">
        <v>34</v>
      </c>
      <c r="I313" s="13" t="s">
        <v>34</v>
      </c>
      <c r="J313" s="13" t="s">
        <v>34</v>
      </c>
      <c r="K313" s="13" t="s">
        <v>34</v>
      </c>
      <c r="L313" s="13" t="s">
        <v>34</v>
      </c>
      <c r="M313" s="10">
        <v>81</v>
      </c>
      <c r="N313" s="13" t="s">
        <v>34</v>
      </c>
      <c r="O313" s="13">
        <v>0.73</v>
      </c>
      <c r="P313" s="13">
        <v>0.48</v>
      </c>
      <c r="Q313" s="13">
        <v>20.78</v>
      </c>
      <c r="R313" s="13" t="s">
        <v>34</v>
      </c>
      <c r="S313" s="13" t="s">
        <v>34</v>
      </c>
      <c r="T313" s="13" t="s">
        <v>49</v>
      </c>
      <c r="U313" s="13" t="s">
        <v>50</v>
      </c>
      <c r="V313" s="13" t="s">
        <v>162</v>
      </c>
      <c r="W313" s="13" t="s">
        <v>34</v>
      </c>
      <c r="X313" s="13">
        <v>1</v>
      </c>
      <c r="Y313" s="13">
        <v>1.5</v>
      </c>
      <c r="Z313" s="13" t="s">
        <v>204</v>
      </c>
      <c r="AA313" s="13" t="s">
        <v>34</v>
      </c>
      <c r="AB313" s="13" t="s">
        <v>34</v>
      </c>
      <c r="AC313" s="13" t="s">
        <v>40</v>
      </c>
      <c r="AD313" s="13" t="s">
        <v>32</v>
      </c>
      <c r="AE313" s="13">
        <v>0.86</v>
      </c>
      <c r="AF313" s="13" t="s">
        <v>228</v>
      </c>
      <c r="AG313" s="13">
        <v>2018</v>
      </c>
      <c r="AH313" s="13" t="s">
        <v>229</v>
      </c>
      <c r="AI313" s="60">
        <v>51</v>
      </c>
      <c r="AJ313" s="59">
        <v>2</v>
      </c>
      <c r="AK313" s="59">
        <v>1.2450000000000001</v>
      </c>
    </row>
    <row r="314" spans="1:37" x14ac:dyDescent="0.3">
      <c r="A314" s="11">
        <v>1.4</v>
      </c>
      <c r="B314" s="11">
        <v>221</v>
      </c>
      <c r="C314" s="13" t="s">
        <v>33</v>
      </c>
      <c r="D314" s="13" t="s">
        <v>227</v>
      </c>
      <c r="E314" s="13" t="s">
        <v>170</v>
      </c>
      <c r="F314" s="13" t="s">
        <v>34</v>
      </c>
      <c r="G314" s="10">
        <v>0.18</v>
      </c>
      <c r="H314" s="13" t="s">
        <v>34</v>
      </c>
      <c r="I314" s="13" t="s">
        <v>34</v>
      </c>
      <c r="J314" s="13" t="s">
        <v>34</v>
      </c>
      <c r="K314" s="13" t="s">
        <v>34</v>
      </c>
      <c r="L314" s="13" t="s">
        <v>34</v>
      </c>
      <c r="M314" s="10">
        <v>76</v>
      </c>
      <c r="N314" s="13" t="s">
        <v>34</v>
      </c>
      <c r="O314" s="10">
        <v>0.68</v>
      </c>
      <c r="P314" s="10">
        <v>0.44</v>
      </c>
      <c r="Q314" s="10">
        <v>18.68</v>
      </c>
      <c r="R314" s="13" t="s">
        <v>34</v>
      </c>
      <c r="S314" s="13" t="s">
        <v>34</v>
      </c>
      <c r="T314" s="13" t="s">
        <v>49</v>
      </c>
      <c r="U314" s="13" t="s">
        <v>50</v>
      </c>
      <c r="V314" s="13" t="s">
        <v>162</v>
      </c>
      <c r="W314" s="13" t="s">
        <v>34</v>
      </c>
      <c r="X314" s="13">
        <v>1</v>
      </c>
      <c r="Y314" s="13">
        <v>1.5</v>
      </c>
      <c r="Z314" s="13" t="s">
        <v>204</v>
      </c>
      <c r="AA314" s="13" t="s">
        <v>34</v>
      </c>
      <c r="AB314" s="13" t="s">
        <v>34</v>
      </c>
      <c r="AC314" s="13" t="s">
        <v>40</v>
      </c>
      <c r="AD314" s="13" t="s">
        <v>32</v>
      </c>
      <c r="AE314" s="13">
        <v>0.86</v>
      </c>
      <c r="AF314" s="13" t="s">
        <v>228</v>
      </c>
      <c r="AG314" s="13">
        <v>2018</v>
      </c>
      <c r="AH314" s="13" t="s">
        <v>229</v>
      </c>
      <c r="AI314" s="60">
        <v>51</v>
      </c>
      <c r="AJ314" s="59">
        <v>2</v>
      </c>
      <c r="AK314" s="59">
        <v>1.2450000000000001</v>
      </c>
    </row>
    <row r="315" spans="1:37" s="15" customFormat="1" ht="16.2" thickBot="1" x14ac:dyDescent="0.35">
      <c r="A315" s="17">
        <v>1</v>
      </c>
      <c r="B315" s="17">
        <v>386</v>
      </c>
      <c r="C315" s="18" t="s">
        <v>33</v>
      </c>
      <c r="D315" s="18" t="s">
        <v>227</v>
      </c>
      <c r="E315" s="18" t="s">
        <v>170</v>
      </c>
      <c r="F315" s="18" t="s">
        <v>34</v>
      </c>
      <c r="G315" s="14">
        <v>0.18</v>
      </c>
      <c r="H315" s="18" t="s">
        <v>34</v>
      </c>
      <c r="I315" s="18" t="s">
        <v>34</v>
      </c>
      <c r="J315" s="18" t="s">
        <v>34</v>
      </c>
      <c r="K315" s="18" t="s">
        <v>34</v>
      </c>
      <c r="L315" s="18" t="s">
        <v>34</v>
      </c>
      <c r="M315" s="14">
        <v>78</v>
      </c>
      <c r="N315" s="18" t="s">
        <v>34</v>
      </c>
      <c r="O315" s="14">
        <v>0.68</v>
      </c>
      <c r="P315" s="14">
        <v>0.44</v>
      </c>
      <c r="Q315" s="14">
        <v>18.68</v>
      </c>
      <c r="R315" s="18" t="s">
        <v>34</v>
      </c>
      <c r="S315" s="18" t="s">
        <v>34</v>
      </c>
      <c r="T315" s="18" t="s">
        <v>49</v>
      </c>
      <c r="U315" s="18" t="s">
        <v>50</v>
      </c>
      <c r="V315" s="18" t="s">
        <v>162</v>
      </c>
      <c r="W315" s="18" t="s">
        <v>34</v>
      </c>
      <c r="X315" s="18">
        <v>1</v>
      </c>
      <c r="Y315" s="18">
        <v>1.5</v>
      </c>
      <c r="Z315" s="18" t="s">
        <v>204</v>
      </c>
      <c r="AA315" s="18" t="s">
        <v>34</v>
      </c>
      <c r="AB315" s="18" t="s">
        <v>34</v>
      </c>
      <c r="AC315" s="18" t="s">
        <v>40</v>
      </c>
      <c r="AD315" s="18" t="s">
        <v>32</v>
      </c>
      <c r="AE315" s="18">
        <v>0.86</v>
      </c>
      <c r="AF315" s="18" t="s">
        <v>228</v>
      </c>
      <c r="AG315" s="18">
        <v>2018</v>
      </c>
      <c r="AH315" s="18" t="s">
        <v>229</v>
      </c>
      <c r="AI315" s="62">
        <v>51</v>
      </c>
      <c r="AJ315" s="34">
        <v>2</v>
      </c>
      <c r="AK315" s="34">
        <v>1.2450000000000001</v>
      </c>
    </row>
    <row r="316" spans="1:37" x14ac:dyDescent="0.3">
      <c r="A316" s="12">
        <v>1.63</v>
      </c>
      <c r="B316" s="12">
        <v>133</v>
      </c>
      <c r="C316" s="13" t="s">
        <v>33</v>
      </c>
      <c r="D316" s="13" t="s">
        <v>226</v>
      </c>
      <c r="E316" s="13" t="s">
        <v>170</v>
      </c>
      <c r="F316" s="13" t="s">
        <v>34</v>
      </c>
      <c r="G316" s="13">
        <v>0.6</v>
      </c>
      <c r="H316" s="13" t="s">
        <v>34</v>
      </c>
      <c r="I316" s="13" t="s">
        <v>34</v>
      </c>
      <c r="J316" s="13">
        <v>1.2</v>
      </c>
      <c r="K316" s="13" t="s">
        <v>34</v>
      </c>
      <c r="L316" s="13">
        <v>0</v>
      </c>
      <c r="M316" s="13">
        <v>76</v>
      </c>
      <c r="N316" s="13">
        <v>1699.64</v>
      </c>
      <c r="O316" s="13">
        <v>0.74199999999999999</v>
      </c>
      <c r="P316" s="13">
        <v>0.502</v>
      </c>
      <c r="Q316" s="13">
        <v>0</v>
      </c>
      <c r="R316" s="13">
        <v>2.65</v>
      </c>
      <c r="S316" s="13" t="s">
        <v>34</v>
      </c>
      <c r="T316" s="13" t="s">
        <v>49</v>
      </c>
      <c r="U316" s="13" t="s">
        <v>50</v>
      </c>
      <c r="V316" s="13" t="s">
        <v>207</v>
      </c>
      <c r="W316" s="13" t="s">
        <v>34</v>
      </c>
      <c r="X316" s="13">
        <v>1</v>
      </c>
      <c r="Y316" s="13">
        <v>1.5</v>
      </c>
      <c r="Z316" s="13" t="s">
        <v>204</v>
      </c>
      <c r="AA316" s="12">
        <v>0.315</v>
      </c>
      <c r="AB316" s="13" t="s">
        <v>34</v>
      </c>
      <c r="AC316" s="13" t="s">
        <v>40</v>
      </c>
      <c r="AD316" s="13" t="s">
        <v>32</v>
      </c>
      <c r="AE316" s="13">
        <v>7.8100000000000003E-2</v>
      </c>
      <c r="AF316" s="13" t="s">
        <v>238</v>
      </c>
      <c r="AG316" s="13">
        <v>2019</v>
      </c>
      <c r="AH316" s="13" t="s">
        <v>239</v>
      </c>
      <c r="AI316" s="13">
        <v>51</v>
      </c>
      <c r="AJ316" s="13">
        <v>2</v>
      </c>
      <c r="AK316" s="13">
        <v>1.2450000000000001</v>
      </c>
    </row>
    <row r="317" spans="1:37" x14ac:dyDescent="0.3">
      <c r="A317" s="11">
        <v>0.98</v>
      </c>
      <c r="B317" s="11">
        <v>158</v>
      </c>
      <c r="C317" s="13" t="s">
        <v>33</v>
      </c>
      <c r="D317" s="13" t="s">
        <v>226</v>
      </c>
      <c r="E317" s="13" t="s">
        <v>170</v>
      </c>
      <c r="F317" s="13" t="s">
        <v>34</v>
      </c>
      <c r="G317" s="13">
        <v>0.6</v>
      </c>
      <c r="H317" s="13" t="s">
        <v>34</v>
      </c>
      <c r="I317" s="13" t="s">
        <v>34</v>
      </c>
      <c r="J317" s="13">
        <v>1.2</v>
      </c>
      <c r="K317" s="13" t="s">
        <v>34</v>
      </c>
      <c r="L317" s="13">
        <v>0</v>
      </c>
      <c r="M317" s="13">
        <v>76</v>
      </c>
      <c r="N317" s="13">
        <v>1699.64</v>
      </c>
      <c r="O317" s="13">
        <v>0.74199999999999999</v>
      </c>
      <c r="P317" s="13">
        <v>0.502</v>
      </c>
      <c r="Q317" s="13">
        <v>0</v>
      </c>
      <c r="R317" s="13">
        <v>2.65</v>
      </c>
      <c r="S317" s="13" t="s">
        <v>34</v>
      </c>
      <c r="T317" s="13" t="s">
        <v>49</v>
      </c>
      <c r="U317" s="13" t="s">
        <v>50</v>
      </c>
      <c r="V317" s="13" t="s">
        <v>207</v>
      </c>
      <c r="W317" s="13" t="s">
        <v>34</v>
      </c>
      <c r="X317" s="10">
        <v>1</v>
      </c>
      <c r="Y317" s="10">
        <v>1.5</v>
      </c>
      <c r="Z317" s="13" t="s">
        <v>204</v>
      </c>
      <c r="AA317" s="11">
        <v>0.315</v>
      </c>
      <c r="AB317" s="13" t="s">
        <v>34</v>
      </c>
      <c r="AC317" s="13" t="s">
        <v>40</v>
      </c>
      <c r="AD317" s="13" t="s">
        <v>32</v>
      </c>
      <c r="AE317" s="13">
        <v>7.8100000000000003E-2</v>
      </c>
      <c r="AF317" s="13" t="s">
        <v>238</v>
      </c>
      <c r="AG317" s="13">
        <v>2019</v>
      </c>
      <c r="AH317" s="13" t="s">
        <v>239</v>
      </c>
      <c r="AI317" s="10">
        <v>51</v>
      </c>
      <c r="AJ317" s="10">
        <v>2</v>
      </c>
      <c r="AK317" s="10">
        <v>1.2450000000000001</v>
      </c>
    </row>
    <row r="318" spans="1:37" x14ac:dyDescent="0.3">
      <c r="A318" s="11">
        <v>0.99</v>
      </c>
      <c r="B318" s="11">
        <v>124</v>
      </c>
      <c r="C318" s="13" t="s">
        <v>33</v>
      </c>
      <c r="D318" s="13" t="s">
        <v>226</v>
      </c>
      <c r="E318" s="13" t="s">
        <v>170</v>
      </c>
      <c r="F318" s="13" t="s">
        <v>34</v>
      </c>
      <c r="G318" s="13">
        <v>0.6</v>
      </c>
      <c r="H318" s="13" t="s">
        <v>34</v>
      </c>
      <c r="I318" s="13" t="s">
        <v>34</v>
      </c>
      <c r="J318" s="13">
        <v>1.2</v>
      </c>
      <c r="K318" s="13" t="s">
        <v>34</v>
      </c>
      <c r="L318" s="13">
        <v>0</v>
      </c>
      <c r="M318" s="13">
        <v>76</v>
      </c>
      <c r="N318" s="13">
        <v>1699.64</v>
      </c>
      <c r="O318" s="13">
        <v>0.74199999999999999</v>
      </c>
      <c r="P318" s="13">
        <v>0.502</v>
      </c>
      <c r="Q318" s="13">
        <v>0</v>
      </c>
      <c r="R318" s="13">
        <v>2.65</v>
      </c>
      <c r="S318" s="13" t="s">
        <v>34</v>
      </c>
      <c r="T318" s="13" t="s">
        <v>49</v>
      </c>
      <c r="U318" s="13" t="s">
        <v>50</v>
      </c>
      <c r="V318" s="13" t="s">
        <v>207</v>
      </c>
      <c r="W318" s="13" t="s">
        <v>34</v>
      </c>
      <c r="X318" s="10">
        <v>1</v>
      </c>
      <c r="Y318" s="10">
        <v>1.5</v>
      </c>
      <c r="Z318" s="13" t="s">
        <v>204</v>
      </c>
      <c r="AA318" s="11">
        <v>0.315</v>
      </c>
      <c r="AB318" s="13" t="s">
        <v>34</v>
      </c>
      <c r="AC318" s="13" t="s">
        <v>40</v>
      </c>
      <c r="AD318" s="13" t="s">
        <v>32</v>
      </c>
      <c r="AE318" s="13">
        <v>7.8100000000000003E-2</v>
      </c>
      <c r="AF318" s="13" t="s">
        <v>238</v>
      </c>
      <c r="AG318" s="13">
        <v>2019</v>
      </c>
      <c r="AH318" s="13" t="s">
        <v>239</v>
      </c>
      <c r="AI318" s="10">
        <v>51</v>
      </c>
      <c r="AJ318" s="10">
        <v>2</v>
      </c>
      <c r="AK318" s="10">
        <v>1.2450000000000001</v>
      </c>
    </row>
    <row r="319" spans="1:37" x14ac:dyDescent="0.3">
      <c r="A319" s="11">
        <v>0.82</v>
      </c>
      <c r="B319" s="11">
        <v>1817</v>
      </c>
      <c r="C319" s="13" t="s">
        <v>33</v>
      </c>
      <c r="D319" s="13" t="s">
        <v>226</v>
      </c>
      <c r="E319" s="13" t="s">
        <v>170</v>
      </c>
      <c r="F319" s="13" t="s">
        <v>34</v>
      </c>
      <c r="G319" s="13">
        <v>0.6</v>
      </c>
      <c r="H319" s="13" t="s">
        <v>34</v>
      </c>
      <c r="I319" s="13" t="s">
        <v>34</v>
      </c>
      <c r="J319" s="13">
        <v>1.2</v>
      </c>
      <c r="K319" s="13" t="s">
        <v>34</v>
      </c>
      <c r="L319" s="13">
        <v>0</v>
      </c>
      <c r="M319" s="13">
        <v>76</v>
      </c>
      <c r="N319" s="13">
        <v>1699.64</v>
      </c>
      <c r="O319" s="13">
        <v>0.74199999999999999</v>
      </c>
      <c r="P319" s="13">
        <v>0.502</v>
      </c>
      <c r="Q319" s="13">
        <v>0</v>
      </c>
      <c r="R319" s="13">
        <v>2.65</v>
      </c>
      <c r="S319" s="13" t="s">
        <v>34</v>
      </c>
      <c r="T319" s="13" t="s">
        <v>49</v>
      </c>
      <c r="U319" s="13" t="s">
        <v>50</v>
      </c>
      <c r="V319" s="13" t="s">
        <v>207</v>
      </c>
      <c r="W319" s="13" t="s">
        <v>34</v>
      </c>
      <c r="X319" s="10">
        <v>1</v>
      </c>
      <c r="Y319" s="10">
        <v>1.5</v>
      </c>
      <c r="Z319" s="13" t="s">
        <v>204</v>
      </c>
      <c r="AA319" s="11">
        <v>0.315</v>
      </c>
      <c r="AB319" s="13" t="s">
        <v>34</v>
      </c>
      <c r="AC319" s="10" t="s">
        <v>203</v>
      </c>
      <c r="AD319" s="13" t="s">
        <v>32</v>
      </c>
      <c r="AE319" s="10">
        <v>0.71450000000000002</v>
      </c>
      <c r="AF319" s="13" t="s">
        <v>238</v>
      </c>
      <c r="AG319" s="13">
        <v>2019</v>
      </c>
      <c r="AH319" s="13" t="s">
        <v>239</v>
      </c>
      <c r="AI319" s="10">
        <v>51</v>
      </c>
      <c r="AJ319" s="10">
        <v>2</v>
      </c>
      <c r="AK319" s="10">
        <v>1.2450000000000001</v>
      </c>
    </row>
    <row r="320" spans="1:37" x14ac:dyDescent="0.3">
      <c r="A320" s="11">
        <v>0.79</v>
      </c>
      <c r="B320" s="11">
        <v>1654</v>
      </c>
      <c r="C320" s="13" t="s">
        <v>33</v>
      </c>
      <c r="D320" s="13" t="s">
        <v>226</v>
      </c>
      <c r="E320" s="13" t="s">
        <v>170</v>
      </c>
      <c r="F320" s="13" t="s">
        <v>34</v>
      </c>
      <c r="G320" s="13">
        <v>0.6</v>
      </c>
      <c r="H320" s="13" t="s">
        <v>34</v>
      </c>
      <c r="I320" s="13" t="s">
        <v>34</v>
      </c>
      <c r="J320" s="13">
        <v>1.2</v>
      </c>
      <c r="K320" s="13" t="s">
        <v>34</v>
      </c>
      <c r="L320" s="13">
        <v>0</v>
      </c>
      <c r="M320" s="13">
        <v>76</v>
      </c>
      <c r="N320" s="13">
        <v>1699.64</v>
      </c>
      <c r="O320" s="13">
        <v>0.74199999999999999</v>
      </c>
      <c r="P320" s="13">
        <v>0.502</v>
      </c>
      <c r="Q320" s="13">
        <v>0</v>
      </c>
      <c r="R320" s="13">
        <v>2.65</v>
      </c>
      <c r="S320" s="13" t="s">
        <v>34</v>
      </c>
      <c r="T320" s="13" t="s">
        <v>49</v>
      </c>
      <c r="U320" s="13" t="s">
        <v>50</v>
      </c>
      <c r="V320" s="13" t="s">
        <v>207</v>
      </c>
      <c r="W320" s="13" t="s">
        <v>34</v>
      </c>
      <c r="X320" s="10">
        <v>1</v>
      </c>
      <c r="Y320" s="10">
        <v>1.5</v>
      </c>
      <c r="Z320" s="13" t="s">
        <v>204</v>
      </c>
      <c r="AA320" s="11">
        <v>0.315</v>
      </c>
      <c r="AB320" s="13" t="s">
        <v>34</v>
      </c>
      <c r="AC320" s="10" t="s">
        <v>203</v>
      </c>
      <c r="AD320" s="13" t="s">
        <v>32</v>
      </c>
      <c r="AE320" s="10">
        <v>0.71450000000000002</v>
      </c>
      <c r="AF320" s="13" t="s">
        <v>238</v>
      </c>
      <c r="AG320" s="13">
        <v>2019</v>
      </c>
      <c r="AH320" s="13" t="s">
        <v>239</v>
      </c>
      <c r="AI320" s="10">
        <v>51</v>
      </c>
      <c r="AJ320" s="10">
        <v>2</v>
      </c>
      <c r="AK320" s="10">
        <v>1.2450000000000001</v>
      </c>
    </row>
    <row r="321" spans="1:37" x14ac:dyDescent="0.3">
      <c r="A321" s="11">
        <v>1.17</v>
      </c>
      <c r="B321" s="11">
        <v>1763</v>
      </c>
      <c r="C321" s="13" t="s">
        <v>33</v>
      </c>
      <c r="D321" s="13" t="s">
        <v>226</v>
      </c>
      <c r="E321" s="13" t="s">
        <v>170</v>
      </c>
      <c r="F321" s="13" t="s">
        <v>34</v>
      </c>
      <c r="G321" s="13">
        <v>0.6</v>
      </c>
      <c r="H321" s="13" t="s">
        <v>34</v>
      </c>
      <c r="I321" s="13" t="s">
        <v>34</v>
      </c>
      <c r="J321" s="13">
        <v>1.2</v>
      </c>
      <c r="K321" s="13" t="s">
        <v>34</v>
      </c>
      <c r="L321" s="13">
        <v>0</v>
      </c>
      <c r="M321" s="13">
        <v>76</v>
      </c>
      <c r="N321" s="13">
        <v>1699.64</v>
      </c>
      <c r="O321" s="13">
        <v>0.74199999999999999</v>
      </c>
      <c r="P321" s="13">
        <v>0.502</v>
      </c>
      <c r="Q321" s="13">
        <v>0</v>
      </c>
      <c r="R321" s="13">
        <v>2.65</v>
      </c>
      <c r="S321" s="13" t="s">
        <v>34</v>
      </c>
      <c r="T321" s="13" t="s">
        <v>49</v>
      </c>
      <c r="U321" s="13" t="s">
        <v>50</v>
      </c>
      <c r="V321" s="13" t="s">
        <v>207</v>
      </c>
      <c r="W321" s="13" t="s">
        <v>34</v>
      </c>
      <c r="X321" s="10">
        <v>1</v>
      </c>
      <c r="Y321" s="10">
        <v>1.5</v>
      </c>
      <c r="Z321" s="13" t="s">
        <v>204</v>
      </c>
      <c r="AA321" s="11">
        <v>0.315</v>
      </c>
      <c r="AB321" s="13" t="s">
        <v>34</v>
      </c>
      <c r="AC321" s="10" t="s">
        <v>203</v>
      </c>
      <c r="AD321" s="13" t="s">
        <v>32</v>
      </c>
      <c r="AE321" s="10">
        <v>0.71450000000000002</v>
      </c>
      <c r="AF321" s="13" t="s">
        <v>238</v>
      </c>
      <c r="AG321" s="13">
        <v>2019</v>
      </c>
      <c r="AH321" s="13" t="s">
        <v>239</v>
      </c>
      <c r="AI321" s="10">
        <v>51</v>
      </c>
      <c r="AJ321" s="10">
        <v>2</v>
      </c>
      <c r="AK321" s="10">
        <v>1.2450000000000001</v>
      </c>
    </row>
    <row r="322" spans="1:37" x14ac:dyDescent="0.3">
      <c r="A322" s="11">
        <v>0.56999999999999995</v>
      </c>
      <c r="B322" s="11">
        <v>1000</v>
      </c>
      <c r="C322" s="13" t="s">
        <v>33</v>
      </c>
      <c r="D322" s="13" t="s">
        <v>226</v>
      </c>
      <c r="E322" s="13" t="s">
        <v>170</v>
      </c>
      <c r="F322" s="13" t="s">
        <v>34</v>
      </c>
      <c r="G322" s="13">
        <v>0.6</v>
      </c>
      <c r="H322" s="13" t="s">
        <v>34</v>
      </c>
      <c r="I322" s="13" t="s">
        <v>34</v>
      </c>
      <c r="J322" s="13">
        <v>1.2</v>
      </c>
      <c r="K322" s="13" t="s">
        <v>34</v>
      </c>
      <c r="L322" s="13">
        <v>0</v>
      </c>
      <c r="M322" s="13">
        <v>76</v>
      </c>
      <c r="N322" s="13">
        <v>1699.64</v>
      </c>
      <c r="O322" s="13">
        <v>0.74199999999999999</v>
      </c>
      <c r="P322" s="13">
        <v>0.502</v>
      </c>
      <c r="Q322" s="13">
        <v>0</v>
      </c>
      <c r="R322" s="13">
        <v>2.65</v>
      </c>
      <c r="S322" s="13" t="s">
        <v>34</v>
      </c>
      <c r="T322" s="13" t="s">
        <v>49</v>
      </c>
      <c r="U322" s="13" t="s">
        <v>50</v>
      </c>
      <c r="V322" s="13" t="s">
        <v>207</v>
      </c>
      <c r="W322" s="13" t="s">
        <v>34</v>
      </c>
      <c r="X322" s="10">
        <v>0.37</v>
      </c>
      <c r="Y322" s="10">
        <v>1.48</v>
      </c>
      <c r="Z322" s="13" t="s">
        <v>204</v>
      </c>
      <c r="AA322" s="11">
        <v>8.9249999999999996E-2</v>
      </c>
      <c r="AB322" s="13" t="s">
        <v>34</v>
      </c>
      <c r="AC322" s="10" t="s">
        <v>203</v>
      </c>
      <c r="AD322" s="13" t="s">
        <v>32</v>
      </c>
      <c r="AE322" s="10">
        <v>0.71450000000000002</v>
      </c>
      <c r="AF322" s="13" t="s">
        <v>238</v>
      </c>
      <c r="AG322" s="13">
        <v>2019</v>
      </c>
      <c r="AH322" s="13" t="s">
        <v>239</v>
      </c>
      <c r="AI322" s="10">
        <v>51</v>
      </c>
      <c r="AJ322" s="10">
        <v>2</v>
      </c>
      <c r="AK322" s="10">
        <v>1.2450000000000001</v>
      </c>
    </row>
    <row r="323" spans="1:37" x14ac:dyDescent="0.3">
      <c r="A323" s="31">
        <v>0.71</v>
      </c>
      <c r="B323" s="31">
        <v>1396</v>
      </c>
      <c r="C323" s="32" t="s">
        <v>33</v>
      </c>
      <c r="D323" s="13" t="s">
        <v>226</v>
      </c>
      <c r="E323" s="32" t="s">
        <v>170</v>
      </c>
      <c r="F323" s="32" t="s">
        <v>34</v>
      </c>
      <c r="G323" s="32">
        <v>0.6</v>
      </c>
      <c r="H323" s="32" t="s">
        <v>34</v>
      </c>
      <c r="I323" s="32" t="s">
        <v>34</v>
      </c>
      <c r="J323" s="32">
        <v>1.2</v>
      </c>
      <c r="K323" s="32" t="s">
        <v>34</v>
      </c>
      <c r="L323" s="32">
        <v>0</v>
      </c>
      <c r="M323" s="32">
        <v>76</v>
      </c>
      <c r="N323" s="32">
        <v>1699.64</v>
      </c>
      <c r="O323" s="32">
        <v>0.74199999999999999</v>
      </c>
      <c r="P323" s="32">
        <v>0.502</v>
      </c>
      <c r="Q323" s="32">
        <v>0</v>
      </c>
      <c r="R323" s="32">
        <v>2.65</v>
      </c>
      <c r="S323" s="32" t="s">
        <v>34</v>
      </c>
      <c r="T323" s="32" t="s">
        <v>49</v>
      </c>
      <c r="U323" s="32" t="s">
        <v>50</v>
      </c>
      <c r="V323" s="32" t="s">
        <v>207</v>
      </c>
      <c r="W323" s="32" t="s">
        <v>34</v>
      </c>
      <c r="X323" s="33">
        <v>0.37</v>
      </c>
      <c r="Y323" s="33">
        <v>1.48</v>
      </c>
      <c r="Z323" s="13" t="s">
        <v>204</v>
      </c>
      <c r="AA323" s="31">
        <v>8.9249999999999996E-2</v>
      </c>
      <c r="AB323" s="32" t="s">
        <v>34</v>
      </c>
      <c r="AC323" s="33" t="s">
        <v>203</v>
      </c>
      <c r="AD323" s="32" t="s">
        <v>32</v>
      </c>
      <c r="AE323" s="33">
        <v>0.71450000000000002</v>
      </c>
      <c r="AF323" s="32" t="s">
        <v>238</v>
      </c>
      <c r="AG323" s="32">
        <v>2019</v>
      </c>
      <c r="AH323" s="32" t="s">
        <v>239</v>
      </c>
      <c r="AI323" s="10">
        <v>51</v>
      </c>
      <c r="AJ323" s="10">
        <v>2</v>
      </c>
      <c r="AK323" s="10">
        <v>1.2450000000000001</v>
      </c>
    </row>
    <row r="324" spans="1:37" s="34" customFormat="1" ht="16.2" thickBot="1" x14ac:dyDescent="0.35">
      <c r="A324" s="17">
        <v>0.49</v>
      </c>
      <c r="B324" s="17">
        <v>941</v>
      </c>
      <c r="C324" s="14" t="s">
        <v>33</v>
      </c>
      <c r="D324" s="14" t="s">
        <v>226</v>
      </c>
      <c r="E324" s="14" t="s">
        <v>170</v>
      </c>
      <c r="F324" s="14" t="s">
        <v>34</v>
      </c>
      <c r="G324" s="14">
        <v>0.6</v>
      </c>
      <c r="H324" s="14" t="s">
        <v>34</v>
      </c>
      <c r="I324" s="14" t="s">
        <v>34</v>
      </c>
      <c r="J324" s="14">
        <v>1.2</v>
      </c>
      <c r="K324" s="14" t="s">
        <v>34</v>
      </c>
      <c r="L324" s="14">
        <v>0</v>
      </c>
      <c r="M324" s="14">
        <v>76</v>
      </c>
      <c r="N324" s="14">
        <v>1699.64</v>
      </c>
      <c r="O324" s="14">
        <v>0.74199999999999999</v>
      </c>
      <c r="P324" s="14">
        <v>0.502</v>
      </c>
      <c r="Q324" s="14">
        <v>0</v>
      </c>
      <c r="R324" s="14">
        <v>2.65</v>
      </c>
      <c r="S324" s="14" t="s">
        <v>34</v>
      </c>
      <c r="T324" s="14" t="s">
        <v>49</v>
      </c>
      <c r="U324" s="14" t="s">
        <v>50</v>
      </c>
      <c r="V324" s="14" t="s">
        <v>207</v>
      </c>
      <c r="W324" s="14" t="s">
        <v>34</v>
      </c>
      <c r="X324" s="14">
        <v>0.37</v>
      </c>
      <c r="Y324" s="14">
        <v>1.48</v>
      </c>
      <c r="Z324" s="14" t="s">
        <v>204</v>
      </c>
      <c r="AA324" s="17">
        <v>8.9249999999999996E-2</v>
      </c>
      <c r="AB324" s="14" t="s">
        <v>34</v>
      </c>
      <c r="AC324" s="14" t="s">
        <v>203</v>
      </c>
      <c r="AD324" s="14" t="s">
        <v>32</v>
      </c>
      <c r="AE324" s="14">
        <v>0.71450000000000002</v>
      </c>
      <c r="AF324" s="14" t="s">
        <v>238</v>
      </c>
      <c r="AG324" s="14">
        <v>2019</v>
      </c>
      <c r="AH324" s="14" t="s">
        <v>239</v>
      </c>
      <c r="AI324" s="14">
        <v>51</v>
      </c>
      <c r="AJ324" s="14">
        <v>2</v>
      </c>
      <c r="AK324" s="14">
        <v>1.2450000000000001</v>
      </c>
    </row>
    <row r="325" spans="1:37" x14ac:dyDescent="0.3">
      <c r="A325" s="12">
        <v>1.0000000000000001E-5</v>
      </c>
      <c r="B325" s="12">
        <v>320</v>
      </c>
      <c r="C325" s="13" t="s">
        <v>240</v>
      </c>
      <c r="D325" s="13" t="s">
        <v>241</v>
      </c>
      <c r="E325" s="13" t="s">
        <v>34</v>
      </c>
      <c r="F325" s="13">
        <v>0.04</v>
      </c>
      <c r="G325" s="13">
        <v>0.17899999999999999</v>
      </c>
      <c r="H325" s="13">
        <v>0.12</v>
      </c>
      <c r="I325" s="13">
        <v>0.22</v>
      </c>
      <c r="J325" s="13">
        <v>6.06</v>
      </c>
      <c r="K325" s="13">
        <v>1.95</v>
      </c>
      <c r="L325" s="13">
        <v>16.489999999999998</v>
      </c>
      <c r="M325" s="13" t="s">
        <v>34</v>
      </c>
      <c r="N325" s="13">
        <v>1344.54</v>
      </c>
      <c r="O325" s="13" t="s">
        <v>34</v>
      </c>
      <c r="P325" s="13" t="s">
        <v>34</v>
      </c>
      <c r="Q325" s="13">
        <v>0.76</v>
      </c>
      <c r="R325" s="13">
        <v>2.67</v>
      </c>
      <c r="S325" s="13" t="s">
        <v>34</v>
      </c>
      <c r="T325" s="13" t="s">
        <v>49</v>
      </c>
      <c r="U325" s="13" t="s">
        <v>242</v>
      </c>
      <c r="V325" s="32" t="s">
        <v>207</v>
      </c>
      <c r="W325" s="13" t="s">
        <v>34</v>
      </c>
      <c r="X325" s="13">
        <v>0</v>
      </c>
      <c r="Y325" s="13">
        <v>0</v>
      </c>
      <c r="Z325" s="13" t="s">
        <v>242</v>
      </c>
      <c r="AA325" s="13">
        <v>0</v>
      </c>
      <c r="AB325" s="13" t="s">
        <v>34</v>
      </c>
      <c r="AC325" s="13" t="s">
        <v>40</v>
      </c>
      <c r="AD325" s="32" t="s">
        <v>32</v>
      </c>
      <c r="AE325" s="13">
        <v>0.21840000000000001</v>
      </c>
      <c r="AF325" s="13" t="s">
        <v>243</v>
      </c>
      <c r="AG325" s="13">
        <v>2020</v>
      </c>
      <c r="AH325" s="13" t="s">
        <v>244</v>
      </c>
      <c r="AI325" s="2">
        <v>50</v>
      </c>
      <c r="AJ325" s="2">
        <v>2</v>
      </c>
      <c r="AK325" s="2">
        <v>1</v>
      </c>
    </row>
    <row r="326" spans="1:37" x14ac:dyDescent="0.3">
      <c r="A326" s="11">
        <v>1.42</v>
      </c>
      <c r="B326" s="11">
        <v>488</v>
      </c>
      <c r="C326" s="13" t="s">
        <v>240</v>
      </c>
      <c r="D326" s="13" t="s">
        <v>241</v>
      </c>
      <c r="E326" s="13" t="s">
        <v>34</v>
      </c>
      <c r="F326" s="13">
        <v>0.04</v>
      </c>
      <c r="G326" s="13">
        <v>0.17899999999999999</v>
      </c>
      <c r="H326" s="13">
        <v>0.12</v>
      </c>
      <c r="I326" s="13">
        <v>0.22</v>
      </c>
      <c r="J326" s="13">
        <v>6.06</v>
      </c>
      <c r="K326" s="13">
        <v>1.95</v>
      </c>
      <c r="L326" s="13">
        <v>16.489999999999998</v>
      </c>
      <c r="M326" s="13" t="s">
        <v>34</v>
      </c>
      <c r="N326" s="13">
        <v>1344.54</v>
      </c>
      <c r="O326" s="13" t="s">
        <v>34</v>
      </c>
      <c r="P326" s="13" t="s">
        <v>34</v>
      </c>
      <c r="Q326" s="10">
        <v>0.81</v>
      </c>
      <c r="R326" s="13">
        <v>2.67</v>
      </c>
      <c r="S326" s="13" t="s">
        <v>34</v>
      </c>
      <c r="T326" s="13" t="s">
        <v>49</v>
      </c>
      <c r="U326" s="13" t="s">
        <v>242</v>
      </c>
      <c r="V326" s="32" t="s">
        <v>207</v>
      </c>
      <c r="W326" s="13" t="s">
        <v>34</v>
      </c>
      <c r="X326" s="10">
        <v>0.75</v>
      </c>
      <c r="Y326" s="13">
        <v>1</v>
      </c>
      <c r="Z326" s="13" t="s">
        <v>242</v>
      </c>
      <c r="AA326" s="10">
        <v>13.72</v>
      </c>
      <c r="AB326" s="13" t="s">
        <v>34</v>
      </c>
      <c r="AC326" s="13" t="s">
        <v>40</v>
      </c>
      <c r="AD326" s="32" t="s">
        <v>32</v>
      </c>
      <c r="AE326" s="13">
        <v>0.21840000000000001</v>
      </c>
      <c r="AF326" s="13" t="s">
        <v>243</v>
      </c>
      <c r="AG326" s="13">
        <v>2020</v>
      </c>
      <c r="AH326" s="13" t="s">
        <v>244</v>
      </c>
      <c r="AI326" s="60">
        <v>50</v>
      </c>
      <c r="AJ326" s="59">
        <v>2</v>
      </c>
      <c r="AK326" s="59">
        <v>1</v>
      </c>
    </row>
    <row r="327" spans="1:37" x14ac:dyDescent="0.3">
      <c r="A327" s="11">
        <v>1.47</v>
      </c>
      <c r="B327" s="11">
        <v>477</v>
      </c>
      <c r="C327" s="13" t="s">
        <v>240</v>
      </c>
      <c r="D327" s="13" t="s">
        <v>241</v>
      </c>
      <c r="E327" s="13" t="s">
        <v>34</v>
      </c>
      <c r="F327" s="13">
        <v>0.04</v>
      </c>
      <c r="G327" s="13">
        <v>0.17899999999999999</v>
      </c>
      <c r="H327" s="13">
        <v>0.12</v>
      </c>
      <c r="I327" s="13">
        <v>0.22</v>
      </c>
      <c r="J327" s="13">
        <v>6.06</v>
      </c>
      <c r="K327" s="13">
        <v>1.95</v>
      </c>
      <c r="L327" s="13">
        <v>16.489999999999998</v>
      </c>
      <c r="M327" s="13" t="s">
        <v>34</v>
      </c>
      <c r="N327" s="13">
        <v>1344.54</v>
      </c>
      <c r="O327" s="13" t="s">
        <v>34</v>
      </c>
      <c r="P327" s="13" t="s">
        <v>34</v>
      </c>
      <c r="Q327" s="10">
        <v>0.91</v>
      </c>
      <c r="R327" s="13">
        <v>2.67</v>
      </c>
      <c r="S327" s="13" t="s">
        <v>34</v>
      </c>
      <c r="T327" s="13" t="s">
        <v>49</v>
      </c>
      <c r="U327" s="13" t="s">
        <v>242</v>
      </c>
      <c r="V327" s="32" t="s">
        <v>207</v>
      </c>
      <c r="W327" s="13" t="s">
        <v>34</v>
      </c>
      <c r="X327" s="10">
        <v>0.75</v>
      </c>
      <c r="Y327" s="13">
        <v>1</v>
      </c>
      <c r="Z327" s="13" t="s">
        <v>242</v>
      </c>
      <c r="AA327" s="10">
        <v>13.72</v>
      </c>
      <c r="AB327" s="13" t="s">
        <v>34</v>
      </c>
      <c r="AC327" s="13" t="s">
        <v>40</v>
      </c>
      <c r="AD327" s="32" t="s">
        <v>32</v>
      </c>
      <c r="AE327" s="13">
        <v>0.21840000000000001</v>
      </c>
      <c r="AF327" s="13" t="s">
        <v>243</v>
      </c>
      <c r="AG327" s="13">
        <v>2020</v>
      </c>
      <c r="AH327" s="13" t="s">
        <v>244</v>
      </c>
      <c r="AI327" s="57">
        <v>50</v>
      </c>
      <c r="AJ327" s="2">
        <v>2</v>
      </c>
      <c r="AK327" s="2">
        <v>1</v>
      </c>
    </row>
    <row r="328" spans="1:37" x14ac:dyDescent="0.3">
      <c r="A328" s="11">
        <v>1.65</v>
      </c>
      <c r="B328" s="11">
        <v>564</v>
      </c>
      <c r="C328" s="13" t="s">
        <v>240</v>
      </c>
      <c r="D328" s="13" t="s">
        <v>241</v>
      </c>
      <c r="E328" s="13" t="s">
        <v>34</v>
      </c>
      <c r="F328" s="13">
        <v>0.04</v>
      </c>
      <c r="G328" s="13">
        <v>0.17899999999999999</v>
      </c>
      <c r="H328" s="13">
        <v>0.12</v>
      </c>
      <c r="I328" s="13">
        <v>0.22</v>
      </c>
      <c r="J328" s="13">
        <v>6.06</v>
      </c>
      <c r="K328" s="13">
        <v>1.95</v>
      </c>
      <c r="L328" s="13">
        <v>16.489999999999998</v>
      </c>
      <c r="M328" s="13" t="s">
        <v>34</v>
      </c>
      <c r="N328" s="13">
        <v>1344.54</v>
      </c>
      <c r="O328" s="13" t="s">
        <v>34</v>
      </c>
      <c r="P328" s="13" t="s">
        <v>34</v>
      </c>
      <c r="Q328" s="10">
        <v>0.86</v>
      </c>
      <c r="R328" s="13">
        <v>2.67</v>
      </c>
      <c r="S328" s="13" t="s">
        <v>34</v>
      </c>
      <c r="T328" s="13" t="s">
        <v>49</v>
      </c>
      <c r="U328" s="13" t="s">
        <v>242</v>
      </c>
      <c r="V328" s="32" t="s">
        <v>207</v>
      </c>
      <c r="W328" s="13" t="s">
        <v>34</v>
      </c>
      <c r="X328" s="10">
        <v>0.75</v>
      </c>
      <c r="Y328" s="13">
        <v>1</v>
      </c>
      <c r="Z328" s="13" t="s">
        <v>242</v>
      </c>
      <c r="AA328" s="10">
        <v>13.72</v>
      </c>
      <c r="AB328" s="13" t="s">
        <v>34</v>
      </c>
      <c r="AC328" s="13" t="s">
        <v>40</v>
      </c>
      <c r="AD328" s="32" t="s">
        <v>32</v>
      </c>
      <c r="AE328" s="13">
        <v>0.21840000000000001</v>
      </c>
      <c r="AF328" s="13" t="s">
        <v>243</v>
      </c>
      <c r="AG328" s="13">
        <v>2020</v>
      </c>
      <c r="AH328" s="13" t="s">
        <v>244</v>
      </c>
      <c r="AI328" s="57">
        <v>50</v>
      </c>
      <c r="AJ328" s="2">
        <v>2</v>
      </c>
      <c r="AK328" s="2">
        <v>1</v>
      </c>
    </row>
    <row r="329" spans="1:37" x14ac:dyDescent="0.3">
      <c r="A329" s="11">
        <v>1.57</v>
      </c>
      <c r="B329" s="11">
        <v>493</v>
      </c>
      <c r="C329" s="13" t="s">
        <v>240</v>
      </c>
      <c r="D329" s="13" t="s">
        <v>241</v>
      </c>
      <c r="E329" s="13" t="s">
        <v>34</v>
      </c>
      <c r="F329" s="13">
        <v>0.04</v>
      </c>
      <c r="G329" s="13">
        <v>0.17899999999999999</v>
      </c>
      <c r="H329" s="13">
        <v>0.12</v>
      </c>
      <c r="I329" s="13">
        <v>0.22</v>
      </c>
      <c r="J329" s="13">
        <v>6.06</v>
      </c>
      <c r="K329" s="13">
        <v>1.95</v>
      </c>
      <c r="L329" s="13">
        <v>16.489999999999998</v>
      </c>
      <c r="M329" s="13" t="s">
        <v>34</v>
      </c>
      <c r="N329" s="13">
        <v>1344.54</v>
      </c>
      <c r="O329" s="13" t="s">
        <v>34</v>
      </c>
      <c r="P329" s="13" t="s">
        <v>34</v>
      </c>
      <c r="Q329" s="10">
        <v>0.79</v>
      </c>
      <c r="R329" s="13">
        <v>2.67</v>
      </c>
      <c r="S329" s="13" t="s">
        <v>34</v>
      </c>
      <c r="T329" s="13" t="s">
        <v>49</v>
      </c>
      <c r="U329" s="13" t="s">
        <v>242</v>
      </c>
      <c r="V329" s="32" t="s">
        <v>207</v>
      </c>
      <c r="W329" s="13" t="s">
        <v>34</v>
      </c>
      <c r="X329" s="10">
        <v>0.75</v>
      </c>
      <c r="Y329" s="13">
        <v>1</v>
      </c>
      <c r="Z329" s="13" t="s">
        <v>242</v>
      </c>
      <c r="AA329" s="10">
        <v>13.72</v>
      </c>
      <c r="AB329" s="13" t="s">
        <v>34</v>
      </c>
      <c r="AC329" s="13" t="s">
        <v>40</v>
      </c>
      <c r="AD329" s="32" t="s">
        <v>32</v>
      </c>
      <c r="AE329" s="13">
        <v>0.21840000000000001</v>
      </c>
      <c r="AF329" s="13" t="s">
        <v>243</v>
      </c>
      <c r="AG329" s="13">
        <v>2020</v>
      </c>
      <c r="AH329" s="13" t="s">
        <v>244</v>
      </c>
      <c r="AI329" s="57">
        <v>50</v>
      </c>
      <c r="AJ329" s="2">
        <v>2</v>
      </c>
      <c r="AK329" s="2">
        <v>1</v>
      </c>
    </row>
    <row r="330" spans="1:37" x14ac:dyDescent="0.3">
      <c r="A330" s="11">
        <v>2.89</v>
      </c>
      <c r="B330" s="11">
        <v>699</v>
      </c>
      <c r="C330" s="13" t="s">
        <v>240</v>
      </c>
      <c r="D330" s="13" t="s">
        <v>241</v>
      </c>
      <c r="E330" s="13" t="s">
        <v>34</v>
      </c>
      <c r="F330" s="13">
        <v>0.04</v>
      </c>
      <c r="G330" s="13">
        <v>0.17899999999999999</v>
      </c>
      <c r="H330" s="13">
        <v>0.12</v>
      </c>
      <c r="I330" s="13">
        <v>0.22</v>
      </c>
      <c r="J330" s="13">
        <v>6.06</v>
      </c>
      <c r="K330" s="13">
        <v>1.95</v>
      </c>
      <c r="L330" s="13">
        <v>16.489999999999998</v>
      </c>
      <c r="M330" s="13" t="s">
        <v>34</v>
      </c>
      <c r="N330" s="13">
        <v>1344.54</v>
      </c>
      <c r="O330" s="13" t="s">
        <v>34</v>
      </c>
      <c r="P330" s="13" t="s">
        <v>34</v>
      </c>
      <c r="Q330" s="10">
        <v>0.81</v>
      </c>
      <c r="R330" s="13">
        <v>2.67</v>
      </c>
      <c r="S330" s="13" t="s">
        <v>34</v>
      </c>
      <c r="T330" s="13" t="s">
        <v>49</v>
      </c>
      <c r="U330" s="13" t="s">
        <v>242</v>
      </c>
      <c r="V330" s="32" t="s">
        <v>207</v>
      </c>
      <c r="W330" s="13" t="s">
        <v>34</v>
      </c>
      <c r="X330" s="10">
        <v>1.5</v>
      </c>
      <c r="Y330" s="13">
        <v>1</v>
      </c>
      <c r="Z330" s="13" t="s">
        <v>242</v>
      </c>
      <c r="AA330" s="10">
        <v>13.72</v>
      </c>
      <c r="AB330" s="13" t="s">
        <v>34</v>
      </c>
      <c r="AC330" s="13" t="s">
        <v>40</v>
      </c>
      <c r="AD330" s="32" t="s">
        <v>32</v>
      </c>
      <c r="AE330" s="13">
        <v>0.21840000000000001</v>
      </c>
      <c r="AF330" s="13" t="s">
        <v>243</v>
      </c>
      <c r="AG330" s="13">
        <v>2020</v>
      </c>
      <c r="AH330" s="13" t="s">
        <v>244</v>
      </c>
      <c r="AI330" s="57">
        <v>50</v>
      </c>
      <c r="AJ330" s="2">
        <v>2</v>
      </c>
      <c r="AK330" s="2">
        <v>1</v>
      </c>
    </row>
    <row r="331" spans="1:37" x14ac:dyDescent="0.3">
      <c r="A331" s="11">
        <v>3.34</v>
      </c>
      <c r="B331" s="11">
        <v>755</v>
      </c>
      <c r="C331" s="13" t="s">
        <v>240</v>
      </c>
      <c r="D331" s="13" t="s">
        <v>241</v>
      </c>
      <c r="E331" s="13" t="s">
        <v>34</v>
      </c>
      <c r="F331" s="13">
        <v>0.04</v>
      </c>
      <c r="G331" s="13">
        <v>0.17899999999999999</v>
      </c>
      <c r="H331" s="13">
        <v>0.12</v>
      </c>
      <c r="I331" s="13">
        <v>0.22</v>
      </c>
      <c r="J331" s="13">
        <v>6.06</v>
      </c>
      <c r="K331" s="13">
        <v>1.95</v>
      </c>
      <c r="L331" s="13">
        <v>16.489999999999998</v>
      </c>
      <c r="M331" s="13" t="s">
        <v>34</v>
      </c>
      <c r="N331" s="13">
        <v>1344.54</v>
      </c>
      <c r="O331" s="13" t="s">
        <v>34</v>
      </c>
      <c r="P331" s="13" t="s">
        <v>34</v>
      </c>
      <c r="Q331" s="10">
        <v>1</v>
      </c>
      <c r="R331" s="13">
        <v>2.67</v>
      </c>
      <c r="S331" s="13" t="s">
        <v>34</v>
      </c>
      <c r="T331" s="13" t="s">
        <v>49</v>
      </c>
      <c r="U331" s="13" t="s">
        <v>242</v>
      </c>
      <c r="V331" s="32" t="s">
        <v>207</v>
      </c>
      <c r="W331" s="13" t="s">
        <v>34</v>
      </c>
      <c r="X331" s="10">
        <v>1.5</v>
      </c>
      <c r="Y331" s="13">
        <v>1</v>
      </c>
      <c r="Z331" s="13" t="s">
        <v>242</v>
      </c>
      <c r="AA331" s="10">
        <v>13.72</v>
      </c>
      <c r="AB331" s="13" t="s">
        <v>34</v>
      </c>
      <c r="AC331" s="13" t="s">
        <v>40</v>
      </c>
      <c r="AD331" s="32" t="s">
        <v>32</v>
      </c>
      <c r="AE331" s="13">
        <v>0.21840000000000001</v>
      </c>
      <c r="AF331" s="13" t="s">
        <v>243</v>
      </c>
      <c r="AG331" s="13">
        <v>2020</v>
      </c>
      <c r="AH331" s="13" t="s">
        <v>244</v>
      </c>
      <c r="AI331" s="57">
        <v>50</v>
      </c>
      <c r="AJ331" s="2">
        <v>2</v>
      </c>
      <c r="AK331" s="2">
        <v>1</v>
      </c>
    </row>
    <row r="332" spans="1:37" x14ac:dyDescent="0.3">
      <c r="A332" s="11">
        <v>3.31</v>
      </c>
      <c r="B332" s="11">
        <v>826</v>
      </c>
      <c r="C332" s="13" t="s">
        <v>240</v>
      </c>
      <c r="D332" s="13" t="s">
        <v>241</v>
      </c>
      <c r="E332" s="13" t="s">
        <v>34</v>
      </c>
      <c r="F332" s="13">
        <v>0.04</v>
      </c>
      <c r="G332" s="13">
        <v>0.17899999999999999</v>
      </c>
      <c r="H332" s="13">
        <v>0.12</v>
      </c>
      <c r="I332" s="13">
        <v>0.22</v>
      </c>
      <c r="J332" s="13">
        <v>6.06</v>
      </c>
      <c r="K332" s="13">
        <v>1.95</v>
      </c>
      <c r="L332" s="13">
        <v>16.489999999999998</v>
      </c>
      <c r="M332" s="13" t="s">
        <v>34</v>
      </c>
      <c r="N332" s="13">
        <v>1344.54</v>
      </c>
      <c r="O332" s="13" t="s">
        <v>34</v>
      </c>
      <c r="P332" s="13" t="s">
        <v>34</v>
      </c>
      <c r="Q332" s="10">
        <v>0.79</v>
      </c>
      <c r="R332" s="13">
        <v>2.67</v>
      </c>
      <c r="S332" s="13" t="s">
        <v>34</v>
      </c>
      <c r="T332" s="13" t="s">
        <v>49</v>
      </c>
      <c r="U332" s="13" t="s">
        <v>242</v>
      </c>
      <c r="V332" s="32" t="s">
        <v>207</v>
      </c>
      <c r="W332" s="13" t="s">
        <v>34</v>
      </c>
      <c r="X332" s="10">
        <v>1.5</v>
      </c>
      <c r="Y332" s="13">
        <v>1</v>
      </c>
      <c r="Z332" s="13" t="s">
        <v>242</v>
      </c>
      <c r="AA332" s="10">
        <v>13.72</v>
      </c>
      <c r="AB332" s="13" t="s">
        <v>34</v>
      </c>
      <c r="AC332" s="13" t="s">
        <v>40</v>
      </c>
      <c r="AD332" s="32" t="s">
        <v>32</v>
      </c>
      <c r="AE332" s="13">
        <v>0.21840000000000001</v>
      </c>
      <c r="AF332" s="13" t="s">
        <v>243</v>
      </c>
      <c r="AG332" s="13">
        <v>2020</v>
      </c>
      <c r="AH332" s="13" t="s">
        <v>244</v>
      </c>
      <c r="AI332" s="57">
        <v>50</v>
      </c>
      <c r="AJ332" s="2">
        <v>2</v>
      </c>
      <c r="AK332" s="2">
        <v>1</v>
      </c>
    </row>
    <row r="333" spans="1:37" x14ac:dyDescent="0.3">
      <c r="A333" s="11">
        <v>2.89</v>
      </c>
      <c r="B333" s="11">
        <v>666</v>
      </c>
      <c r="C333" s="13" t="s">
        <v>240</v>
      </c>
      <c r="D333" s="13" t="s">
        <v>241</v>
      </c>
      <c r="E333" s="13" t="s">
        <v>34</v>
      </c>
      <c r="F333" s="13">
        <v>0.04</v>
      </c>
      <c r="G333" s="13">
        <v>0.17899999999999999</v>
      </c>
      <c r="H333" s="13">
        <v>0.12</v>
      </c>
      <c r="I333" s="13">
        <v>0.22</v>
      </c>
      <c r="J333" s="13">
        <v>6.06</v>
      </c>
      <c r="K333" s="13">
        <v>1.95</v>
      </c>
      <c r="L333" s="13">
        <v>16.489999999999998</v>
      </c>
      <c r="M333" s="13" t="s">
        <v>34</v>
      </c>
      <c r="N333" s="13">
        <v>1344.54</v>
      </c>
      <c r="O333" s="13" t="s">
        <v>34</v>
      </c>
      <c r="P333" s="13" t="s">
        <v>34</v>
      </c>
      <c r="Q333" s="10">
        <v>0.86</v>
      </c>
      <c r="R333" s="13">
        <v>2.67</v>
      </c>
      <c r="S333" s="13" t="s">
        <v>34</v>
      </c>
      <c r="T333" s="13" t="s">
        <v>49</v>
      </c>
      <c r="U333" s="13" t="s">
        <v>242</v>
      </c>
      <c r="V333" s="32" t="s">
        <v>207</v>
      </c>
      <c r="W333" s="13" t="s">
        <v>34</v>
      </c>
      <c r="X333" s="10">
        <v>1.5</v>
      </c>
      <c r="Y333" s="13">
        <v>1</v>
      </c>
      <c r="Z333" s="13" t="s">
        <v>242</v>
      </c>
      <c r="AA333" s="10">
        <v>13.72</v>
      </c>
      <c r="AB333" s="13" t="s">
        <v>34</v>
      </c>
      <c r="AC333" s="13" t="s">
        <v>40</v>
      </c>
      <c r="AD333" s="32" t="s">
        <v>32</v>
      </c>
      <c r="AE333" s="13">
        <v>0.21840000000000001</v>
      </c>
      <c r="AF333" s="13" t="s">
        <v>243</v>
      </c>
      <c r="AG333" s="13">
        <v>2020</v>
      </c>
      <c r="AH333" s="13" t="s">
        <v>244</v>
      </c>
      <c r="AI333" s="57">
        <v>50</v>
      </c>
      <c r="AJ333" s="2">
        <v>2</v>
      </c>
      <c r="AK333" s="2">
        <v>1</v>
      </c>
    </row>
    <row r="334" spans="1:37" x14ac:dyDescent="0.3">
      <c r="A334" s="11">
        <v>3.02</v>
      </c>
      <c r="B334" s="11">
        <v>699</v>
      </c>
      <c r="C334" s="13" t="s">
        <v>240</v>
      </c>
      <c r="D334" s="13" t="s">
        <v>241</v>
      </c>
      <c r="E334" s="13" t="s">
        <v>34</v>
      </c>
      <c r="F334" s="13">
        <v>0.04</v>
      </c>
      <c r="G334" s="13">
        <v>0.17899999999999999</v>
      </c>
      <c r="H334" s="13">
        <v>0.12</v>
      </c>
      <c r="I334" s="13">
        <v>0.22</v>
      </c>
      <c r="J334" s="13">
        <v>6.06</v>
      </c>
      <c r="K334" s="13">
        <v>1.95</v>
      </c>
      <c r="L334" s="13">
        <v>16.489999999999998</v>
      </c>
      <c r="M334" s="13" t="s">
        <v>34</v>
      </c>
      <c r="N334" s="13">
        <v>1344.54</v>
      </c>
      <c r="O334" s="13" t="s">
        <v>34</v>
      </c>
      <c r="P334" s="13" t="s">
        <v>34</v>
      </c>
      <c r="Q334" s="10">
        <v>1.04</v>
      </c>
      <c r="R334" s="13">
        <v>2.67</v>
      </c>
      <c r="S334" s="13" t="s">
        <v>34</v>
      </c>
      <c r="T334" s="13" t="s">
        <v>49</v>
      </c>
      <c r="U334" s="13" t="s">
        <v>242</v>
      </c>
      <c r="V334" s="32" t="s">
        <v>207</v>
      </c>
      <c r="W334" s="13" t="s">
        <v>34</v>
      </c>
      <c r="X334" s="10">
        <v>1.5</v>
      </c>
      <c r="Y334" s="13">
        <v>1</v>
      </c>
      <c r="Z334" s="13" t="s">
        <v>242</v>
      </c>
      <c r="AA334" s="10">
        <v>27.446999999999999</v>
      </c>
      <c r="AB334" s="13" t="s">
        <v>34</v>
      </c>
      <c r="AC334" s="13" t="s">
        <v>40</v>
      </c>
      <c r="AD334" s="32" t="s">
        <v>32</v>
      </c>
      <c r="AE334" s="13">
        <v>0.21840000000000001</v>
      </c>
      <c r="AF334" s="13" t="s">
        <v>243</v>
      </c>
      <c r="AG334" s="13">
        <v>2020</v>
      </c>
      <c r="AH334" s="13" t="s">
        <v>244</v>
      </c>
      <c r="AI334" s="57">
        <v>50</v>
      </c>
      <c r="AJ334" s="2">
        <v>2</v>
      </c>
      <c r="AK334" s="2">
        <v>1</v>
      </c>
    </row>
    <row r="335" spans="1:37" x14ac:dyDescent="0.3">
      <c r="A335" s="11">
        <v>3.02</v>
      </c>
      <c r="B335" s="11">
        <v>751</v>
      </c>
      <c r="C335" s="13" t="s">
        <v>240</v>
      </c>
      <c r="D335" s="13" t="s">
        <v>241</v>
      </c>
      <c r="E335" s="13" t="s">
        <v>34</v>
      </c>
      <c r="F335" s="13">
        <v>0.04</v>
      </c>
      <c r="G335" s="13">
        <v>0.17899999999999999</v>
      </c>
      <c r="H335" s="13">
        <v>0.12</v>
      </c>
      <c r="I335" s="13">
        <v>0.22</v>
      </c>
      <c r="J335" s="13">
        <v>6.06</v>
      </c>
      <c r="K335" s="13">
        <v>1.95</v>
      </c>
      <c r="L335" s="13">
        <v>16.489999999999998</v>
      </c>
      <c r="M335" s="13" t="s">
        <v>34</v>
      </c>
      <c r="N335" s="13">
        <v>1344.54</v>
      </c>
      <c r="O335" s="13" t="s">
        <v>34</v>
      </c>
      <c r="P335" s="13" t="s">
        <v>34</v>
      </c>
      <c r="Q335" s="10">
        <v>0.88</v>
      </c>
      <c r="R335" s="13">
        <v>2.67</v>
      </c>
      <c r="S335" s="13" t="s">
        <v>34</v>
      </c>
      <c r="T335" s="13" t="s">
        <v>49</v>
      </c>
      <c r="U335" s="13" t="s">
        <v>242</v>
      </c>
      <c r="V335" s="32" t="s">
        <v>207</v>
      </c>
      <c r="W335" s="13" t="s">
        <v>34</v>
      </c>
      <c r="X335" s="10">
        <v>1.5</v>
      </c>
      <c r="Y335" s="13">
        <v>1</v>
      </c>
      <c r="Z335" s="13" t="s">
        <v>242</v>
      </c>
      <c r="AA335" s="10">
        <v>27.446999999999999</v>
      </c>
      <c r="AB335" s="13" t="s">
        <v>34</v>
      </c>
      <c r="AC335" s="13" t="s">
        <v>40</v>
      </c>
      <c r="AD335" s="32" t="s">
        <v>32</v>
      </c>
      <c r="AE335" s="13">
        <v>0.21840000000000001</v>
      </c>
      <c r="AF335" s="13" t="s">
        <v>243</v>
      </c>
      <c r="AG335" s="13">
        <v>2020</v>
      </c>
      <c r="AH335" s="13" t="s">
        <v>244</v>
      </c>
      <c r="AI335" s="57">
        <v>50</v>
      </c>
      <c r="AJ335" s="2">
        <v>2</v>
      </c>
      <c r="AK335" s="2">
        <v>1</v>
      </c>
    </row>
    <row r="336" spans="1:37" x14ac:dyDescent="0.3">
      <c r="A336" s="11">
        <v>2.41</v>
      </c>
      <c r="B336" s="11">
        <v>649</v>
      </c>
      <c r="C336" s="13" t="s">
        <v>240</v>
      </c>
      <c r="D336" s="13" t="s">
        <v>241</v>
      </c>
      <c r="E336" s="13" t="s">
        <v>34</v>
      </c>
      <c r="F336" s="13">
        <v>0.04</v>
      </c>
      <c r="G336" s="13">
        <v>0.17899999999999999</v>
      </c>
      <c r="H336" s="13">
        <v>0.12</v>
      </c>
      <c r="I336" s="13">
        <v>0.22</v>
      </c>
      <c r="J336" s="13">
        <v>6.06</v>
      </c>
      <c r="K336" s="13">
        <v>1.95</v>
      </c>
      <c r="L336" s="13">
        <v>16.489999999999998</v>
      </c>
      <c r="M336" s="13" t="s">
        <v>34</v>
      </c>
      <c r="N336" s="13">
        <v>1344.54</v>
      </c>
      <c r="O336" s="13" t="s">
        <v>34</v>
      </c>
      <c r="P336" s="13" t="s">
        <v>34</v>
      </c>
      <c r="Q336" s="10">
        <v>0.86</v>
      </c>
      <c r="R336" s="13">
        <v>2.67</v>
      </c>
      <c r="S336" s="13" t="s">
        <v>34</v>
      </c>
      <c r="T336" s="13" t="s">
        <v>49</v>
      </c>
      <c r="U336" s="13" t="s">
        <v>242</v>
      </c>
      <c r="V336" s="32" t="s">
        <v>207</v>
      </c>
      <c r="W336" s="13" t="s">
        <v>34</v>
      </c>
      <c r="X336" s="10">
        <v>1.5</v>
      </c>
      <c r="Y336" s="13">
        <v>1</v>
      </c>
      <c r="Z336" s="13" t="s">
        <v>242</v>
      </c>
      <c r="AA336" s="10">
        <v>27.446999999999999</v>
      </c>
      <c r="AB336" s="13" t="s">
        <v>34</v>
      </c>
      <c r="AC336" s="13" t="s">
        <v>40</v>
      </c>
      <c r="AD336" s="32" t="s">
        <v>32</v>
      </c>
      <c r="AE336" s="13">
        <v>0.21840000000000001</v>
      </c>
      <c r="AF336" s="13" t="s">
        <v>243</v>
      </c>
      <c r="AG336" s="13">
        <v>2020</v>
      </c>
      <c r="AH336" s="13" t="s">
        <v>244</v>
      </c>
      <c r="AI336" s="57">
        <v>50</v>
      </c>
      <c r="AJ336" s="2">
        <v>2</v>
      </c>
      <c r="AK336" s="2">
        <v>1</v>
      </c>
    </row>
    <row r="337" spans="1:37" x14ac:dyDescent="0.3">
      <c r="A337" s="11">
        <v>2.7</v>
      </c>
      <c r="B337" s="11">
        <v>748</v>
      </c>
      <c r="C337" s="13" t="s">
        <v>240</v>
      </c>
      <c r="D337" s="13" t="s">
        <v>241</v>
      </c>
      <c r="E337" s="13" t="s">
        <v>34</v>
      </c>
      <c r="F337" s="13">
        <v>0.04</v>
      </c>
      <c r="G337" s="13">
        <v>0.17899999999999999</v>
      </c>
      <c r="H337" s="13">
        <v>0.12</v>
      </c>
      <c r="I337" s="13">
        <v>0.22</v>
      </c>
      <c r="J337" s="13">
        <v>6.06</v>
      </c>
      <c r="K337" s="13">
        <v>1.95</v>
      </c>
      <c r="L337" s="13">
        <v>16.489999999999998</v>
      </c>
      <c r="M337" s="13" t="s">
        <v>34</v>
      </c>
      <c r="N337" s="13">
        <v>1344.54</v>
      </c>
      <c r="O337" s="13" t="s">
        <v>34</v>
      </c>
      <c r="P337" s="13" t="s">
        <v>34</v>
      </c>
      <c r="Q337" s="10">
        <v>0.97</v>
      </c>
      <c r="R337" s="13">
        <v>2.67</v>
      </c>
      <c r="S337" s="13" t="s">
        <v>34</v>
      </c>
      <c r="T337" s="13" t="s">
        <v>49</v>
      </c>
      <c r="U337" s="13" t="s">
        <v>242</v>
      </c>
      <c r="V337" s="32" t="s">
        <v>207</v>
      </c>
      <c r="W337" s="13" t="s">
        <v>34</v>
      </c>
      <c r="X337" s="10">
        <v>1.5</v>
      </c>
      <c r="Y337" s="13">
        <v>1</v>
      </c>
      <c r="Z337" s="13" t="s">
        <v>242</v>
      </c>
      <c r="AA337" s="10">
        <v>27.446999999999999</v>
      </c>
      <c r="AB337" s="13" t="s">
        <v>34</v>
      </c>
      <c r="AC337" s="13" t="s">
        <v>40</v>
      </c>
      <c r="AD337" s="32" t="s">
        <v>32</v>
      </c>
      <c r="AE337" s="13">
        <v>0.21840000000000001</v>
      </c>
      <c r="AF337" s="13" t="s">
        <v>243</v>
      </c>
      <c r="AG337" s="13">
        <v>2020</v>
      </c>
      <c r="AH337" s="13" t="s">
        <v>244</v>
      </c>
      <c r="AI337" s="57">
        <v>50</v>
      </c>
      <c r="AJ337" s="2">
        <v>2</v>
      </c>
      <c r="AK337" s="2">
        <v>1</v>
      </c>
    </row>
    <row r="338" spans="1:37" x14ac:dyDescent="0.3">
      <c r="A338" s="11">
        <v>4.87</v>
      </c>
      <c r="B338" s="11">
        <v>273</v>
      </c>
      <c r="C338" s="13" t="s">
        <v>240</v>
      </c>
      <c r="D338" s="13" t="s">
        <v>241</v>
      </c>
      <c r="E338" s="13" t="s">
        <v>34</v>
      </c>
      <c r="F338" s="13">
        <v>0.04</v>
      </c>
      <c r="G338" s="13">
        <v>0.17899999999999999</v>
      </c>
      <c r="H338" s="13">
        <v>0.12</v>
      </c>
      <c r="I338" s="13">
        <v>0.22</v>
      </c>
      <c r="J338" s="13">
        <v>6.06</v>
      </c>
      <c r="K338" s="13">
        <v>1.95</v>
      </c>
      <c r="L338" s="13">
        <v>16.489999999999998</v>
      </c>
      <c r="M338" s="13" t="s">
        <v>34</v>
      </c>
      <c r="N338" s="13">
        <v>1344.54</v>
      </c>
      <c r="O338" s="13" t="s">
        <v>34</v>
      </c>
      <c r="P338" s="13" t="s">
        <v>34</v>
      </c>
      <c r="Q338" s="10">
        <v>8.7799999999999994</v>
      </c>
      <c r="R338" s="13">
        <v>2.67</v>
      </c>
      <c r="S338" s="13" t="s">
        <v>34</v>
      </c>
      <c r="T338" s="13" t="s">
        <v>49</v>
      </c>
      <c r="U338" s="13" t="s">
        <v>242</v>
      </c>
      <c r="V338" s="32" t="s">
        <v>207</v>
      </c>
      <c r="W338" s="13" t="s">
        <v>34</v>
      </c>
      <c r="X338" s="10">
        <v>3</v>
      </c>
      <c r="Y338" s="13">
        <v>1</v>
      </c>
      <c r="Z338" s="13" t="s">
        <v>242</v>
      </c>
      <c r="AA338" s="10">
        <v>27.446999999999999</v>
      </c>
      <c r="AB338" s="13" t="s">
        <v>34</v>
      </c>
      <c r="AC338" s="13" t="s">
        <v>40</v>
      </c>
      <c r="AD338" s="32" t="s">
        <v>32</v>
      </c>
      <c r="AE338" s="13">
        <v>0.21840000000000001</v>
      </c>
      <c r="AF338" s="13" t="s">
        <v>243</v>
      </c>
      <c r="AG338" s="13">
        <v>2020</v>
      </c>
      <c r="AH338" s="13" t="s">
        <v>244</v>
      </c>
      <c r="AI338" s="57">
        <v>50</v>
      </c>
      <c r="AJ338" s="2">
        <v>2</v>
      </c>
      <c r="AK338" s="2">
        <v>1</v>
      </c>
    </row>
    <row r="339" spans="1:37" x14ac:dyDescent="0.3">
      <c r="A339" s="11">
        <v>4.84</v>
      </c>
      <c r="B339" s="11">
        <v>429</v>
      </c>
      <c r="C339" s="13" t="s">
        <v>240</v>
      </c>
      <c r="D339" s="13" t="s">
        <v>241</v>
      </c>
      <c r="E339" s="13" t="s">
        <v>34</v>
      </c>
      <c r="F339" s="13">
        <v>0.04</v>
      </c>
      <c r="G339" s="13">
        <v>0.17899999999999999</v>
      </c>
      <c r="H339" s="13">
        <v>0.12</v>
      </c>
      <c r="I339" s="13">
        <v>0.22</v>
      </c>
      <c r="J339" s="13">
        <v>6.06</v>
      </c>
      <c r="K339" s="13">
        <v>1.95</v>
      </c>
      <c r="L339" s="13">
        <v>16.489999999999998</v>
      </c>
      <c r="M339" s="13" t="s">
        <v>34</v>
      </c>
      <c r="N339" s="13">
        <v>1344.54</v>
      </c>
      <c r="O339" s="13" t="s">
        <v>34</v>
      </c>
      <c r="P339" s="13" t="s">
        <v>34</v>
      </c>
      <c r="Q339" s="10">
        <v>6.73</v>
      </c>
      <c r="R339" s="13">
        <v>2.67</v>
      </c>
      <c r="S339" s="13" t="s">
        <v>34</v>
      </c>
      <c r="T339" s="13" t="s">
        <v>49</v>
      </c>
      <c r="U339" s="13" t="s">
        <v>242</v>
      </c>
      <c r="V339" s="32" t="s">
        <v>207</v>
      </c>
      <c r="W339" s="13" t="s">
        <v>34</v>
      </c>
      <c r="X339" s="10">
        <v>3</v>
      </c>
      <c r="Y339" s="13">
        <v>1</v>
      </c>
      <c r="Z339" s="13" t="s">
        <v>242</v>
      </c>
      <c r="AA339" s="10">
        <v>27.446999999999999</v>
      </c>
      <c r="AB339" s="13" t="s">
        <v>34</v>
      </c>
      <c r="AC339" s="13" t="s">
        <v>40</v>
      </c>
      <c r="AD339" s="32" t="s">
        <v>32</v>
      </c>
      <c r="AE339" s="13">
        <v>0.21840000000000001</v>
      </c>
      <c r="AF339" s="13" t="s">
        <v>243</v>
      </c>
      <c r="AG339" s="13">
        <v>2020</v>
      </c>
      <c r="AH339" s="13" t="s">
        <v>244</v>
      </c>
      <c r="AI339" s="57">
        <v>50</v>
      </c>
      <c r="AJ339" s="2">
        <v>2</v>
      </c>
      <c r="AK339" s="2">
        <v>1</v>
      </c>
    </row>
    <row r="340" spans="1:37" x14ac:dyDescent="0.3">
      <c r="A340" s="31">
        <v>4.7699999999999996</v>
      </c>
      <c r="B340" s="31">
        <v>735</v>
      </c>
      <c r="C340" s="32" t="s">
        <v>240</v>
      </c>
      <c r="D340" s="32" t="s">
        <v>241</v>
      </c>
      <c r="E340" s="32" t="s">
        <v>34</v>
      </c>
      <c r="F340" s="32">
        <v>0.04</v>
      </c>
      <c r="G340" s="32">
        <v>0.17899999999999999</v>
      </c>
      <c r="H340" s="32">
        <v>0.12</v>
      </c>
      <c r="I340" s="32">
        <v>0.22</v>
      </c>
      <c r="J340" s="32">
        <v>6.06</v>
      </c>
      <c r="K340" s="32">
        <v>1.95</v>
      </c>
      <c r="L340" s="32">
        <v>16.489999999999998</v>
      </c>
      <c r="M340" s="32" t="s">
        <v>34</v>
      </c>
      <c r="N340" s="32">
        <v>1344.54</v>
      </c>
      <c r="O340" s="32" t="s">
        <v>34</v>
      </c>
      <c r="P340" s="32" t="s">
        <v>34</v>
      </c>
      <c r="Q340" s="33">
        <v>3.25</v>
      </c>
      <c r="R340" s="32">
        <v>2.67</v>
      </c>
      <c r="S340" s="32" t="s">
        <v>34</v>
      </c>
      <c r="T340" s="32" t="s">
        <v>49</v>
      </c>
      <c r="U340" s="32" t="s">
        <v>242</v>
      </c>
      <c r="V340" s="32" t="s">
        <v>207</v>
      </c>
      <c r="W340" s="32" t="s">
        <v>34</v>
      </c>
      <c r="X340" s="33">
        <v>3</v>
      </c>
      <c r="Y340" s="13">
        <v>1</v>
      </c>
      <c r="Z340" s="32" t="s">
        <v>242</v>
      </c>
      <c r="AA340" s="33">
        <v>27.446999999999999</v>
      </c>
      <c r="AB340" s="32" t="s">
        <v>34</v>
      </c>
      <c r="AC340" s="32" t="s">
        <v>40</v>
      </c>
      <c r="AD340" s="32" t="s">
        <v>32</v>
      </c>
      <c r="AE340" s="32">
        <v>0.21840000000000001</v>
      </c>
      <c r="AF340" s="32" t="s">
        <v>243</v>
      </c>
      <c r="AG340" s="32">
        <v>2020</v>
      </c>
      <c r="AH340" s="32" t="s">
        <v>244</v>
      </c>
      <c r="AI340" s="57">
        <v>50</v>
      </c>
      <c r="AJ340" s="2">
        <v>2</v>
      </c>
      <c r="AK340" s="2">
        <v>1</v>
      </c>
    </row>
    <row r="341" spans="1:37" s="34" customFormat="1" ht="16.2" thickBot="1" x14ac:dyDescent="0.35">
      <c r="A341" s="17">
        <v>5.13</v>
      </c>
      <c r="B341" s="17">
        <v>870</v>
      </c>
      <c r="C341" s="14" t="s">
        <v>240</v>
      </c>
      <c r="D341" s="14" t="s">
        <v>241</v>
      </c>
      <c r="E341" s="14" t="s">
        <v>34</v>
      </c>
      <c r="F341" s="14">
        <v>0.04</v>
      </c>
      <c r="G341" s="14">
        <v>0.17899999999999999</v>
      </c>
      <c r="H341" s="14">
        <v>0.12</v>
      </c>
      <c r="I341" s="14">
        <v>0.22</v>
      </c>
      <c r="J341" s="14">
        <v>6.06</v>
      </c>
      <c r="K341" s="14">
        <v>1.95</v>
      </c>
      <c r="L341" s="14">
        <v>16.489999999999998</v>
      </c>
      <c r="M341" s="14" t="s">
        <v>34</v>
      </c>
      <c r="N341" s="14">
        <v>1344.54</v>
      </c>
      <c r="O341" s="14" t="s">
        <v>34</v>
      </c>
      <c r="P341" s="14" t="s">
        <v>34</v>
      </c>
      <c r="Q341" s="14">
        <v>1.04</v>
      </c>
      <c r="R341" s="14">
        <v>2.67</v>
      </c>
      <c r="S341" s="14" t="s">
        <v>34</v>
      </c>
      <c r="T341" s="14" t="s">
        <v>49</v>
      </c>
      <c r="U341" s="14" t="s">
        <v>242</v>
      </c>
      <c r="V341" s="14" t="s">
        <v>207</v>
      </c>
      <c r="W341" s="14" t="s">
        <v>34</v>
      </c>
      <c r="X341" s="14">
        <v>3</v>
      </c>
      <c r="Y341" s="14">
        <v>1</v>
      </c>
      <c r="Z341" s="14" t="s">
        <v>242</v>
      </c>
      <c r="AA341" s="14">
        <v>27.446999999999999</v>
      </c>
      <c r="AB341" s="14" t="s">
        <v>34</v>
      </c>
      <c r="AC341" s="14" t="s">
        <v>40</v>
      </c>
      <c r="AD341" s="14" t="s">
        <v>32</v>
      </c>
      <c r="AE341" s="14">
        <v>0.21840000000000001</v>
      </c>
      <c r="AF341" s="14" t="s">
        <v>243</v>
      </c>
      <c r="AG341" s="14">
        <v>2020</v>
      </c>
      <c r="AH341" s="14" t="s">
        <v>244</v>
      </c>
      <c r="AI341" s="61">
        <v>50</v>
      </c>
      <c r="AJ341" s="15">
        <v>2</v>
      </c>
      <c r="AK341" s="15">
        <v>1</v>
      </c>
    </row>
    <row r="342" spans="1:37" x14ac:dyDescent="0.3">
      <c r="A342" s="12">
        <v>0</v>
      </c>
      <c r="B342" s="12">
        <v>30</v>
      </c>
      <c r="C342" s="13" t="s">
        <v>33</v>
      </c>
      <c r="D342" s="13" t="s">
        <v>245</v>
      </c>
      <c r="E342" s="13" t="s">
        <v>170</v>
      </c>
      <c r="F342" s="13">
        <v>0.15</v>
      </c>
      <c r="G342" s="13">
        <v>0.18</v>
      </c>
      <c r="H342" s="12">
        <v>0.16900000000000001</v>
      </c>
      <c r="I342" s="12">
        <v>0.1905</v>
      </c>
      <c r="J342" s="13">
        <v>1.27</v>
      </c>
      <c r="K342" s="13">
        <v>1.01</v>
      </c>
      <c r="L342" s="13">
        <v>0</v>
      </c>
      <c r="M342" s="13" t="s">
        <v>34</v>
      </c>
      <c r="N342" s="13">
        <v>1550</v>
      </c>
      <c r="O342" s="13">
        <v>1.171</v>
      </c>
      <c r="P342" s="13">
        <v>0.83899999999999997</v>
      </c>
      <c r="Q342" s="13">
        <v>2.78</v>
      </c>
      <c r="R342" s="13">
        <v>2.637</v>
      </c>
      <c r="S342" s="13" t="s">
        <v>34</v>
      </c>
      <c r="T342" s="13" t="s">
        <v>49</v>
      </c>
      <c r="U342" s="13" t="s">
        <v>246</v>
      </c>
      <c r="V342" s="32" t="s">
        <v>207</v>
      </c>
      <c r="W342" s="13" t="s">
        <v>34</v>
      </c>
      <c r="X342" s="13">
        <v>8.33</v>
      </c>
      <c r="Y342" s="13">
        <v>2.5</v>
      </c>
      <c r="Z342" s="13" t="s">
        <v>246</v>
      </c>
      <c r="AA342" s="13" t="s">
        <v>34</v>
      </c>
      <c r="AB342" s="13" t="s">
        <v>34</v>
      </c>
      <c r="AC342" s="13" t="s">
        <v>40</v>
      </c>
      <c r="AD342" s="32" t="s">
        <v>32</v>
      </c>
      <c r="AE342" s="13">
        <v>0.58599999999999997</v>
      </c>
      <c r="AF342" s="13" t="s">
        <v>250</v>
      </c>
      <c r="AG342" s="13">
        <v>2014</v>
      </c>
      <c r="AH342" s="13" t="s">
        <v>249</v>
      </c>
      <c r="AI342" s="13">
        <v>50</v>
      </c>
      <c r="AJ342" s="13">
        <v>2</v>
      </c>
      <c r="AK342" s="13">
        <v>1</v>
      </c>
    </row>
    <row r="343" spans="1:37" x14ac:dyDescent="0.3">
      <c r="A343" s="11">
        <v>2.34</v>
      </c>
      <c r="B343" s="11">
        <v>90</v>
      </c>
      <c r="C343" s="13" t="s">
        <v>33</v>
      </c>
      <c r="D343" s="13" t="s">
        <v>245</v>
      </c>
      <c r="E343" s="13" t="s">
        <v>170</v>
      </c>
      <c r="F343" s="13">
        <v>0.15</v>
      </c>
      <c r="G343" s="13">
        <v>0.18</v>
      </c>
      <c r="H343" s="12">
        <v>0.16900000000000001</v>
      </c>
      <c r="I343" s="12">
        <v>0.1905</v>
      </c>
      <c r="J343" s="13">
        <v>1.27</v>
      </c>
      <c r="K343" s="13">
        <v>1.01</v>
      </c>
      <c r="L343" s="13">
        <v>0</v>
      </c>
      <c r="M343" s="13" t="s">
        <v>34</v>
      </c>
      <c r="N343" s="10">
        <v>1490</v>
      </c>
      <c r="O343" s="13">
        <v>1.171</v>
      </c>
      <c r="P343" s="13">
        <v>0.83899999999999997</v>
      </c>
      <c r="Q343" s="10">
        <v>4.6500000000000004</v>
      </c>
      <c r="R343" s="13">
        <v>2.637</v>
      </c>
      <c r="S343" s="13" t="s">
        <v>34</v>
      </c>
      <c r="T343" s="13" t="s">
        <v>49</v>
      </c>
      <c r="U343" s="13" t="s">
        <v>246</v>
      </c>
      <c r="V343" s="32" t="s">
        <v>207</v>
      </c>
      <c r="W343" s="13" t="s">
        <v>34</v>
      </c>
      <c r="X343" s="10">
        <v>1.66</v>
      </c>
      <c r="Y343" s="10">
        <v>0.5</v>
      </c>
      <c r="Z343" s="13" t="s">
        <v>246</v>
      </c>
      <c r="AA343" s="13" t="s">
        <v>34</v>
      </c>
      <c r="AB343" s="13" t="s">
        <v>34</v>
      </c>
      <c r="AC343" s="13" t="s">
        <v>40</v>
      </c>
      <c r="AD343" s="32" t="s">
        <v>32</v>
      </c>
      <c r="AE343" s="13">
        <v>0.58599999999999997</v>
      </c>
      <c r="AF343" s="13" t="s">
        <v>250</v>
      </c>
      <c r="AG343" s="13">
        <v>2014</v>
      </c>
      <c r="AH343" s="13" t="s">
        <v>249</v>
      </c>
      <c r="AI343" s="10">
        <v>50</v>
      </c>
      <c r="AJ343" s="10">
        <v>2</v>
      </c>
      <c r="AK343" s="10">
        <v>1</v>
      </c>
    </row>
    <row r="344" spans="1:37" x14ac:dyDescent="0.3">
      <c r="A344" s="11">
        <v>6.37</v>
      </c>
      <c r="B344" s="11">
        <v>160</v>
      </c>
      <c r="C344" s="13" t="s">
        <v>33</v>
      </c>
      <c r="D344" s="13" t="s">
        <v>245</v>
      </c>
      <c r="E344" s="13" t="s">
        <v>170</v>
      </c>
      <c r="F344" s="13">
        <v>0.15</v>
      </c>
      <c r="G344" s="13">
        <v>0.18</v>
      </c>
      <c r="H344" s="12">
        <v>0.16900000000000001</v>
      </c>
      <c r="I344" s="12">
        <v>0.1905</v>
      </c>
      <c r="J344" s="13">
        <v>1.27</v>
      </c>
      <c r="K344" s="13">
        <v>1.01</v>
      </c>
      <c r="L344" s="13">
        <v>0</v>
      </c>
      <c r="M344" s="13" t="s">
        <v>34</v>
      </c>
      <c r="N344" s="10">
        <v>1460</v>
      </c>
      <c r="O344" s="13">
        <v>1.171</v>
      </c>
      <c r="P344" s="13">
        <v>0.83899999999999997</v>
      </c>
      <c r="Q344" s="10">
        <v>2.66</v>
      </c>
      <c r="R344" s="13">
        <v>2.637</v>
      </c>
      <c r="S344" s="13" t="s">
        <v>34</v>
      </c>
      <c r="T344" s="13" t="s">
        <v>49</v>
      </c>
      <c r="U344" s="13" t="s">
        <v>246</v>
      </c>
      <c r="V344" s="32" t="s">
        <v>207</v>
      </c>
      <c r="W344" s="13" t="s">
        <v>34</v>
      </c>
      <c r="X344" s="10">
        <v>3.33</v>
      </c>
      <c r="Y344" s="10">
        <v>1</v>
      </c>
      <c r="Z344" s="13" t="s">
        <v>246</v>
      </c>
      <c r="AA344" s="13" t="s">
        <v>34</v>
      </c>
      <c r="AB344" s="13" t="s">
        <v>34</v>
      </c>
      <c r="AC344" s="13" t="s">
        <v>40</v>
      </c>
      <c r="AD344" s="32" t="s">
        <v>32</v>
      </c>
      <c r="AE344" s="13">
        <v>0.58599999999999997</v>
      </c>
      <c r="AF344" s="13" t="s">
        <v>250</v>
      </c>
      <c r="AG344" s="13">
        <v>2014</v>
      </c>
      <c r="AH344" s="13" t="s">
        <v>249</v>
      </c>
      <c r="AI344" s="10">
        <v>50</v>
      </c>
      <c r="AJ344" s="10">
        <v>2</v>
      </c>
      <c r="AK344" s="10">
        <v>1</v>
      </c>
    </row>
    <row r="345" spans="1:37" x14ac:dyDescent="0.3">
      <c r="A345" s="11">
        <v>6.58</v>
      </c>
      <c r="B345" s="11">
        <v>317</v>
      </c>
      <c r="C345" s="13" t="s">
        <v>33</v>
      </c>
      <c r="D345" s="13" t="s">
        <v>245</v>
      </c>
      <c r="E345" s="13" t="s">
        <v>170</v>
      </c>
      <c r="F345" s="13">
        <v>0.15</v>
      </c>
      <c r="G345" s="13">
        <v>0.18</v>
      </c>
      <c r="H345" s="12">
        <v>0.16900000000000001</v>
      </c>
      <c r="I345" s="12">
        <v>0.1905</v>
      </c>
      <c r="J345" s="13">
        <v>1.27</v>
      </c>
      <c r="K345" s="13">
        <v>1.01</v>
      </c>
      <c r="L345" s="13">
        <v>0</v>
      </c>
      <c r="M345" s="13" t="s">
        <v>34</v>
      </c>
      <c r="N345" s="10">
        <v>1520</v>
      </c>
      <c r="O345" s="13">
        <v>1.171</v>
      </c>
      <c r="P345" s="13">
        <v>0.83899999999999997</v>
      </c>
      <c r="Q345" s="10">
        <v>0.65</v>
      </c>
      <c r="R345" s="13">
        <v>2.637</v>
      </c>
      <c r="S345" s="13" t="s">
        <v>34</v>
      </c>
      <c r="T345" s="13" t="s">
        <v>49</v>
      </c>
      <c r="U345" s="13" t="s">
        <v>246</v>
      </c>
      <c r="V345" s="32" t="s">
        <v>207</v>
      </c>
      <c r="W345" s="13" t="s">
        <v>34</v>
      </c>
      <c r="X345" s="10">
        <v>8.33</v>
      </c>
      <c r="Y345" s="10">
        <v>2.5</v>
      </c>
      <c r="Z345" s="13" t="s">
        <v>246</v>
      </c>
      <c r="AA345" s="13" t="s">
        <v>34</v>
      </c>
      <c r="AB345" s="13" t="s">
        <v>34</v>
      </c>
      <c r="AC345" s="13" t="s">
        <v>40</v>
      </c>
      <c r="AD345" s="32" t="s">
        <v>32</v>
      </c>
      <c r="AE345" s="13">
        <v>0.58599999999999997</v>
      </c>
      <c r="AF345" s="13" t="s">
        <v>250</v>
      </c>
      <c r="AG345" s="13">
        <v>2014</v>
      </c>
      <c r="AH345" s="13" t="s">
        <v>249</v>
      </c>
      <c r="AI345" s="10">
        <v>50</v>
      </c>
      <c r="AJ345" s="10">
        <v>2</v>
      </c>
      <c r="AK345" s="10">
        <v>1</v>
      </c>
    </row>
    <row r="346" spans="1:37" x14ac:dyDescent="0.3">
      <c r="A346" s="11">
        <v>0</v>
      </c>
      <c r="B346" s="11">
        <v>89</v>
      </c>
      <c r="C346" s="13" t="s">
        <v>33</v>
      </c>
      <c r="D346" s="13" t="s">
        <v>245</v>
      </c>
      <c r="E346" s="13" t="s">
        <v>170</v>
      </c>
      <c r="F346" s="13">
        <v>0.15</v>
      </c>
      <c r="G346" s="13">
        <v>0.18</v>
      </c>
      <c r="H346" s="12">
        <v>0.16900000000000001</v>
      </c>
      <c r="I346" s="12">
        <v>0.1905</v>
      </c>
      <c r="J346" s="13">
        <v>1.27</v>
      </c>
      <c r="K346" s="13">
        <v>1.01</v>
      </c>
      <c r="L346" s="13">
        <v>0</v>
      </c>
      <c r="M346" s="13" t="s">
        <v>34</v>
      </c>
      <c r="N346" s="10">
        <v>1560</v>
      </c>
      <c r="O346" s="13">
        <v>1.171</v>
      </c>
      <c r="P346" s="13">
        <v>0.83899999999999997</v>
      </c>
      <c r="Q346" s="10">
        <v>1.75</v>
      </c>
      <c r="R346" s="13">
        <v>2.637</v>
      </c>
      <c r="S346" s="13" t="s">
        <v>34</v>
      </c>
      <c r="T346" s="13" t="s">
        <v>49</v>
      </c>
      <c r="U346" s="13" t="s">
        <v>246</v>
      </c>
      <c r="V346" s="32" t="s">
        <v>207</v>
      </c>
      <c r="W346" s="13" t="s">
        <v>34</v>
      </c>
      <c r="X346" s="10">
        <v>8.33</v>
      </c>
      <c r="Y346" s="13">
        <v>2.5</v>
      </c>
      <c r="Z346" s="13" t="s">
        <v>246</v>
      </c>
      <c r="AA346" s="13" t="s">
        <v>34</v>
      </c>
      <c r="AB346" s="13" t="s">
        <v>34</v>
      </c>
      <c r="AC346" s="10" t="s">
        <v>247</v>
      </c>
      <c r="AD346" s="32" t="s">
        <v>32</v>
      </c>
      <c r="AE346" s="10">
        <v>0.98680000000000001</v>
      </c>
      <c r="AF346" s="13" t="s">
        <v>250</v>
      </c>
      <c r="AG346" s="13">
        <v>2014</v>
      </c>
      <c r="AH346" s="13" t="s">
        <v>249</v>
      </c>
      <c r="AI346" s="10">
        <v>50</v>
      </c>
      <c r="AJ346" s="10">
        <v>2</v>
      </c>
      <c r="AK346" s="10">
        <v>1</v>
      </c>
    </row>
    <row r="347" spans="1:37" x14ac:dyDescent="0.3">
      <c r="A347" s="11">
        <v>3.44</v>
      </c>
      <c r="B347" s="11">
        <v>129</v>
      </c>
      <c r="C347" s="13" t="s">
        <v>33</v>
      </c>
      <c r="D347" s="13" t="s">
        <v>245</v>
      </c>
      <c r="E347" s="13" t="s">
        <v>170</v>
      </c>
      <c r="F347" s="13">
        <v>0.15</v>
      </c>
      <c r="G347" s="13">
        <v>0.18</v>
      </c>
      <c r="H347" s="12">
        <v>0.16900000000000001</v>
      </c>
      <c r="I347" s="12">
        <v>0.1905</v>
      </c>
      <c r="J347" s="13">
        <v>1.27</v>
      </c>
      <c r="K347" s="13">
        <v>1.01</v>
      </c>
      <c r="L347" s="13">
        <v>0</v>
      </c>
      <c r="M347" s="13" t="s">
        <v>34</v>
      </c>
      <c r="N347" s="10">
        <v>1490</v>
      </c>
      <c r="O347" s="13">
        <v>1.171</v>
      </c>
      <c r="P347" s="13">
        <v>0.83899999999999997</v>
      </c>
      <c r="Q347" s="10">
        <v>0.27</v>
      </c>
      <c r="R347" s="13">
        <v>2.637</v>
      </c>
      <c r="S347" s="13" t="s">
        <v>34</v>
      </c>
      <c r="T347" s="13" t="s">
        <v>49</v>
      </c>
      <c r="U347" s="13" t="s">
        <v>246</v>
      </c>
      <c r="V347" s="32" t="s">
        <v>207</v>
      </c>
      <c r="W347" s="13" t="s">
        <v>34</v>
      </c>
      <c r="X347" s="10">
        <v>1.66</v>
      </c>
      <c r="Y347" s="10">
        <v>0.5</v>
      </c>
      <c r="Z347" s="13" t="s">
        <v>246</v>
      </c>
      <c r="AA347" s="13" t="s">
        <v>34</v>
      </c>
      <c r="AB347" s="13" t="s">
        <v>34</v>
      </c>
      <c r="AC347" s="10" t="s">
        <v>247</v>
      </c>
      <c r="AD347" s="32" t="s">
        <v>32</v>
      </c>
      <c r="AE347" s="10">
        <v>0.98680000000000001</v>
      </c>
      <c r="AF347" s="13" t="s">
        <v>250</v>
      </c>
      <c r="AG347" s="13">
        <v>2014</v>
      </c>
      <c r="AH347" s="13" t="s">
        <v>249</v>
      </c>
      <c r="AI347" s="10">
        <v>50</v>
      </c>
      <c r="AJ347" s="10">
        <v>2</v>
      </c>
      <c r="AK347" s="10">
        <v>1</v>
      </c>
    </row>
    <row r="348" spans="1:37" x14ac:dyDescent="0.3">
      <c r="A348" s="11">
        <v>4.0199999999999996</v>
      </c>
      <c r="B348" s="11">
        <v>197</v>
      </c>
      <c r="C348" s="13" t="s">
        <v>33</v>
      </c>
      <c r="D348" s="13" t="s">
        <v>245</v>
      </c>
      <c r="E348" s="13" t="s">
        <v>170</v>
      </c>
      <c r="F348" s="13">
        <v>0.15</v>
      </c>
      <c r="G348" s="13">
        <v>0.18</v>
      </c>
      <c r="H348" s="12">
        <v>0.16900000000000001</v>
      </c>
      <c r="I348" s="12">
        <v>0.1905</v>
      </c>
      <c r="J348" s="13">
        <v>1.27</v>
      </c>
      <c r="K348" s="13">
        <v>1.01</v>
      </c>
      <c r="L348" s="13">
        <v>0</v>
      </c>
      <c r="M348" s="13" t="s">
        <v>34</v>
      </c>
      <c r="N348" s="10">
        <v>1480</v>
      </c>
      <c r="O348" s="13">
        <v>1.171</v>
      </c>
      <c r="P348" s="13">
        <v>0.83899999999999997</v>
      </c>
      <c r="Q348" s="10">
        <v>0.28999999999999998</v>
      </c>
      <c r="R348" s="13">
        <v>2.637</v>
      </c>
      <c r="S348" s="13" t="s">
        <v>34</v>
      </c>
      <c r="T348" s="13" t="s">
        <v>49</v>
      </c>
      <c r="U348" s="13" t="s">
        <v>246</v>
      </c>
      <c r="V348" s="32" t="s">
        <v>207</v>
      </c>
      <c r="W348" s="13" t="s">
        <v>34</v>
      </c>
      <c r="X348" s="10">
        <v>3.33</v>
      </c>
      <c r="Y348" s="10">
        <v>1</v>
      </c>
      <c r="Z348" s="13" t="s">
        <v>246</v>
      </c>
      <c r="AA348" s="13" t="s">
        <v>34</v>
      </c>
      <c r="AB348" s="13" t="s">
        <v>34</v>
      </c>
      <c r="AC348" s="10" t="s">
        <v>247</v>
      </c>
      <c r="AD348" s="32" t="s">
        <v>32</v>
      </c>
      <c r="AE348" s="10">
        <v>0.98680000000000001</v>
      </c>
      <c r="AF348" s="13" t="s">
        <v>250</v>
      </c>
      <c r="AG348" s="13">
        <v>2014</v>
      </c>
      <c r="AH348" s="13" t="s">
        <v>249</v>
      </c>
      <c r="AI348" s="10">
        <v>50</v>
      </c>
      <c r="AJ348" s="10">
        <v>2</v>
      </c>
      <c r="AK348" s="10">
        <v>1</v>
      </c>
    </row>
    <row r="349" spans="1:37" x14ac:dyDescent="0.3">
      <c r="A349" s="11">
        <v>4.5199999999999996</v>
      </c>
      <c r="B349" s="11">
        <v>244</v>
      </c>
      <c r="C349" s="13" t="s">
        <v>33</v>
      </c>
      <c r="D349" s="13" t="s">
        <v>245</v>
      </c>
      <c r="E349" s="13" t="s">
        <v>170</v>
      </c>
      <c r="F349" s="13">
        <v>0.15</v>
      </c>
      <c r="G349" s="13">
        <v>0.18</v>
      </c>
      <c r="H349" s="12">
        <v>0.16900000000000001</v>
      </c>
      <c r="I349" s="12">
        <v>0.1905</v>
      </c>
      <c r="J349" s="13">
        <v>1.27</v>
      </c>
      <c r="K349" s="13">
        <v>1.01</v>
      </c>
      <c r="L349" s="13">
        <v>0</v>
      </c>
      <c r="M349" s="13" t="s">
        <v>34</v>
      </c>
      <c r="N349" s="10">
        <v>1470</v>
      </c>
      <c r="O349" s="13">
        <v>1.171</v>
      </c>
      <c r="P349" s="13">
        <v>0.83899999999999997</v>
      </c>
      <c r="Q349" s="10">
        <v>0.37</v>
      </c>
      <c r="R349" s="13">
        <v>2.637</v>
      </c>
      <c r="S349" s="13" t="s">
        <v>34</v>
      </c>
      <c r="T349" s="13" t="s">
        <v>49</v>
      </c>
      <c r="U349" s="13" t="s">
        <v>246</v>
      </c>
      <c r="V349" s="32" t="s">
        <v>207</v>
      </c>
      <c r="W349" s="13" t="s">
        <v>34</v>
      </c>
      <c r="X349" s="10">
        <v>8.33</v>
      </c>
      <c r="Y349" s="10">
        <v>2.5</v>
      </c>
      <c r="Z349" s="13" t="s">
        <v>246</v>
      </c>
      <c r="AA349" s="13" t="s">
        <v>34</v>
      </c>
      <c r="AB349" s="13" t="s">
        <v>34</v>
      </c>
      <c r="AC349" s="10" t="s">
        <v>247</v>
      </c>
      <c r="AD349" s="32" t="s">
        <v>32</v>
      </c>
      <c r="AE349" s="10">
        <v>0.98680000000000001</v>
      </c>
      <c r="AF349" s="13" t="s">
        <v>250</v>
      </c>
      <c r="AG349" s="13">
        <v>2014</v>
      </c>
      <c r="AH349" s="13" t="s">
        <v>249</v>
      </c>
      <c r="AI349" s="10">
        <v>50</v>
      </c>
      <c r="AJ349" s="10">
        <v>2</v>
      </c>
      <c r="AK349" s="10">
        <v>1</v>
      </c>
    </row>
    <row r="350" spans="1:37" x14ac:dyDescent="0.3">
      <c r="A350" s="11">
        <v>0</v>
      </c>
      <c r="B350" s="11">
        <v>68</v>
      </c>
      <c r="C350" s="13" t="s">
        <v>33</v>
      </c>
      <c r="D350" s="13" t="s">
        <v>245</v>
      </c>
      <c r="E350" s="13" t="s">
        <v>170</v>
      </c>
      <c r="F350" s="13">
        <v>0.15</v>
      </c>
      <c r="G350" s="13">
        <v>0.18</v>
      </c>
      <c r="H350" s="12">
        <v>0.16900000000000001</v>
      </c>
      <c r="I350" s="12">
        <v>0.1905</v>
      </c>
      <c r="J350" s="13">
        <v>1.27</v>
      </c>
      <c r="K350" s="13">
        <v>1.01</v>
      </c>
      <c r="L350" s="13">
        <v>0</v>
      </c>
      <c r="M350" s="13" t="s">
        <v>34</v>
      </c>
      <c r="N350" s="10">
        <v>1510</v>
      </c>
      <c r="O350" s="13">
        <v>1.171</v>
      </c>
      <c r="P350" s="13">
        <v>0.83899999999999997</v>
      </c>
      <c r="Q350" s="10">
        <v>1.86</v>
      </c>
      <c r="R350" s="13">
        <v>2.637</v>
      </c>
      <c r="S350" s="13" t="s">
        <v>34</v>
      </c>
      <c r="T350" s="13" t="s">
        <v>49</v>
      </c>
      <c r="U350" s="13" t="s">
        <v>246</v>
      </c>
      <c r="V350" s="32" t="s">
        <v>207</v>
      </c>
      <c r="W350" s="13" t="s">
        <v>34</v>
      </c>
      <c r="X350" s="10">
        <v>8.33</v>
      </c>
      <c r="Y350" s="13">
        <v>2.5</v>
      </c>
      <c r="Z350" s="13" t="s">
        <v>246</v>
      </c>
      <c r="AA350" s="13" t="s">
        <v>34</v>
      </c>
      <c r="AB350" s="13" t="s">
        <v>34</v>
      </c>
      <c r="AC350" s="10" t="s">
        <v>248</v>
      </c>
      <c r="AD350" s="32" t="s">
        <v>32</v>
      </c>
      <c r="AE350" s="10">
        <v>0.79300000000000004</v>
      </c>
      <c r="AF350" s="13" t="s">
        <v>250</v>
      </c>
      <c r="AG350" s="13">
        <v>2014</v>
      </c>
      <c r="AH350" s="13" t="s">
        <v>249</v>
      </c>
      <c r="AI350" s="10">
        <v>50</v>
      </c>
      <c r="AJ350" s="10">
        <v>2</v>
      </c>
      <c r="AK350" s="10">
        <v>1</v>
      </c>
    </row>
    <row r="351" spans="1:37" x14ac:dyDescent="0.3">
      <c r="A351" s="11">
        <v>2.91</v>
      </c>
      <c r="B351" s="11">
        <v>104</v>
      </c>
      <c r="C351" s="13" t="s">
        <v>33</v>
      </c>
      <c r="D351" s="13" t="s">
        <v>245</v>
      </c>
      <c r="E351" s="13" t="s">
        <v>170</v>
      </c>
      <c r="F351" s="13">
        <v>0.15</v>
      </c>
      <c r="G351" s="13">
        <v>0.18</v>
      </c>
      <c r="H351" s="12">
        <v>0.16900000000000001</v>
      </c>
      <c r="I351" s="12">
        <v>0.1905</v>
      </c>
      <c r="J351" s="13">
        <v>1.27</v>
      </c>
      <c r="K351" s="13">
        <v>1.01</v>
      </c>
      <c r="L351" s="13">
        <v>0</v>
      </c>
      <c r="M351" s="13" t="s">
        <v>34</v>
      </c>
      <c r="N351" s="10">
        <v>1400</v>
      </c>
      <c r="O351" s="13">
        <v>1.171</v>
      </c>
      <c r="P351" s="13">
        <v>0.83899999999999997</v>
      </c>
      <c r="Q351" s="10">
        <v>0.56999999999999995</v>
      </c>
      <c r="R351" s="13">
        <v>2.637</v>
      </c>
      <c r="S351" s="13" t="s">
        <v>34</v>
      </c>
      <c r="T351" s="13" t="s">
        <v>49</v>
      </c>
      <c r="U351" s="13" t="s">
        <v>246</v>
      </c>
      <c r="V351" s="32" t="s">
        <v>207</v>
      </c>
      <c r="W351" s="13" t="s">
        <v>34</v>
      </c>
      <c r="X351" s="10">
        <v>1.66</v>
      </c>
      <c r="Y351" s="10">
        <v>0.5</v>
      </c>
      <c r="Z351" s="13" t="s">
        <v>246</v>
      </c>
      <c r="AA351" s="13" t="s">
        <v>34</v>
      </c>
      <c r="AB351" s="13" t="s">
        <v>34</v>
      </c>
      <c r="AC351" s="10" t="s">
        <v>248</v>
      </c>
      <c r="AD351" s="32" t="s">
        <v>32</v>
      </c>
      <c r="AE351" s="10">
        <v>0.79300000000000004</v>
      </c>
      <c r="AF351" s="13" t="s">
        <v>250</v>
      </c>
      <c r="AG351" s="13">
        <v>2014</v>
      </c>
      <c r="AH351" s="13" t="s">
        <v>249</v>
      </c>
      <c r="AI351" s="10">
        <v>50</v>
      </c>
      <c r="AJ351" s="10">
        <v>2</v>
      </c>
      <c r="AK351" s="10">
        <v>1</v>
      </c>
    </row>
    <row r="352" spans="1:37" x14ac:dyDescent="0.3">
      <c r="A352" s="31">
        <v>3.5</v>
      </c>
      <c r="B352" s="31">
        <v>209</v>
      </c>
      <c r="C352" s="32" t="s">
        <v>33</v>
      </c>
      <c r="D352" s="32" t="s">
        <v>245</v>
      </c>
      <c r="E352" s="32" t="s">
        <v>170</v>
      </c>
      <c r="F352" s="32">
        <v>0.15</v>
      </c>
      <c r="G352" s="32">
        <v>0.18</v>
      </c>
      <c r="H352" s="35">
        <v>0.16900000000000001</v>
      </c>
      <c r="I352" s="35">
        <v>0.1905</v>
      </c>
      <c r="J352" s="32">
        <v>1.27</v>
      </c>
      <c r="K352" s="32">
        <v>1.01</v>
      </c>
      <c r="L352" s="32">
        <v>0</v>
      </c>
      <c r="M352" s="32" t="s">
        <v>34</v>
      </c>
      <c r="N352" s="33">
        <v>1440</v>
      </c>
      <c r="O352" s="32">
        <v>1.171</v>
      </c>
      <c r="P352" s="32">
        <v>0.83899999999999997</v>
      </c>
      <c r="Q352" s="33">
        <v>0.32</v>
      </c>
      <c r="R352" s="32">
        <v>2.637</v>
      </c>
      <c r="S352" s="32" t="s">
        <v>34</v>
      </c>
      <c r="T352" s="32" t="s">
        <v>49</v>
      </c>
      <c r="U352" s="32" t="s">
        <v>246</v>
      </c>
      <c r="V352" s="32" t="s">
        <v>207</v>
      </c>
      <c r="W352" s="32" t="s">
        <v>34</v>
      </c>
      <c r="X352" s="33">
        <v>3.33</v>
      </c>
      <c r="Y352" s="33">
        <v>1</v>
      </c>
      <c r="Z352" s="32" t="s">
        <v>246</v>
      </c>
      <c r="AA352" s="32" t="s">
        <v>34</v>
      </c>
      <c r="AB352" s="32" t="s">
        <v>34</v>
      </c>
      <c r="AC352" s="33" t="s">
        <v>248</v>
      </c>
      <c r="AD352" s="32" t="s">
        <v>32</v>
      </c>
      <c r="AE352" s="33">
        <v>0.79300000000000004</v>
      </c>
      <c r="AF352" s="32" t="s">
        <v>250</v>
      </c>
      <c r="AG352" s="32">
        <v>2014</v>
      </c>
      <c r="AH352" s="32" t="s">
        <v>249</v>
      </c>
      <c r="AI352" s="10">
        <v>50</v>
      </c>
      <c r="AJ352" s="10">
        <v>2</v>
      </c>
      <c r="AK352" s="10">
        <v>1</v>
      </c>
    </row>
    <row r="353" spans="1:37" s="34" customFormat="1" ht="16.2" thickBot="1" x14ac:dyDescent="0.35">
      <c r="A353" s="17">
        <v>4.72</v>
      </c>
      <c r="B353" s="17">
        <v>253</v>
      </c>
      <c r="C353" s="14" t="s">
        <v>33</v>
      </c>
      <c r="D353" s="14" t="s">
        <v>245</v>
      </c>
      <c r="E353" s="14" t="s">
        <v>170</v>
      </c>
      <c r="F353" s="14">
        <v>0.15</v>
      </c>
      <c r="G353" s="14">
        <v>0.18</v>
      </c>
      <c r="H353" s="17">
        <v>0.16900000000000001</v>
      </c>
      <c r="I353" s="17">
        <v>0.1905</v>
      </c>
      <c r="J353" s="14">
        <v>1.27</v>
      </c>
      <c r="K353" s="14">
        <v>1.01</v>
      </c>
      <c r="L353" s="14">
        <v>0</v>
      </c>
      <c r="M353" s="14" t="s">
        <v>34</v>
      </c>
      <c r="N353" s="14">
        <v>1480</v>
      </c>
      <c r="O353" s="14">
        <v>1.171</v>
      </c>
      <c r="P353" s="14">
        <v>0.83899999999999997</v>
      </c>
      <c r="Q353" s="14">
        <v>0.57999999999999996</v>
      </c>
      <c r="R353" s="14">
        <v>2.637</v>
      </c>
      <c r="S353" s="14" t="s">
        <v>34</v>
      </c>
      <c r="T353" s="14" t="s">
        <v>49</v>
      </c>
      <c r="U353" s="14" t="s">
        <v>246</v>
      </c>
      <c r="V353" s="14" t="s">
        <v>207</v>
      </c>
      <c r="W353" s="14" t="s">
        <v>34</v>
      </c>
      <c r="X353" s="14">
        <v>8.33</v>
      </c>
      <c r="Y353" s="14">
        <v>2.5</v>
      </c>
      <c r="Z353" s="14" t="s">
        <v>246</v>
      </c>
      <c r="AA353" s="14" t="s">
        <v>34</v>
      </c>
      <c r="AB353" s="14" t="s">
        <v>34</v>
      </c>
      <c r="AC353" s="14" t="s">
        <v>248</v>
      </c>
      <c r="AD353" s="14" t="s">
        <v>32</v>
      </c>
      <c r="AE353" s="14">
        <v>0.79300000000000004</v>
      </c>
      <c r="AF353" s="14" t="s">
        <v>250</v>
      </c>
      <c r="AG353" s="14">
        <v>2014</v>
      </c>
      <c r="AH353" s="14" t="s">
        <v>249</v>
      </c>
      <c r="AI353" s="14">
        <v>50</v>
      </c>
      <c r="AJ353" s="14">
        <v>2</v>
      </c>
      <c r="AK353" s="14">
        <v>1</v>
      </c>
    </row>
    <row r="354" spans="1:37" x14ac:dyDescent="0.3">
      <c r="A354" s="12">
        <v>1.1002570694087399</v>
      </c>
      <c r="B354" s="12">
        <v>28.972095889031301</v>
      </c>
      <c r="C354" s="13" t="s">
        <v>33</v>
      </c>
      <c r="D354" s="13" t="s">
        <v>35</v>
      </c>
      <c r="E354" s="32" t="s">
        <v>170</v>
      </c>
      <c r="F354" s="13">
        <v>0.154</v>
      </c>
      <c r="G354" s="13">
        <v>0.28799999999999998</v>
      </c>
      <c r="H354" s="13">
        <v>0.22800000000000001</v>
      </c>
      <c r="I354" s="13">
        <v>0.316</v>
      </c>
      <c r="J354" s="13">
        <v>1.55</v>
      </c>
      <c r="K354" s="13">
        <v>1.7</v>
      </c>
      <c r="L354" s="13">
        <v>0</v>
      </c>
      <c r="M354" s="13">
        <v>50</v>
      </c>
      <c r="N354" s="13">
        <v>1399.64</v>
      </c>
      <c r="O354" s="13">
        <v>0.89900000000000002</v>
      </c>
      <c r="P354" s="13">
        <v>0.54900000000000004</v>
      </c>
      <c r="Q354" s="13" t="s">
        <v>34</v>
      </c>
      <c r="R354" s="13">
        <v>2.653</v>
      </c>
      <c r="S354" s="13" t="s">
        <v>34</v>
      </c>
      <c r="T354" s="13" t="s">
        <v>49</v>
      </c>
      <c r="U354" s="13" t="s">
        <v>50</v>
      </c>
      <c r="V354" s="13" t="s">
        <v>162</v>
      </c>
      <c r="W354" s="13" t="s">
        <v>34</v>
      </c>
      <c r="X354" s="13">
        <v>0.5</v>
      </c>
      <c r="Y354" s="13">
        <v>1</v>
      </c>
      <c r="Z354" s="13" t="s">
        <v>204</v>
      </c>
      <c r="AA354" s="12">
        <v>0.94569999999999999</v>
      </c>
      <c r="AB354" s="13" t="s">
        <v>34</v>
      </c>
      <c r="AC354" s="13" t="s">
        <v>40</v>
      </c>
      <c r="AD354" s="32" t="s">
        <v>32</v>
      </c>
      <c r="AE354" s="13">
        <v>0.98050000000000004</v>
      </c>
      <c r="AF354" s="13" t="s">
        <v>251</v>
      </c>
      <c r="AG354" s="13">
        <v>2017</v>
      </c>
      <c r="AH354" s="13" t="s">
        <v>252</v>
      </c>
      <c r="AI354" s="2">
        <v>50</v>
      </c>
      <c r="AJ354" s="2">
        <v>100</v>
      </c>
      <c r="AK354" s="2" t="s">
        <v>34</v>
      </c>
    </row>
    <row r="355" spans="1:37" x14ac:dyDescent="0.3">
      <c r="A355" s="11">
        <v>2.1388174807197902</v>
      </c>
      <c r="B355" s="11">
        <v>45.705799019786298</v>
      </c>
      <c r="C355" s="13" t="s">
        <v>33</v>
      </c>
      <c r="D355" s="13" t="s">
        <v>35</v>
      </c>
      <c r="E355" s="32" t="s">
        <v>170</v>
      </c>
      <c r="F355" s="13">
        <v>0.154</v>
      </c>
      <c r="G355" s="13">
        <v>0.28799999999999998</v>
      </c>
      <c r="H355" s="13">
        <v>0.22800000000000001</v>
      </c>
      <c r="I355" s="13">
        <v>0.316</v>
      </c>
      <c r="J355" s="13">
        <v>1.55</v>
      </c>
      <c r="K355" s="13">
        <v>1.7</v>
      </c>
      <c r="L355" s="13">
        <v>0</v>
      </c>
      <c r="M355" s="13">
        <v>50</v>
      </c>
      <c r="N355" s="13">
        <v>1399.64</v>
      </c>
      <c r="O355" s="13">
        <v>0.89900000000000002</v>
      </c>
      <c r="P355" s="13">
        <v>0.54900000000000004</v>
      </c>
      <c r="Q355" s="13" t="s">
        <v>34</v>
      </c>
      <c r="R355" s="13">
        <v>2.653</v>
      </c>
      <c r="S355" s="13" t="s">
        <v>34</v>
      </c>
      <c r="T355" s="13" t="s">
        <v>49</v>
      </c>
      <c r="U355" s="13" t="s">
        <v>50</v>
      </c>
      <c r="V355" s="13" t="s">
        <v>162</v>
      </c>
      <c r="W355" s="13" t="s">
        <v>34</v>
      </c>
      <c r="X355" s="10">
        <v>0.5</v>
      </c>
      <c r="Y355" s="13">
        <v>1</v>
      </c>
      <c r="Z355" s="13" t="s">
        <v>204</v>
      </c>
      <c r="AA355" s="11">
        <v>0.94569999999999999</v>
      </c>
      <c r="AB355" s="13" t="s">
        <v>34</v>
      </c>
      <c r="AC355" s="13" t="s">
        <v>40</v>
      </c>
      <c r="AD355" s="32" t="s">
        <v>32</v>
      </c>
      <c r="AE355" s="13">
        <v>0.98050000000000004</v>
      </c>
      <c r="AF355" s="13" t="s">
        <v>251</v>
      </c>
      <c r="AG355" s="13">
        <v>2017</v>
      </c>
      <c r="AH355" s="13" t="s">
        <v>252</v>
      </c>
      <c r="AI355" s="57">
        <v>50</v>
      </c>
      <c r="AJ355" s="2">
        <v>100</v>
      </c>
      <c r="AK355" s="2" t="s">
        <v>34</v>
      </c>
    </row>
    <row r="356" spans="1:37" x14ac:dyDescent="0.3">
      <c r="A356" s="11">
        <v>3.0848329048843102</v>
      </c>
      <c r="B356" s="11">
        <v>68.392294410904597</v>
      </c>
      <c r="C356" s="13" t="s">
        <v>33</v>
      </c>
      <c r="D356" s="13" t="s">
        <v>35</v>
      </c>
      <c r="E356" s="32" t="s">
        <v>170</v>
      </c>
      <c r="F356" s="13">
        <v>0.154</v>
      </c>
      <c r="G356" s="13">
        <v>0.28799999999999998</v>
      </c>
      <c r="H356" s="13">
        <v>0.22800000000000001</v>
      </c>
      <c r="I356" s="13">
        <v>0.316</v>
      </c>
      <c r="J356" s="13">
        <v>1.55</v>
      </c>
      <c r="K356" s="13">
        <v>1.7</v>
      </c>
      <c r="L356" s="13">
        <v>0</v>
      </c>
      <c r="M356" s="13">
        <v>50</v>
      </c>
      <c r="N356" s="13">
        <v>1399.64</v>
      </c>
      <c r="O356" s="13">
        <v>0.89900000000000002</v>
      </c>
      <c r="P356" s="13">
        <v>0.54900000000000004</v>
      </c>
      <c r="Q356" s="13" t="s">
        <v>34</v>
      </c>
      <c r="R356" s="13">
        <v>2.653</v>
      </c>
      <c r="S356" s="13" t="s">
        <v>34</v>
      </c>
      <c r="T356" s="13" t="s">
        <v>49</v>
      </c>
      <c r="U356" s="13" t="s">
        <v>50</v>
      </c>
      <c r="V356" s="13" t="s">
        <v>162</v>
      </c>
      <c r="W356" s="13" t="s">
        <v>34</v>
      </c>
      <c r="X356" s="10">
        <v>0.5</v>
      </c>
      <c r="Y356" s="13">
        <v>1</v>
      </c>
      <c r="Z356" s="13" t="s">
        <v>204</v>
      </c>
      <c r="AA356" s="11">
        <v>0.94569999999999999</v>
      </c>
      <c r="AB356" s="13" t="s">
        <v>34</v>
      </c>
      <c r="AC356" s="13" t="s">
        <v>40</v>
      </c>
      <c r="AD356" s="32" t="s">
        <v>32</v>
      </c>
      <c r="AE356" s="13">
        <v>0.98050000000000004</v>
      </c>
      <c r="AF356" s="13" t="s">
        <v>251</v>
      </c>
      <c r="AG356" s="13">
        <v>2017</v>
      </c>
      <c r="AH356" s="13" t="s">
        <v>252</v>
      </c>
      <c r="AI356" s="57">
        <v>50</v>
      </c>
      <c r="AJ356" s="2">
        <v>100</v>
      </c>
      <c r="AK356" s="2" t="s">
        <v>34</v>
      </c>
    </row>
    <row r="357" spans="1:37" x14ac:dyDescent="0.3">
      <c r="A357" s="11">
        <v>4.6889460154241602</v>
      </c>
      <c r="B357" s="11">
        <v>24.723693038891</v>
      </c>
      <c r="C357" s="13" t="s">
        <v>33</v>
      </c>
      <c r="D357" s="13" t="s">
        <v>35</v>
      </c>
      <c r="E357" s="32" t="s">
        <v>170</v>
      </c>
      <c r="F357" s="13">
        <v>0.154</v>
      </c>
      <c r="G357" s="13">
        <v>0.28799999999999998</v>
      </c>
      <c r="H357" s="13">
        <v>0.22800000000000001</v>
      </c>
      <c r="I357" s="13">
        <v>0.316</v>
      </c>
      <c r="J357" s="13">
        <v>1.55</v>
      </c>
      <c r="K357" s="13">
        <v>1.7</v>
      </c>
      <c r="L357" s="13">
        <v>0</v>
      </c>
      <c r="M357" s="13">
        <v>50</v>
      </c>
      <c r="N357" s="13">
        <v>1399.64</v>
      </c>
      <c r="O357" s="13">
        <v>0.89900000000000002</v>
      </c>
      <c r="P357" s="13">
        <v>0.54900000000000004</v>
      </c>
      <c r="Q357" s="13" t="s">
        <v>34</v>
      </c>
      <c r="R357" s="13">
        <v>2.653</v>
      </c>
      <c r="S357" s="13" t="s">
        <v>34</v>
      </c>
      <c r="T357" s="13" t="s">
        <v>49</v>
      </c>
      <c r="U357" s="13" t="s">
        <v>50</v>
      </c>
      <c r="V357" s="13" t="s">
        <v>162</v>
      </c>
      <c r="W357" s="13" t="s">
        <v>34</v>
      </c>
      <c r="X357" s="10">
        <v>1</v>
      </c>
      <c r="Y357" s="13">
        <v>1</v>
      </c>
      <c r="Z357" s="13" t="s">
        <v>204</v>
      </c>
      <c r="AA357" s="11">
        <v>1.4484374999999998</v>
      </c>
      <c r="AB357" s="13" t="s">
        <v>34</v>
      </c>
      <c r="AC357" s="13" t="s">
        <v>40</v>
      </c>
      <c r="AD357" s="32" t="s">
        <v>32</v>
      </c>
      <c r="AE357" s="10">
        <v>0.99060000000000004</v>
      </c>
      <c r="AF357" s="13" t="s">
        <v>251</v>
      </c>
      <c r="AG357" s="13">
        <v>2017</v>
      </c>
      <c r="AH357" s="13" t="s">
        <v>252</v>
      </c>
      <c r="AI357" s="57">
        <v>50</v>
      </c>
      <c r="AJ357" s="2">
        <v>100</v>
      </c>
      <c r="AK357" s="2" t="s">
        <v>34</v>
      </c>
    </row>
    <row r="358" spans="1:37" x14ac:dyDescent="0.3">
      <c r="A358" s="31">
        <v>7.3007712082262204</v>
      </c>
      <c r="B358" s="31">
        <v>115.263809722554</v>
      </c>
      <c r="C358" s="32" t="s">
        <v>33</v>
      </c>
      <c r="D358" s="32" t="s">
        <v>35</v>
      </c>
      <c r="E358" s="32" t="s">
        <v>170</v>
      </c>
      <c r="F358" s="32">
        <v>0.154</v>
      </c>
      <c r="G358" s="32">
        <v>0.28799999999999998</v>
      </c>
      <c r="H358" s="32">
        <v>0.22800000000000001</v>
      </c>
      <c r="I358" s="32">
        <v>0.316</v>
      </c>
      <c r="J358" s="32">
        <v>1.55</v>
      </c>
      <c r="K358" s="32">
        <v>1.7</v>
      </c>
      <c r="L358" s="32">
        <v>0</v>
      </c>
      <c r="M358" s="32">
        <v>50</v>
      </c>
      <c r="N358" s="32">
        <v>1399.64</v>
      </c>
      <c r="O358" s="32">
        <v>0.89900000000000002</v>
      </c>
      <c r="P358" s="32">
        <v>0.54900000000000004</v>
      </c>
      <c r="Q358" s="32" t="s">
        <v>34</v>
      </c>
      <c r="R358" s="32">
        <v>2.653</v>
      </c>
      <c r="S358" s="32" t="s">
        <v>34</v>
      </c>
      <c r="T358" s="32" t="s">
        <v>49</v>
      </c>
      <c r="U358" s="32" t="s">
        <v>50</v>
      </c>
      <c r="V358" s="32" t="s">
        <v>162</v>
      </c>
      <c r="W358" s="32" t="s">
        <v>34</v>
      </c>
      <c r="X358" s="33">
        <v>1</v>
      </c>
      <c r="Y358" s="32">
        <v>1</v>
      </c>
      <c r="Z358" s="32" t="s">
        <v>204</v>
      </c>
      <c r="AA358" s="31">
        <v>1.4484374999999998</v>
      </c>
      <c r="AB358" s="32" t="s">
        <v>34</v>
      </c>
      <c r="AC358" s="32" t="s">
        <v>40</v>
      </c>
      <c r="AD358" s="32" t="s">
        <v>32</v>
      </c>
      <c r="AE358" s="33">
        <v>0.99060000000000004</v>
      </c>
      <c r="AF358" s="32" t="s">
        <v>251</v>
      </c>
      <c r="AG358" s="32">
        <v>2017</v>
      </c>
      <c r="AH358" s="32" t="s">
        <v>252</v>
      </c>
      <c r="AI358" s="57">
        <v>50</v>
      </c>
      <c r="AJ358" s="2">
        <v>100</v>
      </c>
      <c r="AK358" s="2" t="s">
        <v>34</v>
      </c>
    </row>
    <row r="359" spans="1:37" s="34" customFormat="1" ht="16.2" thickBot="1" x14ac:dyDescent="0.35">
      <c r="A359" s="17">
        <v>9.5732647814909999</v>
      </c>
      <c r="B359" s="17">
        <v>229.14731752710799</v>
      </c>
      <c r="C359" s="14" t="s">
        <v>33</v>
      </c>
      <c r="D359" s="14" t="s">
        <v>35</v>
      </c>
      <c r="E359" s="14" t="s">
        <v>170</v>
      </c>
      <c r="F359" s="14">
        <v>0.154</v>
      </c>
      <c r="G359" s="14">
        <v>0.28799999999999998</v>
      </c>
      <c r="H359" s="14">
        <v>0.22800000000000001</v>
      </c>
      <c r="I359" s="14">
        <v>0.316</v>
      </c>
      <c r="J359" s="14">
        <v>1.55</v>
      </c>
      <c r="K359" s="14">
        <v>1.7</v>
      </c>
      <c r="L359" s="14">
        <v>0</v>
      </c>
      <c r="M359" s="14">
        <v>50</v>
      </c>
      <c r="N359" s="14">
        <v>1399.64</v>
      </c>
      <c r="O359" s="14">
        <v>0.89900000000000002</v>
      </c>
      <c r="P359" s="14">
        <v>0.54900000000000004</v>
      </c>
      <c r="Q359" s="14" t="s">
        <v>34</v>
      </c>
      <c r="R359" s="14">
        <v>2.653</v>
      </c>
      <c r="S359" s="14" t="s">
        <v>34</v>
      </c>
      <c r="T359" s="14" t="s">
        <v>49</v>
      </c>
      <c r="U359" s="14" t="s">
        <v>50</v>
      </c>
      <c r="V359" s="14" t="s">
        <v>162</v>
      </c>
      <c r="W359" s="14" t="s">
        <v>34</v>
      </c>
      <c r="X359" s="14">
        <v>1</v>
      </c>
      <c r="Y359" s="14">
        <v>1</v>
      </c>
      <c r="Z359" s="14" t="s">
        <v>204</v>
      </c>
      <c r="AA359" s="17">
        <v>1.4484374999999998</v>
      </c>
      <c r="AB359" s="14" t="s">
        <v>34</v>
      </c>
      <c r="AC359" s="14" t="s">
        <v>40</v>
      </c>
      <c r="AD359" s="14" t="s">
        <v>32</v>
      </c>
      <c r="AE359" s="14">
        <v>0.99060000000000004</v>
      </c>
      <c r="AF359" s="14" t="s">
        <v>251</v>
      </c>
      <c r="AG359" s="14">
        <v>2017</v>
      </c>
      <c r="AH359" s="14" t="s">
        <v>252</v>
      </c>
      <c r="AI359" s="61">
        <v>50</v>
      </c>
      <c r="AJ359" s="15">
        <v>100</v>
      </c>
      <c r="AK359" s="15" t="s">
        <v>34</v>
      </c>
    </row>
    <row r="360" spans="1:37" x14ac:dyDescent="0.3">
      <c r="A360" s="12">
        <v>1.21</v>
      </c>
      <c r="B360" s="12">
        <v>99</v>
      </c>
      <c r="C360" s="13" t="s">
        <v>33</v>
      </c>
      <c r="D360" s="13" t="s">
        <v>226</v>
      </c>
      <c r="E360" s="13" t="s">
        <v>170</v>
      </c>
      <c r="F360" s="13">
        <v>0.65</v>
      </c>
      <c r="G360" s="13">
        <v>0.72</v>
      </c>
      <c r="H360" s="13" t="s">
        <v>34</v>
      </c>
      <c r="I360" s="13" t="s">
        <v>34</v>
      </c>
      <c r="J360" s="13" t="s">
        <v>34</v>
      </c>
      <c r="K360" s="13" t="s">
        <v>34</v>
      </c>
      <c r="L360" s="13">
        <v>0</v>
      </c>
      <c r="M360" s="13">
        <v>45</v>
      </c>
      <c r="N360" s="13">
        <v>1622</v>
      </c>
      <c r="O360" s="13">
        <v>0.74199999999999999</v>
      </c>
      <c r="P360" s="13">
        <v>0.502</v>
      </c>
      <c r="Q360" s="13">
        <v>0</v>
      </c>
      <c r="R360" s="13">
        <v>2.65</v>
      </c>
      <c r="S360" s="13" t="s">
        <v>34</v>
      </c>
      <c r="T360" s="13" t="s">
        <v>49</v>
      </c>
      <c r="U360" s="13" t="s">
        <v>50</v>
      </c>
      <c r="V360" s="32" t="s">
        <v>162</v>
      </c>
      <c r="W360" s="13">
        <v>4</v>
      </c>
      <c r="X360" s="13">
        <v>1</v>
      </c>
      <c r="Y360" s="13">
        <v>0.67</v>
      </c>
      <c r="Z360" s="13" t="s">
        <v>204</v>
      </c>
      <c r="AA360" s="13">
        <v>0.315</v>
      </c>
      <c r="AB360" s="13" t="s">
        <v>34</v>
      </c>
      <c r="AC360" s="13" t="s">
        <v>40</v>
      </c>
      <c r="AD360" s="32" t="s">
        <v>32</v>
      </c>
      <c r="AE360" s="13">
        <v>0.84509999999999996</v>
      </c>
      <c r="AF360" s="13" t="s">
        <v>238</v>
      </c>
      <c r="AG360" s="13">
        <v>2018</v>
      </c>
      <c r="AH360" s="13" t="s">
        <v>253</v>
      </c>
      <c r="AI360" s="2">
        <v>50</v>
      </c>
      <c r="AJ360" s="2">
        <v>100</v>
      </c>
      <c r="AK360" s="2">
        <v>1.27</v>
      </c>
    </row>
    <row r="361" spans="1:37" x14ac:dyDescent="0.3">
      <c r="A361" s="11">
        <v>2.17</v>
      </c>
      <c r="B361" s="11">
        <v>291</v>
      </c>
      <c r="C361" s="13" t="s">
        <v>33</v>
      </c>
      <c r="D361" s="13" t="s">
        <v>226</v>
      </c>
      <c r="E361" s="13" t="s">
        <v>170</v>
      </c>
      <c r="F361" s="10">
        <v>0.65</v>
      </c>
      <c r="G361" s="10">
        <v>0.72</v>
      </c>
      <c r="H361" s="13" t="s">
        <v>34</v>
      </c>
      <c r="I361" s="13" t="s">
        <v>34</v>
      </c>
      <c r="J361" s="13" t="s">
        <v>34</v>
      </c>
      <c r="K361" s="13" t="s">
        <v>34</v>
      </c>
      <c r="L361" s="13">
        <v>0</v>
      </c>
      <c r="M361" s="10">
        <v>45</v>
      </c>
      <c r="N361" s="13">
        <v>1622</v>
      </c>
      <c r="O361" s="10">
        <v>0.74199999999999999</v>
      </c>
      <c r="P361" s="10">
        <v>0.502</v>
      </c>
      <c r="Q361" s="13">
        <v>0</v>
      </c>
      <c r="R361" s="13">
        <v>2.65</v>
      </c>
      <c r="S361" s="13" t="s">
        <v>34</v>
      </c>
      <c r="T361" s="13" t="s">
        <v>49</v>
      </c>
      <c r="U361" s="13" t="s">
        <v>50</v>
      </c>
      <c r="V361" s="32" t="s">
        <v>162</v>
      </c>
      <c r="W361" s="10">
        <v>4</v>
      </c>
      <c r="X361" s="13">
        <v>1</v>
      </c>
      <c r="Y361" s="13">
        <v>0.67</v>
      </c>
      <c r="Z361" s="13" t="s">
        <v>204</v>
      </c>
      <c r="AA361" s="13">
        <v>0.315</v>
      </c>
      <c r="AB361" s="13" t="s">
        <v>34</v>
      </c>
      <c r="AC361" s="13" t="s">
        <v>40</v>
      </c>
      <c r="AD361" s="32" t="s">
        <v>32</v>
      </c>
      <c r="AE361" s="13">
        <v>0.84509999999999996</v>
      </c>
      <c r="AF361" s="13" t="s">
        <v>238</v>
      </c>
      <c r="AG361" s="13">
        <v>2018</v>
      </c>
      <c r="AH361" s="13" t="s">
        <v>253</v>
      </c>
      <c r="AI361" s="2">
        <v>50</v>
      </c>
      <c r="AJ361" s="2">
        <v>100</v>
      </c>
      <c r="AK361" s="2">
        <v>1.27</v>
      </c>
    </row>
    <row r="362" spans="1:37" x14ac:dyDescent="0.3">
      <c r="A362" s="31">
        <v>3.05</v>
      </c>
      <c r="B362" s="31">
        <v>430</v>
      </c>
      <c r="C362" s="32" t="s">
        <v>33</v>
      </c>
      <c r="D362" s="13" t="s">
        <v>226</v>
      </c>
      <c r="E362" s="32" t="s">
        <v>170</v>
      </c>
      <c r="F362" s="33">
        <v>0.65</v>
      </c>
      <c r="G362" s="33">
        <v>0.72</v>
      </c>
      <c r="H362" s="32" t="s">
        <v>34</v>
      </c>
      <c r="I362" s="32" t="s">
        <v>34</v>
      </c>
      <c r="J362" s="32" t="s">
        <v>34</v>
      </c>
      <c r="K362" s="32" t="s">
        <v>34</v>
      </c>
      <c r="L362" s="32">
        <v>0</v>
      </c>
      <c r="M362" s="33">
        <v>45</v>
      </c>
      <c r="N362" s="32">
        <v>1622</v>
      </c>
      <c r="O362" s="33">
        <v>0.74199999999999999</v>
      </c>
      <c r="P362" s="33">
        <v>0.502</v>
      </c>
      <c r="Q362" s="32">
        <v>0</v>
      </c>
      <c r="R362" s="32">
        <v>2.65</v>
      </c>
      <c r="S362" s="32" t="s">
        <v>34</v>
      </c>
      <c r="T362" s="32" t="s">
        <v>49</v>
      </c>
      <c r="U362" s="32" t="s">
        <v>50</v>
      </c>
      <c r="V362" s="32" t="s">
        <v>162</v>
      </c>
      <c r="W362" s="33">
        <v>4</v>
      </c>
      <c r="X362" s="32">
        <v>1</v>
      </c>
      <c r="Y362" s="32">
        <v>0.67</v>
      </c>
      <c r="Z362" s="32" t="s">
        <v>204</v>
      </c>
      <c r="AA362" s="32">
        <v>0.315</v>
      </c>
      <c r="AB362" s="32" t="s">
        <v>34</v>
      </c>
      <c r="AC362" s="32" t="s">
        <v>40</v>
      </c>
      <c r="AD362" s="32" t="s">
        <v>32</v>
      </c>
      <c r="AE362" s="32">
        <v>0.84509999999999996</v>
      </c>
      <c r="AF362" s="32" t="s">
        <v>238</v>
      </c>
      <c r="AG362" s="32">
        <v>2018</v>
      </c>
      <c r="AH362" s="32" t="s">
        <v>253</v>
      </c>
      <c r="AI362" s="2">
        <v>50</v>
      </c>
      <c r="AJ362" s="2">
        <v>100</v>
      </c>
      <c r="AK362" s="2">
        <v>1.27</v>
      </c>
    </row>
    <row r="363" spans="1:37" s="34" customFormat="1" ht="16.2" thickBot="1" x14ac:dyDescent="0.35">
      <c r="A363" s="17">
        <v>3.64</v>
      </c>
      <c r="B363" s="17">
        <v>1268</v>
      </c>
      <c r="C363" s="14" t="s">
        <v>33</v>
      </c>
      <c r="D363" s="13" t="s">
        <v>226</v>
      </c>
      <c r="E363" s="14" t="s">
        <v>170</v>
      </c>
      <c r="F363" s="14">
        <v>0.65</v>
      </c>
      <c r="G363" s="14">
        <v>0.72</v>
      </c>
      <c r="H363" s="14" t="s">
        <v>34</v>
      </c>
      <c r="I363" s="14" t="s">
        <v>34</v>
      </c>
      <c r="J363" s="14" t="s">
        <v>34</v>
      </c>
      <c r="K363" s="14" t="s">
        <v>34</v>
      </c>
      <c r="L363" s="14">
        <v>0</v>
      </c>
      <c r="M363" s="14">
        <v>45</v>
      </c>
      <c r="N363" s="14">
        <v>1622</v>
      </c>
      <c r="O363" s="14">
        <v>0.74199999999999999</v>
      </c>
      <c r="P363" s="14">
        <v>0.502</v>
      </c>
      <c r="Q363" s="14">
        <v>0</v>
      </c>
      <c r="R363" s="14">
        <v>2.65</v>
      </c>
      <c r="S363" s="14" t="s">
        <v>34</v>
      </c>
      <c r="T363" s="14" t="s">
        <v>49</v>
      </c>
      <c r="U363" s="14" t="s">
        <v>50</v>
      </c>
      <c r="V363" s="14" t="s">
        <v>162</v>
      </c>
      <c r="W363" s="14">
        <v>4</v>
      </c>
      <c r="X363" s="14">
        <v>1</v>
      </c>
      <c r="Y363" s="14">
        <v>0.67</v>
      </c>
      <c r="Z363" s="14" t="s">
        <v>204</v>
      </c>
      <c r="AA363" s="14">
        <v>0.315</v>
      </c>
      <c r="AB363" s="14" t="s">
        <v>34</v>
      </c>
      <c r="AC363" s="14" t="s">
        <v>40</v>
      </c>
      <c r="AD363" s="14" t="s">
        <v>32</v>
      </c>
      <c r="AE363" s="14">
        <v>0.84509999999999996</v>
      </c>
      <c r="AF363" s="14" t="s">
        <v>238</v>
      </c>
      <c r="AG363" s="14">
        <v>2018</v>
      </c>
      <c r="AH363" s="14" t="s">
        <v>253</v>
      </c>
      <c r="AI363" s="61">
        <v>50</v>
      </c>
      <c r="AJ363" s="15">
        <v>100</v>
      </c>
      <c r="AK363" s="15">
        <v>1.27</v>
      </c>
    </row>
    <row r="364" spans="1:37" x14ac:dyDescent="0.3">
      <c r="A364" s="12">
        <v>2.23</v>
      </c>
      <c r="B364" s="12">
        <v>600</v>
      </c>
      <c r="C364" s="13" t="s">
        <v>33</v>
      </c>
      <c r="D364" s="13" t="s">
        <v>35</v>
      </c>
      <c r="E364" s="13" t="s">
        <v>170</v>
      </c>
      <c r="F364" s="13">
        <v>0.57999999999999996</v>
      </c>
      <c r="G364" s="13">
        <v>0.72</v>
      </c>
      <c r="H364" s="13" t="s">
        <v>34</v>
      </c>
      <c r="I364" s="13" t="s">
        <v>34</v>
      </c>
      <c r="J364" s="13" t="s">
        <v>34</v>
      </c>
      <c r="K364" s="13" t="s">
        <v>34</v>
      </c>
      <c r="L364" s="13">
        <v>0</v>
      </c>
      <c r="M364" s="13">
        <f>IF(O364="NA","NA",63.04)</f>
        <v>63.04</v>
      </c>
      <c r="N364" s="13" t="s">
        <v>34</v>
      </c>
      <c r="O364" s="13">
        <f>IF(C364="SP",0.74,"NA")</f>
        <v>0.74</v>
      </c>
      <c r="P364" s="13">
        <f>IF(C364="SP",0.51,"NA")</f>
        <v>0.51</v>
      </c>
      <c r="Q364" s="13">
        <v>0</v>
      </c>
      <c r="R364" s="13">
        <f>IF(C364="SP",2.65, "NA")</f>
        <v>2.65</v>
      </c>
      <c r="S364" s="36">
        <v>1.01E-3</v>
      </c>
      <c r="T364" s="13" t="s">
        <v>49</v>
      </c>
      <c r="U364" s="13" t="s">
        <v>199</v>
      </c>
      <c r="V364" s="13" t="s">
        <v>162</v>
      </c>
      <c r="W364" s="13">
        <v>8</v>
      </c>
      <c r="X364" s="13">
        <v>0.3</v>
      </c>
      <c r="Y364" s="13">
        <v>1</v>
      </c>
      <c r="Z364" s="13" t="s">
        <v>200</v>
      </c>
      <c r="AA364" s="13">
        <v>0.27</v>
      </c>
      <c r="AB364" s="13" t="s">
        <v>34</v>
      </c>
      <c r="AC364" s="13" t="s">
        <v>40</v>
      </c>
      <c r="AD364" s="13" t="s">
        <v>32</v>
      </c>
      <c r="AE364" s="13">
        <f>IF(C364="SP",0.092,IF(C364="SP-SM",0.422,0.71))</f>
        <v>9.1999999999999998E-2</v>
      </c>
      <c r="AF364" s="13" t="s">
        <v>201</v>
      </c>
      <c r="AG364" s="13">
        <v>2019</v>
      </c>
      <c r="AH364" s="13" t="s">
        <v>259</v>
      </c>
      <c r="AI364" s="2">
        <v>50</v>
      </c>
      <c r="AJ364" s="2">
        <v>100</v>
      </c>
      <c r="AK364" s="2">
        <v>2</v>
      </c>
    </row>
    <row r="365" spans="1:37" x14ac:dyDescent="0.3">
      <c r="A365" s="11">
        <v>4.0999999999999996</v>
      </c>
      <c r="B365" s="11">
        <v>394</v>
      </c>
      <c r="C365" s="10" t="s">
        <v>254</v>
      </c>
      <c r="D365" s="10" t="s">
        <v>257</v>
      </c>
      <c r="E365" s="13" t="s">
        <v>170</v>
      </c>
      <c r="F365" s="10">
        <v>0.06</v>
      </c>
      <c r="G365" s="10">
        <v>0.7</v>
      </c>
      <c r="H365" s="13" t="s">
        <v>34</v>
      </c>
      <c r="I365" s="13" t="s">
        <v>34</v>
      </c>
      <c r="J365" s="13" t="s">
        <v>34</v>
      </c>
      <c r="K365" s="13" t="s">
        <v>34</v>
      </c>
      <c r="L365" s="10">
        <v>10</v>
      </c>
      <c r="M365" s="13" t="str">
        <f t="shared" ref="M365:M381" si="5">IF(O365="NA","NA",63.04)</f>
        <v>NA</v>
      </c>
      <c r="N365" s="13" t="s">
        <v>34</v>
      </c>
      <c r="O365" s="13" t="str">
        <f t="shared" ref="O365:O381" si="6">IF(C365="SP",0.74,"NA")</f>
        <v>NA</v>
      </c>
      <c r="P365" s="13" t="str">
        <f t="shared" ref="P365:P381" si="7">IF(C365="SP",0.51,"NA")</f>
        <v>NA</v>
      </c>
      <c r="Q365" s="13">
        <v>0</v>
      </c>
      <c r="R365" s="13" t="str">
        <f t="shared" ref="R365:R375" si="8">IF(C365="SP",2.65, "NA")</f>
        <v>NA</v>
      </c>
      <c r="S365" s="36">
        <v>6.4100000000000008E-4</v>
      </c>
      <c r="T365" s="13" t="s">
        <v>49</v>
      </c>
      <c r="U365" s="13" t="s">
        <v>199</v>
      </c>
      <c r="V365" s="13" t="s">
        <v>162</v>
      </c>
      <c r="W365" s="10">
        <v>8</v>
      </c>
      <c r="X365" s="13">
        <v>0.3</v>
      </c>
      <c r="Y365" s="13">
        <v>1</v>
      </c>
      <c r="Z365" s="13" t="s">
        <v>200</v>
      </c>
      <c r="AA365" s="13">
        <v>0.27</v>
      </c>
      <c r="AB365" s="13" t="s">
        <v>34</v>
      </c>
      <c r="AC365" s="13" t="s">
        <v>40</v>
      </c>
      <c r="AD365" s="13" t="s">
        <v>32</v>
      </c>
      <c r="AE365" s="13">
        <f t="shared" ref="AE365:AE375" si="9">IF(C365="SP",0.092,IF(C365="SP-SM",0.422,0.71))</f>
        <v>0.42199999999999999</v>
      </c>
      <c r="AF365" s="13" t="s">
        <v>201</v>
      </c>
      <c r="AG365" s="13">
        <v>2019</v>
      </c>
      <c r="AH365" s="13" t="s">
        <v>259</v>
      </c>
      <c r="AI365" s="2">
        <v>50</v>
      </c>
      <c r="AJ365" s="2">
        <v>100</v>
      </c>
      <c r="AK365" s="2">
        <v>2</v>
      </c>
    </row>
    <row r="366" spans="1:37" x14ac:dyDescent="0.3">
      <c r="A366" s="11">
        <v>5.47</v>
      </c>
      <c r="B366" s="11">
        <v>231</v>
      </c>
      <c r="C366" s="10" t="s">
        <v>255</v>
      </c>
      <c r="D366" s="10" t="s">
        <v>258</v>
      </c>
      <c r="E366" s="13" t="s">
        <v>170</v>
      </c>
      <c r="F366" s="10">
        <v>2.8000000000000001E-2</v>
      </c>
      <c r="G366" s="10">
        <v>0.67</v>
      </c>
      <c r="H366" s="13" t="s">
        <v>34</v>
      </c>
      <c r="I366" s="13" t="s">
        <v>34</v>
      </c>
      <c r="J366" s="13" t="s">
        <v>34</v>
      </c>
      <c r="K366" s="13" t="s">
        <v>34</v>
      </c>
      <c r="L366" s="10">
        <v>20</v>
      </c>
      <c r="M366" s="13" t="str">
        <f t="shared" si="5"/>
        <v>NA</v>
      </c>
      <c r="N366" s="13" t="s">
        <v>34</v>
      </c>
      <c r="O366" s="13" t="str">
        <f t="shared" si="6"/>
        <v>NA</v>
      </c>
      <c r="P366" s="13" t="str">
        <f t="shared" si="7"/>
        <v>NA</v>
      </c>
      <c r="Q366" s="13">
        <v>0</v>
      </c>
      <c r="R366" s="13" t="str">
        <f t="shared" si="8"/>
        <v>NA</v>
      </c>
      <c r="S366" s="36">
        <v>2.5600000000000004E-4</v>
      </c>
      <c r="T366" s="13" t="s">
        <v>49</v>
      </c>
      <c r="U366" s="13" t="s">
        <v>199</v>
      </c>
      <c r="V366" s="13" t="s">
        <v>162</v>
      </c>
      <c r="W366" s="10">
        <v>8</v>
      </c>
      <c r="X366" s="13">
        <v>0.3</v>
      </c>
      <c r="Y366" s="13">
        <v>1</v>
      </c>
      <c r="Z366" s="13" t="s">
        <v>200</v>
      </c>
      <c r="AA366" s="13">
        <v>0.27</v>
      </c>
      <c r="AB366" s="13" t="s">
        <v>34</v>
      </c>
      <c r="AC366" s="13" t="s">
        <v>40</v>
      </c>
      <c r="AD366" s="13" t="s">
        <v>32</v>
      </c>
      <c r="AE366" s="13">
        <f t="shared" si="9"/>
        <v>0.71</v>
      </c>
      <c r="AF366" s="13" t="s">
        <v>201</v>
      </c>
      <c r="AG366" s="13">
        <v>2019</v>
      </c>
      <c r="AH366" s="13" t="s">
        <v>259</v>
      </c>
      <c r="AI366" s="2">
        <v>50</v>
      </c>
      <c r="AJ366" s="2">
        <v>100</v>
      </c>
      <c r="AK366" s="2">
        <v>2</v>
      </c>
    </row>
    <row r="367" spans="1:37" x14ac:dyDescent="0.3">
      <c r="A367" s="11">
        <v>5.23</v>
      </c>
      <c r="B367" s="11">
        <v>1340</v>
      </c>
      <c r="C367" s="10" t="s">
        <v>33</v>
      </c>
      <c r="D367" s="13" t="s">
        <v>35</v>
      </c>
      <c r="E367" s="13" t="s">
        <v>170</v>
      </c>
      <c r="F367" s="10">
        <v>0.57999999999999996</v>
      </c>
      <c r="G367" s="10">
        <v>0.72</v>
      </c>
      <c r="H367" s="13" t="s">
        <v>34</v>
      </c>
      <c r="I367" s="13" t="s">
        <v>34</v>
      </c>
      <c r="J367" s="13" t="s">
        <v>34</v>
      </c>
      <c r="K367" s="13" t="s">
        <v>34</v>
      </c>
      <c r="L367" s="10">
        <v>0</v>
      </c>
      <c r="M367" s="13">
        <f t="shared" si="5"/>
        <v>63.04</v>
      </c>
      <c r="N367" s="13" t="s">
        <v>34</v>
      </c>
      <c r="O367" s="13">
        <f t="shared" si="6"/>
        <v>0.74</v>
      </c>
      <c r="P367" s="13">
        <f t="shared" si="7"/>
        <v>0.51</v>
      </c>
      <c r="Q367" s="13">
        <v>0</v>
      </c>
      <c r="R367" s="13">
        <f t="shared" si="8"/>
        <v>2.65</v>
      </c>
      <c r="S367" s="36">
        <v>1.01E-3</v>
      </c>
      <c r="T367" s="13" t="s">
        <v>49</v>
      </c>
      <c r="U367" s="13" t="s">
        <v>199</v>
      </c>
      <c r="V367" s="13" t="s">
        <v>162</v>
      </c>
      <c r="W367" s="10">
        <v>12</v>
      </c>
      <c r="X367" s="13">
        <v>0.3</v>
      </c>
      <c r="Y367" s="13">
        <v>1</v>
      </c>
      <c r="Z367" s="13" t="s">
        <v>200</v>
      </c>
      <c r="AA367" s="13">
        <v>0.27</v>
      </c>
      <c r="AB367" s="13" t="s">
        <v>34</v>
      </c>
      <c r="AC367" s="13" t="s">
        <v>40</v>
      </c>
      <c r="AD367" s="13" t="s">
        <v>32</v>
      </c>
      <c r="AE367" s="13">
        <f t="shared" si="9"/>
        <v>9.1999999999999998E-2</v>
      </c>
      <c r="AF367" s="13" t="s">
        <v>201</v>
      </c>
      <c r="AG367" s="13">
        <v>2019</v>
      </c>
      <c r="AH367" s="13" t="s">
        <v>259</v>
      </c>
      <c r="AI367" s="2">
        <v>50</v>
      </c>
      <c r="AJ367" s="2">
        <v>100</v>
      </c>
      <c r="AK367" s="2">
        <v>2</v>
      </c>
    </row>
    <row r="368" spans="1:37" x14ac:dyDescent="0.3">
      <c r="A368" s="11">
        <v>11.74</v>
      </c>
      <c r="B368" s="11">
        <v>972</v>
      </c>
      <c r="C368" s="10" t="s">
        <v>254</v>
      </c>
      <c r="D368" s="10" t="s">
        <v>257</v>
      </c>
      <c r="E368" s="13" t="s">
        <v>170</v>
      </c>
      <c r="F368" s="10">
        <v>0.06</v>
      </c>
      <c r="G368" s="10">
        <v>0.7</v>
      </c>
      <c r="H368" s="13" t="s">
        <v>34</v>
      </c>
      <c r="I368" s="13" t="s">
        <v>34</v>
      </c>
      <c r="J368" s="13" t="s">
        <v>34</v>
      </c>
      <c r="K368" s="13" t="s">
        <v>34</v>
      </c>
      <c r="L368" s="10">
        <v>10</v>
      </c>
      <c r="M368" s="13" t="str">
        <f t="shared" si="5"/>
        <v>NA</v>
      </c>
      <c r="N368" s="13" t="s">
        <v>34</v>
      </c>
      <c r="O368" s="13" t="str">
        <f t="shared" si="6"/>
        <v>NA</v>
      </c>
      <c r="P368" s="13" t="str">
        <f t="shared" si="7"/>
        <v>NA</v>
      </c>
      <c r="Q368" s="13">
        <v>0</v>
      </c>
      <c r="R368" s="13" t="str">
        <f t="shared" si="8"/>
        <v>NA</v>
      </c>
      <c r="S368" s="36">
        <v>6.4100000000000008E-4</v>
      </c>
      <c r="T368" s="13" t="s">
        <v>49</v>
      </c>
      <c r="U368" s="13" t="s">
        <v>199</v>
      </c>
      <c r="V368" s="13" t="s">
        <v>162</v>
      </c>
      <c r="W368" s="10">
        <v>12</v>
      </c>
      <c r="X368" s="13">
        <v>0.3</v>
      </c>
      <c r="Y368" s="13">
        <v>1</v>
      </c>
      <c r="Z368" s="13" t="s">
        <v>200</v>
      </c>
      <c r="AA368" s="13">
        <v>0.27</v>
      </c>
      <c r="AB368" s="13" t="s">
        <v>34</v>
      </c>
      <c r="AC368" s="13" t="s">
        <v>40</v>
      </c>
      <c r="AD368" s="13" t="s">
        <v>32</v>
      </c>
      <c r="AE368" s="13">
        <f t="shared" si="9"/>
        <v>0.42199999999999999</v>
      </c>
      <c r="AF368" s="13" t="s">
        <v>201</v>
      </c>
      <c r="AG368" s="13">
        <v>2019</v>
      </c>
      <c r="AH368" s="13" t="s">
        <v>259</v>
      </c>
      <c r="AI368" s="2">
        <v>50</v>
      </c>
      <c r="AJ368" s="2">
        <v>100</v>
      </c>
      <c r="AK368" s="2">
        <v>2</v>
      </c>
    </row>
    <row r="369" spans="1:37" x14ac:dyDescent="0.3">
      <c r="A369" s="11">
        <v>12.87</v>
      </c>
      <c r="B369" s="11">
        <v>711</v>
      </c>
      <c r="C369" s="10" t="s">
        <v>255</v>
      </c>
      <c r="D369" s="10" t="s">
        <v>258</v>
      </c>
      <c r="E369" s="13" t="s">
        <v>170</v>
      </c>
      <c r="F369" s="10">
        <v>2.8000000000000001E-2</v>
      </c>
      <c r="G369" s="10">
        <v>0.67</v>
      </c>
      <c r="H369" s="13" t="s">
        <v>34</v>
      </c>
      <c r="I369" s="13" t="s">
        <v>34</v>
      </c>
      <c r="J369" s="13" t="s">
        <v>34</v>
      </c>
      <c r="K369" s="13" t="s">
        <v>34</v>
      </c>
      <c r="L369" s="10">
        <v>20</v>
      </c>
      <c r="M369" s="13" t="str">
        <f t="shared" si="5"/>
        <v>NA</v>
      </c>
      <c r="N369" s="13" t="s">
        <v>34</v>
      </c>
      <c r="O369" s="13" t="str">
        <f t="shared" si="6"/>
        <v>NA</v>
      </c>
      <c r="P369" s="13" t="str">
        <f t="shared" si="7"/>
        <v>NA</v>
      </c>
      <c r="Q369" s="13">
        <v>0</v>
      </c>
      <c r="R369" s="13" t="str">
        <f t="shared" si="8"/>
        <v>NA</v>
      </c>
      <c r="S369" s="36">
        <v>2.5600000000000004E-4</v>
      </c>
      <c r="T369" s="13" t="s">
        <v>49</v>
      </c>
      <c r="U369" s="13" t="s">
        <v>199</v>
      </c>
      <c r="V369" s="13" t="s">
        <v>162</v>
      </c>
      <c r="W369" s="10">
        <v>12</v>
      </c>
      <c r="X369" s="13">
        <v>0.3</v>
      </c>
      <c r="Y369" s="13">
        <v>1</v>
      </c>
      <c r="Z369" s="13" t="s">
        <v>200</v>
      </c>
      <c r="AA369" s="13">
        <v>0.27</v>
      </c>
      <c r="AB369" s="13" t="s">
        <v>34</v>
      </c>
      <c r="AC369" s="13" t="s">
        <v>40</v>
      </c>
      <c r="AD369" s="13" t="s">
        <v>32</v>
      </c>
      <c r="AE369" s="13">
        <f t="shared" si="9"/>
        <v>0.71</v>
      </c>
      <c r="AF369" s="13" t="s">
        <v>201</v>
      </c>
      <c r="AG369" s="13">
        <v>2019</v>
      </c>
      <c r="AH369" s="13" t="s">
        <v>259</v>
      </c>
      <c r="AI369" s="2">
        <v>50</v>
      </c>
      <c r="AJ369" s="2">
        <v>100</v>
      </c>
      <c r="AK369" s="2">
        <v>2</v>
      </c>
    </row>
    <row r="370" spans="1:37" x14ac:dyDescent="0.3">
      <c r="A370" s="11">
        <v>7.12</v>
      </c>
      <c r="B370" s="11">
        <v>1691</v>
      </c>
      <c r="C370" s="10" t="s">
        <v>33</v>
      </c>
      <c r="D370" s="10" t="s">
        <v>35</v>
      </c>
      <c r="E370" s="13" t="s">
        <v>170</v>
      </c>
      <c r="F370" s="10">
        <v>0.57999999999999996</v>
      </c>
      <c r="G370" s="10">
        <v>0.72</v>
      </c>
      <c r="H370" s="13" t="s">
        <v>34</v>
      </c>
      <c r="I370" s="13" t="s">
        <v>34</v>
      </c>
      <c r="J370" s="13" t="s">
        <v>34</v>
      </c>
      <c r="K370" s="13" t="s">
        <v>34</v>
      </c>
      <c r="L370" s="10">
        <v>0</v>
      </c>
      <c r="M370" s="13">
        <f t="shared" si="5"/>
        <v>63.04</v>
      </c>
      <c r="N370" s="13" t="s">
        <v>34</v>
      </c>
      <c r="O370" s="13">
        <f t="shared" si="6"/>
        <v>0.74</v>
      </c>
      <c r="P370" s="13">
        <f t="shared" si="7"/>
        <v>0.51</v>
      </c>
      <c r="Q370" s="13">
        <v>0</v>
      </c>
      <c r="R370" s="13">
        <f t="shared" si="8"/>
        <v>2.65</v>
      </c>
      <c r="S370" s="36">
        <v>1.01E-3</v>
      </c>
      <c r="T370" s="13" t="s">
        <v>49</v>
      </c>
      <c r="U370" s="13" t="s">
        <v>199</v>
      </c>
      <c r="V370" s="13" t="s">
        <v>162</v>
      </c>
      <c r="W370" s="10">
        <v>16</v>
      </c>
      <c r="X370" s="13">
        <v>0.3</v>
      </c>
      <c r="Y370" s="13">
        <v>1</v>
      </c>
      <c r="Z370" s="13" t="s">
        <v>200</v>
      </c>
      <c r="AA370" s="13">
        <v>0.27</v>
      </c>
      <c r="AB370" s="13" t="s">
        <v>34</v>
      </c>
      <c r="AC370" s="13" t="s">
        <v>40</v>
      </c>
      <c r="AD370" s="13" t="s">
        <v>32</v>
      </c>
      <c r="AE370" s="13">
        <f t="shared" si="9"/>
        <v>9.1999999999999998E-2</v>
      </c>
      <c r="AF370" s="13" t="s">
        <v>201</v>
      </c>
      <c r="AG370" s="13">
        <v>2019</v>
      </c>
      <c r="AH370" s="13" t="s">
        <v>259</v>
      </c>
      <c r="AI370" s="2">
        <v>50</v>
      </c>
      <c r="AJ370" s="2">
        <v>100</v>
      </c>
      <c r="AK370" s="2">
        <v>2</v>
      </c>
    </row>
    <row r="371" spans="1:37" x14ac:dyDescent="0.3">
      <c r="A371" s="11">
        <v>12.59</v>
      </c>
      <c r="B371" s="11">
        <v>1118</v>
      </c>
      <c r="C371" s="10" t="s">
        <v>254</v>
      </c>
      <c r="D371" s="10" t="s">
        <v>257</v>
      </c>
      <c r="E371" s="13" t="s">
        <v>170</v>
      </c>
      <c r="F371" s="10">
        <v>0.06</v>
      </c>
      <c r="G371" s="10">
        <v>0.7</v>
      </c>
      <c r="H371" s="13" t="s">
        <v>34</v>
      </c>
      <c r="I371" s="13" t="s">
        <v>34</v>
      </c>
      <c r="J371" s="13" t="s">
        <v>34</v>
      </c>
      <c r="K371" s="13" t="s">
        <v>34</v>
      </c>
      <c r="L371" s="10">
        <v>10</v>
      </c>
      <c r="M371" s="13" t="str">
        <f t="shared" si="5"/>
        <v>NA</v>
      </c>
      <c r="N371" s="13" t="s">
        <v>34</v>
      </c>
      <c r="O371" s="13" t="str">
        <f t="shared" si="6"/>
        <v>NA</v>
      </c>
      <c r="P371" s="13" t="str">
        <f t="shared" si="7"/>
        <v>NA</v>
      </c>
      <c r="Q371" s="13">
        <v>0</v>
      </c>
      <c r="R371" s="13" t="str">
        <f t="shared" si="8"/>
        <v>NA</v>
      </c>
      <c r="S371" s="36">
        <v>6.4100000000000008E-4</v>
      </c>
      <c r="T371" s="13" t="s">
        <v>49</v>
      </c>
      <c r="U371" s="13" t="s">
        <v>199</v>
      </c>
      <c r="V371" s="13" t="s">
        <v>162</v>
      </c>
      <c r="W371" s="10">
        <v>16</v>
      </c>
      <c r="X371" s="13">
        <v>0.3</v>
      </c>
      <c r="Y371" s="13">
        <v>1</v>
      </c>
      <c r="Z371" s="13" t="s">
        <v>200</v>
      </c>
      <c r="AA371" s="13">
        <v>0.27</v>
      </c>
      <c r="AB371" s="13" t="s">
        <v>34</v>
      </c>
      <c r="AC371" s="13" t="s">
        <v>40</v>
      </c>
      <c r="AD371" s="13" t="s">
        <v>32</v>
      </c>
      <c r="AE371" s="13">
        <f t="shared" si="9"/>
        <v>0.42199999999999999</v>
      </c>
      <c r="AF371" s="13" t="s">
        <v>201</v>
      </c>
      <c r="AG371" s="13">
        <v>2019</v>
      </c>
      <c r="AH371" s="13" t="s">
        <v>259</v>
      </c>
      <c r="AI371" s="2">
        <v>50</v>
      </c>
      <c r="AJ371" s="2">
        <v>100</v>
      </c>
      <c r="AK371" s="2">
        <v>2</v>
      </c>
    </row>
    <row r="372" spans="1:37" x14ac:dyDescent="0.3">
      <c r="A372" s="11">
        <v>13.15</v>
      </c>
      <c r="B372" s="11">
        <v>842</v>
      </c>
      <c r="C372" s="10" t="s">
        <v>255</v>
      </c>
      <c r="D372" s="13" t="s">
        <v>258</v>
      </c>
      <c r="E372" s="13" t="s">
        <v>170</v>
      </c>
      <c r="F372" s="10">
        <v>2.8000000000000001E-2</v>
      </c>
      <c r="G372" s="10">
        <v>0.67</v>
      </c>
      <c r="H372" s="13" t="s">
        <v>34</v>
      </c>
      <c r="I372" s="13" t="s">
        <v>34</v>
      </c>
      <c r="J372" s="13" t="s">
        <v>34</v>
      </c>
      <c r="K372" s="13" t="s">
        <v>34</v>
      </c>
      <c r="L372" s="10">
        <v>20</v>
      </c>
      <c r="M372" s="13" t="str">
        <f t="shared" si="5"/>
        <v>NA</v>
      </c>
      <c r="N372" s="13" t="s">
        <v>34</v>
      </c>
      <c r="O372" s="13" t="str">
        <f t="shared" si="6"/>
        <v>NA</v>
      </c>
      <c r="P372" s="13" t="str">
        <f t="shared" si="7"/>
        <v>NA</v>
      </c>
      <c r="Q372" s="13">
        <v>0</v>
      </c>
      <c r="R372" s="13" t="str">
        <f t="shared" si="8"/>
        <v>NA</v>
      </c>
      <c r="S372" s="36">
        <v>2.5600000000000004E-4</v>
      </c>
      <c r="T372" s="13" t="s">
        <v>49</v>
      </c>
      <c r="U372" s="13" t="s">
        <v>199</v>
      </c>
      <c r="V372" s="13" t="s">
        <v>162</v>
      </c>
      <c r="W372" s="10">
        <v>16</v>
      </c>
      <c r="X372" s="13">
        <v>0.3</v>
      </c>
      <c r="Y372" s="13">
        <v>1</v>
      </c>
      <c r="Z372" s="13" t="s">
        <v>200</v>
      </c>
      <c r="AA372" s="13">
        <v>0.27</v>
      </c>
      <c r="AB372" s="13" t="s">
        <v>34</v>
      </c>
      <c r="AC372" s="13" t="s">
        <v>40</v>
      </c>
      <c r="AD372" s="13" t="s">
        <v>32</v>
      </c>
      <c r="AE372" s="13">
        <f t="shared" si="9"/>
        <v>0.71</v>
      </c>
      <c r="AF372" s="13" t="s">
        <v>201</v>
      </c>
      <c r="AG372" s="13">
        <v>2019</v>
      </c>
      <c r="AH372" s="13" t="s">
        <v>259</v>
      </c>
      <c r="AI372" s="2">
        <v>50</v>
      </c>
      <c r="AJ372" s="2">
        <v>100</v>
      </c>
      <c r="AK372" s="2">
        <v>2</v>
      </c>
    </row>
    <row r="373" spans="1:37" x14ac:dyDescent="0.3">
      <c r="A373" s="11">
        <v>5.69</v>
      </c>
      <c r="B373" s="11">
        <v>742</v>
      </c>
      <c r="C373" s="10" t="s">
        <v>33</v>
      </c>
      <c r="D373" s="10" t="s">
        <v>35</v>
      </c>
      <c r="E373" s="13" t="s">
        <v>170</v>
      </c>
      <c r="F373" s="10">
        <v>0.57999999999999996</v>
      </c>
      <c r="G373" s="10">
        <v>0.72</v>
      </c>
      <c r="H373" s="13" t="s">
        <v>34</v>
      </c>
      <c r="I373" s="13" t="s">
        <v>34</v>
      </c>
      <c r="J373" s="13" t="s">
        <v>34</v>
      </c>
      <c r="K373" s="13" t="s">
        <v>34</v>
      </c>
      <c r="L373" s="10">
        <v>0</v>
      </c>
      <c r="M373" s="13">
        <f t="shared" si="5"/>
        <v>63.04</v>
      </c>
      <c r="N373" s="13" t="s">
        <v>34</v>
      </c>
      <c r="O373" s="13">
        <f t="shared" si="6"/>
        <v>0.74</v>
      </c>
      <c r="P373" s="13">
        <f t="shared" si="7"/>
        <v>0.51</v>
      </c>
      <c r="Q373" s="13">
        <v>0</v>
      </c>
      <c r="R373" s="13">
        <f t="shared" si="8"/>
        <v>2.65</v>
      </c>
      <c r="S373" s="36">
        <v>1.01E-3</v>
      </c>
      <c r="T373" s="10" t="s">
        <v>36</v>
      </c>
      <c r="U373" s="13" t="s">
        <v>37</v>
      </c>
      <c r="V373" s="13" t="s">
        <v>162</v>
      </c>
      <c r="W373" s="10">
        <v>8</v>
      </c>
      <c r="X373" s="13">
        <v>0.3</v>
      </c>
      <c r="Y373" s="13">
        <v>1</v>
      </c>
      <c r="Z373" s="13" t="s">
        <v>200</v>
      </c>
      <c r="AA373" s="13">
        <v>0.27</v>
      </c>
      <c r="AB373" s="13" t="s">
        <v>34</v>
      </c>
      <c r="AC373" s="13" t="s">
        <v>40</v>
      </c>
      <c r="AD373" s="13" t="s">
        <v>32</v>
      </c>
      <c r="AE373" s="13">
        <f t="shared" si="9"/>
        <v>9.1999999999999998E-2</v>
      </c>
      <c r="AF373" s="13" t="s">
        <v>201</v>
      </c>
      <c r="AG373" s="13">
        <v>2019</v>
      </c>
      <c r="AH373" s="13" t="s">
        <v>259</v>
      </c>
      <c r="AI373" s="2">
        <v>50</v>
      </c>
      <c r="AJ373" s="2">
        <v>100</v>
      </c>
      <c r="AK373" s="2">
        <v>2</v>
      </c>
    </row>
    <row r="374" spans="1:37" x14ac:dyDescent="0.3">
      <c r="A374" s="31">
        <v>11.04</v>
      </c>
      <c r="B374" s="31">
        <v>1662</v>
      </c>
      <c r="C374" s="33" t="s">
        <v>33</v>
      </c>
      <c r="D374" s="33" t="s">
        <v>35</v>
      </c>
      <c r="E374" s="32" t="s">
        <v>170</v>
      </c>
      <c r="F374" s="33">
        <v>0.57999999999999996</v>
      </c>
      <c r="G374" s="33">
        <v>0.72</v>
      </c>
      <c r="H374" s="32" t="s">
        <v>34</v>
      </c>
      <c r="I374" s="32" t="s">
        <v>34</v>
      </c>
      <c r="J374" s="32" t="s">
        <v>34</v>
      </c>
      <c r="K374" s="32" t="s">
        <v>34</v>
      </c>
      <c r="L374" s="33">
        <v>0</v>
      </c>
      <c r="M374" s="32">
        <f t="shared" si="5"/>
        <v>63.04</v>
      </c>
      <c r="N374" s="32" t="s">
        <v>34</v>
      </c>
      <c r="O374" s="32">
        <f t="shared" si="6"/>
        <v>0.74</v>
      </c>
      <c r="P374" s="32">
        <f t="shared" si="7"/>
        <v>0.51</v>
      </c>
      <c r="Q374" s="32">
        <v>0</v>
      </c>
      <c r="R374" s="32">
        <f t="shared" si="8"/>
        <v>2.65</v>
      </c>
      <c r="S374" s="37">
        <v>1.01E-3</v>
      </c>
      <c r="T374" s="33" t="s">
        <v>36</v>
      </c>
      <c r="U374" s="32" t="s">
        <v>37</v>
      </c>
      <c r="V374" s="32" t="s">
        <v>162</v>
      </c>
      <c r="W374" s="33">
        <v>12</v>
      </c>
      <c r="X374" s="32">
        <v>0.3</v>
      </c>
      <c r="Y374" s="32">
        <v>1</v>
      </c>
      <c r="Z374" s="32" t="s">
        <v>200</v>
      </c>
      <c r="AA374" s="32">
        <v>0.27</v>
      </c>
      <c r="AB374" s="32" t="s">
        <v>34</v>
      </c>
      <c r="AC374" s="32" t="s">
        <v>40</v>
      </c>
      <c r="AD374" s="32" t="s">
        <v>32</v>
      </c>
      <c r="AE374" s="32">
        <f t="shared" si="9"/>
        <v>9.1999999999999998E-2</v>
      </c>
      <c r="AF374" s="32" t="s">
        <v>201</v>
      </c>
      <c r="AG374" s="32">
        <v>2019</v>
      </c>
      <c r="AH374" s="32" t="s">
        <v>259</v>
      </c>
      <c r="AI374" s="2">
        <v>50</v>
      </c>
      <c r="AJ374" s="2">
        <v>100</v>
      </c>
      <c r="AK374" s="2">
        <v>2</v>
      </c>
    </row>
    <row r="375" spans="1:37" s="34" customFormat="1" ht="16.2" thickBot="1" x14ac:dyDescent="0.35">
      <c r="A375" s="17">
        <v>13.48</v>
      </c>
      <c r="B375" s="17">
        <v>1960</v>
      </c>
      <c r="C375" s="14" t="s">
        <v>33</v>
      </c>
      <c r="D375" s="14" t="s">
        <v>35</v>
      </c>
      <c r="E375" s="14" t="s">
        <v>170</v>
      </c>
      <c r="F375" s="14">
        <v>0.57999999999999996</v>
      </c>
      <c r="G375" s="14">
        <v>0.72</v>
      </c>
      <c r="H375" s="14" t="s">
        <v>34</v>
      </c>
      <c r="I375" s="14" t="s">
        <v>34</v>
      </c>
      <c r="J375" s="14" t="s">
        <v>34</v>
      </c>
      <c r="K375" s="14" t="s">
        <v>34</v>
      </c>
      <c r="L375" s="14">
        <v>0</v>
      </c>
      <c r="M375" s="14">
        <f t="shared" si="5"/>
        <v>63.04</v>
      </c>
      <c r="N375" s="14" t="s">
        <v>34</v>
      </c>
      <c r="O375" s="14">
        <f t="shared" si="6"/>
        <v>0.74</v>
      </c>
      <c r="P375" s="14">
        <f t="shared" si="7"/>
        <v>0.51</v>
      </c>
      <c r="Q375" s="14">
        <v>0</v>
      </c>
      <c r="R375" s="14">
        <f t="shared" si="8"/>
        <v>2.65</v>
      </c>
      <c r="S375" s="38">
        <v>1.01E-3</v>
      </c>
      <c r="T375" s="14" t="s">
        <v>36</v>
      </c>
      <c r="U375" s="14" t="s">
        <v>37</v>
      </c>
      <c r="V375" s="14" t="s">
        <v>162</v>
      </c>
      <c r="W375" s="14">
        <v>16</v>
      </c>
      <c r="X375" s="14">
        <v>0.3</v>
      </c>
      <c r="Y375" s="14">
        <v>1</v>
      </c>
      <c r="Z375" s="14" t="s">
        <v>200</v>
      </c>
      <c r="AA375" s="14">
        <v>0.27</v>
      </c>
      <c r="AB375" s="14" t="s">
        <v>34</v>
      </c>
      <c r="AC375" s="14" t="s">
        <v>40</v>
      </c>
      <c r="AD375" s="14" t="s">
        <v>32</v>
      </c>
      <c r="AE375" s="14">
        <f t="shared" si="9"/>
        <v>9.1999999999999998E-2</v>
      </c>
      <c r="AF375" s="14" t="s">
        <v>201</v>
      </c>
      <c r="AG375" s="14">
        <v>2019</v>
      </c>
      <c r="AH375" s="14" t="s">
        <v>259</v>
      </c>
      <c r="AI375" s="61">
        <v>50</v>
      </c>
      <c r="AJ375" s="15">
        <v>100</v>
      </c>
      <c r="AK375" s="15">
        <v>2</v>
      </c>
    </row>
    <row r="376" spans="1:37" x14ac:dyDescent="0.3">
      <c r="A376" s="12">
        <v>1.96013289036544</v>
      </c>
      <c r="B376" s="12">
        <v>138.14262023217199</v>
      </c>
      <c r="C376" s="13" t="s">
        <v>33</v>
      </c>
      <c r="D376" s="13" t="s">
        <v>35</v>
      </c>
      <c r="E376" s="13" t="s">
        <v>387</v>
      </c>
      <c r="F376" s="13">
        <v>0.14000000000000001</v>
      </c>
      <c r="G376" s="13">
        <v>0.7</v>
      </c>
      <c r="H376" s="13">
        <v>0.41899999999999998</v>
      </c>
      <c r="I376" s="12">
        <v>0.89880000000000004</v>
      </c>
      <c r="J376" s="13">
        <v>6.42</v>
      </c>
      <c r="K376" s="13">
        <v>1.4</v>
      </c>
      <c r="L376" s="13" t="s">
        <v>34</v>
      </c>
      <c r="M376" s="13">
        <f t="shared" si="5"/>
        <v>63.04</v>
      </c>
      <c r="N376" s="13">
        <v>1359.82</v>
      </c>
      <c r="O376" s="13">
        <f t="shared" si="6"/>
        <v>0.74</v>
      </c>
      <c r="P376" s="13">
        <f t="shared" si="7"/>
        <v>0.51</v>
      </c>
      <c r="Q376" s="13">
        <v>0</v>
      </c>
      <c r="R376" s="13">
        <v>2.7</v>
      </c>
      <c r="S376" s="13" t="s">
        <v>34</v>
      </c>
      <c r="T376" s="13" t="s">
        <v>49</v>
      </c>
      <c r="U376" s="13" t="s">
        <v>262</v>
      </c>
      <c r="V376" s="13" t="s">
        <v>162</v>
      </c>
      <c r="W376" s="13">
        <v>1</v>
      </c>
      <c r="X376" s="13">
        <v>1</v>
      </c>
      <c r="Y376" s="39">
        <v>1.4925373134328357</v>
      </c>
      <c r="Z376" s="13" t="s">
        <v>262</v>
      </c>
      <c r="AA376" s="12">
        <v>0.19350000000000001</v>
      </c>
      <c r="AB376" s="13">
        <v>8.6</v>
      </c>
      <c r="AC376" s="13" t="s">
        <v>40</v>
      </c>
      <c r="AD376" s="13" t="s">
        <v>32</v>
      </c>
      <c r="AE376" s="13">
        <v>0.97519999999999996</v>
      </c>
      <c r="AF376" s="13" t="s">
        <v>263</v>
      </c>
      <c r="AG376" s="13">
        <v>2020</v>
      </c>
      <c r="AH376" s="13" t="s">
        <v>264</v>
      </c>
      <c r="AI376" s="2">
        <v>50</v>
      </c>
      <c r="AJ376" s="2">
        <v>2</v>
      </c>
      <c r="AK376" s="2">
        <v>1</v>
      </c>
    </row>
    <row r="377" spans="1:37" x14ac:dyDescent="0.3">
      <c r="A377" s="11">
        <v>2.9817275747508298</v>
      </c>
      <c r="B377" s="11">
        <v>229.27031509120999</v>
      </c>
      <c r="C377" s="13" t="s">
        <v>33</v>
      </c>
      <c r="D377" s="13" t="s">
        <v>35</v>
      </c>
      <c r="E377" s="13" t="s">
        <v>387</v>
      </c>
      <c r="F377" s="13">
        <v>0.14000000000000001</v>
      </c>
      <c r="G377" s="13">
        <v>0.7</v>
      </c>
      <c r="H377" s="13">
        <v>0.41899999999999998</v>
      </c>
      <c r="I377" s="12">
        <v>0.89880000000000004</v>
      </c>
      <c r="J377" s="13">
        <v>6.42</v>
      </c>
      <c r="K377" s="13">
        <v>1.4</v>
      </c>
      <c r="L377" s="13" t="s">
        <v>34</v>
      </c>
      <c r="M377" s="13">
        <f t="shared" si="5"/>
        <v>63.04</v>
      </c>
      <c r="N377" s="13">
        <v>1359.82</v>
      </c>
      <c r="O377" s="13">
        <f t="shared" si="6"/>
        <v>0.74</v>
      </c>
      <c r="P377" s="13">
        <f t="shared" si="7"/>
        <v>0.51</v>
      </c>
      <c r="Q377" s="13">
        <v>0</v>
      </c>
      <c r="R377" s="13">
        <v>2.7</v>
      </c>
      <c r="S377" s="13" t="s">
        <v>34</v>
      </c>
      <c r="T377" s="13" t="s">
        <v>49</v>
      </c>
      <c r="U377" s="13" t="s">
        <v>262</v>
      </c>
      <c r="V377" s="13" t="s">
        <v>162</v>
      </c>
      <c r="W377" s="10">
        <v>2</v>
      </c>
      <c r="X377" s="13">
        <v>1</v>
      </c>
      <c r="Y377" s="39">
        <v>1.4925373134328357</v>
      </c>
      <c r="Z377" s="13" t="s">
        <v>262</v>
      </c>
      <c r="AA377" s="12">
        <v>0.19350000000000001</v>
      </c>
      <c r="AB377" s="13">
        <v>8.6</v>
      </c>
      <c r="AC377" s="13" t="s">
        <v>40</v>
      </c>
      <c r="AD377" s="13" t="s">
        <v>32</v>
      </c>
      <c r="AE377" s="13">
        <v>0.97519999999999996</v>
      </c>
      <c r="AF377" s="13" t="s">
        <v>263</v>
      </c>
      <c r="AG377" s="13">
        <v>2020</v>
      </c>
      <c r="AH377" s="13" t="s">
        <v>264</v>
      </c>
      <c r="AI377" s="2">
        <v>50</v>
      </c>
      <c r="AJ377" s="2">
        <v>2</v>
      </c>
      <c r="AK377" s="2">
        <v>1</v>
      </c>
    </row>
    <row r="378" spans="1:37" x14ac:dyDescent="0.3">
      <c r="A378" s="11">
        <v>3.6960132890365398</v>
      </c>
      <c r="B378" s="11">
        <v>263.51575456053001</v>
      </c>
      <c r="C378" s="13" t="s">
        <v>33</v>
      </c>
      <c r="D378" s="13" t="s">
        <v>35</v>
      </c>
      <c r="E378" s="13" t="s">
        <v>387</v>
      </c>
      <c r="F378" s="13">
        <v>0.14000000000000001</v>
      </c>
      <c r="G378" s="13">
        <v>0.7</v>
      </c>
      <c r="H378" s="13">
        <v>0.41899999999999998</v>
      </c>
      <c r="I378" s="12">
        <v>0.89880000000000004</v>
      </c>
      <c r="J378" s="13">
        <v>6.42</v>
      </c>
      <c r="K378" s="13">
        <v>1.4</v>
      </c>
      <c r="L378" s="13" t="s">
        <v>34</v>
      </c>
      <c r="M378" s="13">
        <f t="shared" si="5"/>
        <v>63.04</v>
      </c>
      <c r="N378" s="13">
        <v>1359.82</v>
      </c>
      <c r="O378" s="13">
        <f t="shared" si="6"/>
        <v>0.74</v>
      </c>
      <c r="P378" s="13">
        <f t="shared" si="7"/>
        <v>0.51</v>
      </c>
      <c r="Q378" s="13">
        <v>0</v>
      </c>
      <c r="R378" s="13">
        <v>2.7</v>
      </c>
      <c r="S378" s="13" t="s">
        <v>34</v>
      </c>
      <c r="T378" s="13" t="s">
        <v>49</v>
      </c>
      <c r="U378" s="13" t="s">
        <v>262</v>
      </c>
      <c r="V378" s="13" t="s">
        <v>162</v>
      </c>
      <c r="W378" s="10">
        <v>3</v>
      </c>
      <c r="X378" s="13">
        <v>1</v>
      </c>
      <c r="Y378" s="39">
        <v>1.4925373134328357</v>
      </c>
      <c r="Z378" s="13" t="s">
        <v>262</v>
      </c>
      <c r="AA378" s="12">
        <v>0.19350000000000001</v>
      </c>
      <c r="AB378" s="13">
        <v>8.6</v>
      </c>
      <c r="AC378" s="13" t="s">
        <v>40</v>
      </c>
      <c r="AD378" s="13" t="s">
        <v>32</v>
      </c>
      <c r="AE378" s="13">
        <v>0.97519999999999996</v>
      </c>
      <c r="AF378" s="13" t="s">
        <v>263</v>
      </c>
      <c r="AG378" s="13">
        <v>2020</v>
      </c>
      <c r="AH378" s="13" t="s">
        <v>264</v>
      </c>
      <c r="AI378" s="2">
        <v>50</v>
      </c>
      <c r="AJ378" s="2">
        <v>2</v>
      </c>
      <c r="AK378" s="2">
        <v>1</v>
      </c>
    </row>
    <row r="379" spans="1:37" x14ac:dyDescent="0.3">
      <c r="A379" s="11">
        <v>1.9684385382059799</v>
      </c>
      <c r="B379" s="11">
        <v>121.39303482587</v>
      </c>
      <c r="C379" s="13" t="s">
        <v>33</v>
      </c>
      <c r="D379" s="13" t="s">
        <v>35</v>
      </c>
      <c r="E379" s="13" t="s">
        <v>387</v>
      </c>
      <c r="F379" s="13">
        <v>0.14000000000000001</v>
      </c>
      <c r="G379" s="13">
        <v>0.7</v>
      </c>
      <c r="H379" s="13">
        <v>0.41899999999999998</v>
      </c>
      <c r="I379" s="12">
        <v>0.89880000000000004</v>
      </c>
      <c r="J379" s="13">
        <v>6.42</v>
      </c>
      <c r="K379" s="13">
        <v>1.4</v>
      </c>
      <c r="L379" s="13" t="s">
        <v>34</v>
      </c>
      <c r="M379" s="13">
        <f t="shared" si="5"/>
        <v>63.04</v>
      </c>
      <c r="N379" s="13">
        <v>1359.82</v>
      </c>
      <c r="O379" s="13">
        <f t="shared" si="6"/>
        <v>0.74</v>
      </c>
      <c r="P379" s="13">
        <f t="shared" si="7"/>
        <v>0.51</v>
      </c>
      <c r="Q379" s="13">
        <v>0</v>
      </c>
      <c r="R379" s="13">
        <v>2.7</v>
      </c>
      <c r="S379" s="13" t="s">
        <v>34</v>
      </c>
      <c r="T379" s="13" t="s">
        <v>49</v>
      </c>
      <c r="U379" s="13" t="s">
        <v>262</v>
      </c>
      <c r="V379" s="13" t="s">
        <v>162</v>
      </c>
      <c r="W379" s="10">
        <v>1</v>
      </c>
      <c r="X379" s="13">
        <v>1</v>
      </c>
      <c r="Y379" s="39">
        <v>1.4925373134328357</v>
      </c>
      <c r="Z379" s="13" t="s">
        <v>262</v>
      </c>
      <c r="AA379" s="12">
        <v>0.19350000000000001</v>
      </c>
      <c r="AB379" s="13">
        <v>8.6</v>
      </c>
      <c r="AC379" s="10" t="s">
        <v>260</v>
      </c>
      <c r="AD379" s="13" t="s">
        <v>32</v>
      </c>
      <c r="AE379" s="10">
        <v>0.90700000000000003</v>
      </c>
      <c r="AF379" s="13" t="s">
        <v>263</v>
      </c>
      <c r="AG379" s="13">
        <v>2020</v>
      </c>
      <c r="AH379" s="13" t="s">
        <v>264</v>
      </c>
      <c r="AI379" s="2">
        <v>50</v>
      </c>
      <c r="AJ379" s="2">
        <v>2</v>
      </c>
      <c r="AK379" s="2">
        <v>1</v>
      </c>
    </row>
    <row r="380" spans="1:37" x14ac:dyDescent="0.3">
      <c r="A380" s="31">
        <v>2.3671096345514901</v>
      </c>
      <c r="B380" s="31">
        <v>188.05970149253699</v>
      </c>
      <c r="C380" s="32" t="s">
        <v>33</v>
      </c>
      <c r="D380" s="32" t="s">
        <v>35</v>
      </c>
      <c r="E380" s="13" t="s">
        <v>387</v>
      </c>
      <c r="F380" s="32">
        <v>0.14000000000000001</v>
      </c>
      <c r="G380" s="32">
        <v>0.7</v>
      </c>
      <c r="H380" s="32">
        <v>0.41899999999999998</v>
      </c>
      <c r="I380" s="35">
        <v>0.89880000000000004</v>
      </c>
      <c r="J380" s="32">
        <v>6.42</v>
      </c>
      <c r="K380" s="32">
        <v>1.4</v>
      </c>
      <c r="L380" s="32" t="s">
        <v>34</v>
      </c>
      <c r="M380" s="32">
        <f t="shared" si="5"/>
        <v>63.04</v>
      </c>
      <c r="N380" s="32">
        <v>1359.82</v>
      </c>
      <c r="O380" s="32">
        <f t="shared" si="6"/>
        <v>0.74</v>
      </c>
      <c r="P380" s="32">
        <f t="shared" si="7"/>
        <v>0.51</v>
      </c>
      <c r="Q380" s="32">
        <v>0</v>
      </c>
      <c r="R380" s="32">
        <v>2.7</v>
      </c>
      <c r="S380" s="32" t="s">
        <v>34</v>
      </c>
      <c r="T380" s="32" t="s">
        <v>49</v>
      </c>
      <c r="U380" s="32" t="s">
        <v>262</v>
      </c>
      <c r="V380" s="32" t="s">
        <v>162</v>
      </c>
      <c r="W380" s="33">
        <v>2</v>
      </c>
      <c r="X380" s="32">
        <v>1</v>
      </c>
      <c r="Y380" s="40">
        <v>1.4925373134328357</v>
      </c>
      <c r="Z380" s="32" t="s">
        <v>262</v>
      </c>
      <c r="AA380" s="35">
        <v>0.19350000000000001</v>
      </c>
      <c r="AB380" s="32">
        <v>8.6</v>
      </c>
      <c r="AC380" s="33" t="s">
        <v>260</v>
      </c>
      <c r="AD380" s="32" t="s">
        <v>32</v>
      </c>
      <c r="AE380" s="33">
        <v>0.90700000000000003</v>
      </c>
      <c r="AF380" s="32" t="s">
        <v>263</v>
      </c>
      <c r="AG380" s="32">
        <v>2020</v>
      </c>
      <c r="AH380" s="32" t="s">
        <v>264</v>
      </c>
      <c r="AI380" s="2">
        <v>50</v>
      </c>
      <c r="AJ380" s="2">
        <v>2</v>
      </c>
      <c r="AK380" s="2">
        <v>1</v>
      </c>
    </row>
    <row r="381" spans="1:37" s="34" customFormat="1" ht="16.2" thickBot="1" x14ac:dyDescent="0.35">
      <c r="A381" s="17">
        <v>2.9817275747508298</v>
      </c>
      <c r="B381" s="17">
        <v>225.37313432835799</v>
      </c>
      <c r="C381" s="14" t="s">
        <v>33</v>
      </c>
      <c r="D381" s="14" t="s">
        <v>35</v>
      </c>
      <c r="E381" s="13" t="s">
        <v>387</v>
      </c>
      <c r="F381" s="14">
        <v>0.14000000000000001</v>
      </c>
      <c r="G381" s="14">
        <v>0.7</v>
      </c>
      <c r="H381" s="14">
        <v>0.41899999999999998</v>
      </c>
      <c r="I381" s="17">
        <v>0.89880000000000004</v>
      </c>
      <c r="J381" s="14">
        <v>6.42</v>
      </c>
      <c r="K381" s="14">
        <v>1.4</v>
      </c>
      <c r="L381" s="14" t="s">
        <v>34</v>
      </c>
      <c r="M381" s="14">
        <f t="shared" si="5"/>
        <v>63.04</v>
      </c>
      <c r="N381" s="14">
        <v>1359.82</v>
      </c>
      <c r="O381" s="14">
        <f t="shared" si="6"/>
        <v>0.74</v>
      </c>
      <c r="P381" s="14">
        <f t="shared" si="7"/>
        <v>0.51</v>
      </c>
      <c r="Q381" s="14">
        <v>0</v>
      </c>
      <c r="R381" s="14">
        <v>2.7</v>
      </c>
      <c r="S381" s="14" t="s">
        <v>34</v>
      </c>
      <c r="T381" s="14" t="s">
        <v>49</v>
      </c>
      <c r="U381" s="14" t="s">
        <v>262</v>
      </c>
      <c r="V381" s="14" t="s">
        <v>162</v>
      </c>
      <c r="W381" s="14">
        <v>3</v>
      </c>
      <c r="X381" s="14">
        <v>1</v>
      </c>
      <c r="Y381" s="41">
        <v>1.4925373134328357</v>
      </c>
      <c r="Z381" s="14" t="s">
        <v>262</v>
      </c>
      <c r="AA381" s="17">
        <v>0.19350000000000001</v>
      </c>
      <c r="AB381" s="14">
        <v>8.6</v>
      </c>
      <c r="AC381" s="14" t="s">
        <v>260</v>
      </c>
      <c r="AD381" s="14" t="s">
        <v>32</v>
      </c>
      <c r="AE381" s="14">
        <v>0.90700000000000003</v>
      </c>
      <c r="AF381" s="14" t="s">
        <v>263</v>
      </c>
      <c r="AG381" s="14">
        <v>2020</v>
      </c>
      <c r="AH381" s="14" t="s">
        <v>264</v>
      </c>
      <c r="AI381" s="61">
        <v>50</v>
      </c>
      <c r="AJ381" s="15">
        <v>2</v>
      </c>
      <c r="AK381" s="15">
        <v>1</v>
      </c>
    </row>
    <row r="382" spans="1:37" x14ac:dyDescent="0.3">
      <c r="A382" s="35">
        <v>2.8</v>
      </c>
      <c r="B382" s="35">
        <v>529</v>
      </c>
      <c r="C382" s="32" t="s">
        <v>33</v>
      </c>
      <c r="D382" s="32" t="s">
        <v>226</v>
      </c>
      <c r="E382" s="32" t="s">
        <v>170</v>
      </c>
      <c r="F382" s="32" t="s">
        <v>34</v>
      </c>
      <c r="G382" s="35">
        <v>0.6</v>
      </c>
      <c r="H382" s="32" t="s">
        <v>34</v>
      </c>
      <c r="I382" s="32" t="s">
        <v>34</v>
      </c>
      <c r="J382" s="32">
        <v>1.1000000000000001</v>
      </c>
      <c r="K382" s="32" t="s">
        <v>34</v>
      </c>
      <c r="L382" s="32" t="s">
        <v>34</v>
      </c>
      <c r="M382" s="32" t="s">
        <v>34</v>
      </c>
      <c r="N382" s="32">
        <v>1708.17</v>
      </c>
      <c r="O382" s="32" t="s">
        <v>34</v>
      </c>
      <c r="P382" s="32" t="s">
        <v>34</v>
      </c>
      <c r="Q382" s="32" t="s">
        <v>34</v>
      </c>
      <c r="R382" s="32" t="s">
        <v>34</v>
      </c>
      <c r="S382" s="32" t="s">
        <v>34</v>
      </c>
      <c r="T382" s="32" t="s">
        <v>49</v>
      </c>
      <c r="U382" s="32" t="s">
        <v>50</v>
      </c>
      <c r="V382" s="32" t="s">
        <v>207</v>
      </c>
      <c r="W382" s="32">
        <v>1</v>
      </c>
      <c r="X382" s="32">
        <v>1.38</v>
      </c>
      <c r="Y382" s="32">
        <v>0.87</v>
      </c>
      <c r="Z382" s="32" t="s">
        <v>204</v>
      </c>
      <c r="AA382" s="32">
        <v>2.3999999999999998E-3</v>
      </c>
      <c r="AB382" s="32">
        <v>8.75</v>
      </c>
      <c r="AC382" s="32" t="s">
        <v>203</v>
      </c>
      <c r="AD382" s="32" t="s">
        <v>34</v>
      </c>
      <c r="AE382" s="32" t="s">
        <v>34</v>
      </c>
      <c r="AF382" s="32" t="s">
        <v>266</v>
      </c>
      <c r="AG382" s="32">
        <v>2015</v>
      </c>
      <c r="AH382" s="32" t="s">
        <v>267</v>
      </c>
      <c r="AI382" s="2">
        <v>51</v>
      </c>
      <c r="AJ382" s="2">
        <v>2.98</v>
      </c>
      <c r="AK382" s="2" t="s">
        <v>34</v>
      </c>
    </row>
    <row r="383" spans="1:37" s="34" customFormat="1" ht="16.2" thickBot="1" x14ac:dyDescent="0.35">
      <c r="A383" s="17">
        <v>4.3</v>
      </c>
      <c r="B383" s="17">
        <v>391</v>
      </c>
      <c r="C383" s="14" t="s">
        <v>33</v>
      </c>
      <c r="D383" s="14" t="s">
        <v>265</v>
      </c>
      <c r="E383" s="14" t="s">
        <v>170</v>
      </c>
      <c r="F383" s="14" t="s">
        <v>34</v>
      </c>
      <c r="G383" s="17">
        <v>0.27500000000000002</v>
      </c>
      <c r="H383" s="14" t="s">
        <v>34</v>
      </c>
      <c r="I383" s="14" t="s">
        <v>34</v>
      </c>
      <c r="J383" s="14">
        <v>1.74</v>
      </c>
      <c r="K383" s="14" t="s">
        <v>34</v>
      </c>
      <c r="L383" s="14" t="s">
        <v>34</v>
      </c>
      <c r="M383" s="14" t="s">
        <v>34</v>
      </c>
      <c r="N383" s="14">
        <v>1693.88</v>
      </c>
      <c r="O383" s="14" t="s">
        <v>34</v>
      </c>
      <c r="P383" s="14" t="s">
        <v>34</v>
      </c>
      <c r="Q383" s="14" t="s">
        <v>34</v>
      </c>
      <c r="R383" s="14" t="s">
        <v>34</v>
      </c>
      <c r="S383" s="14" t="s">
        <v>34</v>
      </c>
      <c r="T383" s="14" t="s">
        <v>49</v>
      </c>
      <c r="U383" s="14" t="s">
        <v>50</v>
      </c>
      <c r="V383" s="14" t="s">
        <v>207</v>
      </c>
      <c r="W383" s="14">
        <v>1</v>
      </c>
      <c r="X383" s="14">
        <v>1.38</v>
      </c>
      <c r="Y383" s="14">
        <v>0.87</v>
      </c>
      <c r="Z383" s="14" t="s">
        <v>204</v>
      </c>
      <c r="AA383" s="14">
        <v>2.3999999999999998E-3</v>
      </c>
      <c r="AB383" s="14">
        <v>8.75</v>
      </c>
      <c r="AC383" s="14" t="s">
        <v>203</v>
      </c>
      <c r="AD383" s="14" t="s">
        <v>34</v>
      </c>
      <c r="AE383" s="14" t="s">
        <v>34</v>
      </c>
      <c r="AF383" s="14" t="s">
        <v>266</v>
      </c>
      <c r="AG383" s="18">
        <v>2015</v>
      </c>
      <c r="AH383" s="14" t="s">
        <v>267</v>
      </c>
      <c r="AI383" s="61">
        <v>51</v>
      </c>
      <c r="AJ383" s="15">
        <v>2.98</v>
      </c>
      <c r="AK383" s="15" t="s">
        <v>34</v>
      </c>
    </row>
    <row r="384" spans="1:37" x14ac:dyDescent="0.3">
      <c r="A384" s="12">
        <v>11.7</v>
      </c>
      <c r="B384" s="12">
        <v>1220</v>
      </c>
      <c r="C384" s="13" t="s">
        <v>33</v>
      </c>
      <c r="D384" s="13" t="s">
        <v>268</v>
      </c>
      <c r="E384" s="13" t="s">
        <v>170</v>
      </c>
      <c r="F384" s="13">
        <v>0.42</v>
      </c>
      <c r="G384" s="13">
        <v>0.6</v>
      </c>
      <c r="H384" s="13">
        <v>0.58099999999999996</v>
      </c>
      <c r="I384" s="13">
        <v>0.6</v>
      </c>
      <c r="J384" s="13">
        <v>1.42</v>
      </c>
      <c r="K384" s="13">
        <v>1.34</v>
      </c>
      <c r="L384" s="13">
        <v>0</v>
      </c>
      <c r="M384" s="13">
        <v>33</v>
      </c>
      <c r="N384" s="13">
        <v>1338.38</v>
      </c>
      <c r="O384" s="13">
        <v>1.1299999999999999</v>
      </c>
      <c r="P384" s="13">
        <v>0.67</v>
      </c>
      <c r="Q384" s="13">
        <v>0</v>
      </c>
      <c r="R384" s="13" t="s">
        <v>34</v>
      </c>
      <c r="S384" s="13" t="s">
        <v>34</v>
      </c>
      <c r="T384" s="13" t="s">
        <v>36</v>
      </c>
      <c r="U384" s="13" t="s">
        <v>37</v>
      </c>
      <c r="V384" s="13" t="s">
        <v>38</v>
      </c>
      <c r="W384" s="13">
        <v>4</v>
      </c>
      <c r="X384" s="13">
        <v>0.5</v>
      </c>
      <c r="Y384" s="13">
        <v>1</v>
      </c>
      <c r="Z384" s="13" t="s">
        <v>200</v>
      </c>
      <c r="AA384" s="13" t="s">
        <v>34</v>
      </c>
      <c r="AB384" s="13" t="s">
        <v>34</v>
      </c>
      <c r="AC384" s="13" t="s">
        <v>269</v>
      </c>
      <c r="AD384" s="13" t="s">
        <v>32</v>
      </c>
      <c r="AE384" s="13">
        <v>0.94720000000000004</v>
      </c>
      <c r="AF384" s="13" t="s">
        <v>271</v>
      </c>
      <c r="AG384" s="13">
        <v>2020</v>
      </c>
      <c r="AH384" s="13" t="s">
        <v>272</v>
      </c>
      <c r="AI384" s="2">
        <v>50</v>
      </c>
      <c r="AJ384" s="2">
        <v>2</v>
      </c>
      <c r="AK384" s="2" t="s">
        <v>34</v>
      </c>
    </row>
    <row r="385" spans="1:37" x14ac:dyDescent="0.3">
      <c r="A385" s="11">
        <v>5.13</v>
      </c>
      <c r="B385" s="11">
        <v>550</v>
      </c>
      <c r="C385" s="13" t="s">
        <v>33</v>
      </c>
      <c r="D385" s="13" t="s">
        <v>268</v>
      </c>
      <c r="E385" s="13" t="s">
        <v>170</v>
      </c>
      <c r="F385" s="13">
        <v>0.42</v>
      </c>
      <c r="G385" s="13">
        <v>0.6</v>
      </c>
      <c r="H385" s="13">
        <v>0.58099999999999996</v>
      </c>
      <c r="I385" s="13">
        <v>0.6</v>
      </c>
      <c r="J385" s="13">
        <v>1.42</v>
      </c>
      <c r="K385" s="13">
        <v>1.34</v>
      </c>
      <c r="L385" s="13">
        <v>0</v>
      </c>
      <c r="M385" s="13">
        <v>33</v>
      </c>
      <c r="N385" s="13">
        <v>1338.38</v>
      </c>
      <c r="O385" s="13">
        <v>1.1299999999999999</v>
      </c>
      <c r="P385" s="13">
        <v>0.67</v>
      </c>
      <c r="Q385" s="13">
        <v>0</v>
      </c>
      <c r="R385" s="13" t="s">
        <v>34</v>
      </c>
      <c r="S385" s="13" t="s">
        <v>34</v>
      </c>
      <c r="T385" s="10" t="s">
        <v>49</v>
      </c>
      <c r="U385" s="10" t="s">
        <v>50</v>
      </c>
      <c r="V385" s="10" t="s">
        <v>162</v>
      </c>
      <c r="W385" s="10">
        <v>4</v>
      </c>
      <c r="X385" s="13">
        <v>0.5</v>
      </c>
      <c r="Y385" s="13">
        <v>1</v>
      </c>
      <c r="Z385" s="10" t="s">
        <v>204</v>
      </c>
      <c r="AA385" s="10">
        <v>0.3</v>
      </c>
      <c r="AB385" s="13" t="s">
        <v>34</v>
      </c>
      <c r="AC385" s="10" t="s">
        <v>270</v>
      </c>
      <c r="AD385" s="13" t="s">
        <v>32</v>
      </c>
      <c r="AE385" s="13">
        <v>1.9472</v>
      </c>
      <c r="AF385" s="13" t="s">
        <v>271</v>
      </c>
      <c r="AG385" s="13">
        <v>2020</v>
      </c>
      <c r="AH385" s="13" t="s">
        <v>272</v>
      </c>
      <c r="AI385" s="2">
        <v>50</v>
      </c>
      <c r="AJ385" s="2">
        <v>2</v>
      </c>
      <c r="AK385" s="2" t="s">
        <v>34</v>
      </c>
    </row>
    <row r="386" spans="1:37" x14ac:dyDescent="0.3">
      <c r="A386" s="11">
        <v>14.64</v>
      </c>
      <c r="B386" s="11">
        <v>2600</v>
      </c>
      <c r="C386" s="13" t="s">
        <v>33</v>
      </c>
      <c r="D386" s="13" t="s">
        <v>268</v>
      </c>
      <c r="E386" s="13" t="s">
        <v>170</v>
      </c>
      <c r="F386" s="13">
        <v>0.42</v>
      </c>
      <c r="G386" s="13">
        <v>0.6</v>
      </c>
      <c r="H386" s="13">
        <v>0.58099999999999996</v>
      </c>
      <c r="I386" s="13">
        <v>0.6</v>
      </c>
      <c r="J386" s="13">
        <v>1.42</v>
      </c>
      <c r="K386" s="13">
        <v>1.34</v>
      </c>
      <c r="L386" s="13">
        <v>0</v>
      </c>
      <c r="M386" s="13">
        <v>33</v>
      </c>
      <c r="N386" s="13">
        <v>1338.38</v>
      </c>
      <c r="O386" s="13">
        <v>1.1299999999999999</v>
      </c>
      <c r="P386" s="13">
        <v>0.67</v>
      </c>
      <c r="Q386" s="13">
        <v>0</v>
      </c>
      <c r="R386" s="13" t="s">
        <v>34</v>
      </c>
      <c r="S386" s="13" t="s">
        <v>34</v>
      </c>
      <c r="T386" s="10" t="s">
        <v>36</v>
      </c>
      <c r="U386" s="13" t="s">
        <v>37</v>
      </c>
      <c r="V386" s="13" t="s">
        <v>38</v>
      </c>
      <c r="W386" s="10">
        <v>6</v>
      </c>
      <c r="X386" s="13">
        <v>0.5</v>
      </c>
      <c r="Y386" s="13">
        <v>1</v>
      </c>
      <c r="Z386" s="13" t="s">
        <v>200</v>
      </c>
      <c r="AA386" s="10" t="s">
        <v>34</v>
      </c>
      <c r="AB386" s="13" t="s">
        <v>34</v>
      </c>
      <c r="AC386" s="13" t="s">
        <v>269</v>
      </c>
      <c r="AD386" s="13" t="s">
        <v>32</v>
      </c>
      <c r="AE386" s="13">
        <v>2.9472</v>
      </c>
      <c r="AF386" s="13" t="s">
        <v>271</v>
      </c>
      <c r="AG386" s="13">
        <v>2020</v>
      </c>
      <c r="AH386" s="13" t="s">
        <v>272</v>
      </c>
      <c r="AI386" s="2">
        <v>50</v>
      </c>
      <c r="AJ386" s="2">
        <v>2</v>
      </c>
      <c r="AK386" s="2" t="s">
        <v>34</v>
      </c>
    </row>
    <row r="387" spans="1:37" x14ac:dyDescent="0.3">
      <c r="A387" s="11">
        <v>8.5500000000000007</v>
      </c>
      <c r="B387" s="11">
        <v>1470</v>
      </c>
      <c r="C387" s="13" t="s">
        <v>33</v>
      </c>
      <c r="D387" s="13" t="s">
        <v>268</v>
      </c>
      <c r="E387" s="13" t="s">
        <v>170</v>
      </c>
      <c r="F387" s="13">
        <v>0.42</v>
      </c>
      <c r="G387" s="13">
        <v>0.6</v>
      </c>
      <c r="H387" s="13">
        <v>0.58099999999999996</v>
      </c>
      <c r="I387" s="13">
        <v>0.6</v>
      </c>
      <c r="J387" s="13">
        <v>1.42</v>
      </c>
      <c r="K387" s="13">
        <v>1.34</v>
      </c>
      <c r="L387" s="13">
        <v>0</v>
      </c>
      <c r="M387" s="13">
        <v>33</v>
      </c>
      <c r="N387" s="13">
        <v>1338.38</v>
      </c>
      <c r="O387" s="13">
        <v>1.1299999999999999</v>
      </c>
      <c r="P387" s="13">
        <v>0.67</v>
      </c>
      <c r="Q387" s="13">
        <v>0</v>
      </c>
      <c r="R387" s="13" t="s">
        <v>34</v>
      </c>
      <c r="S387" s="13" t="s">
        <v>34</v>
      </c>
      <c r="T387" s="10" t="s">
        <v>49</v>
      </c>
      <c r="U387" s="10" t="s">
        <v>50</v>
      </c>
      <c r="V387" s="10" t="s">
        <v>162</v>
      </c>
      <c r="W387" s="10">
        <v>6</v>
      </c>
      <c r="X387" s="13">
        <v>0.5</v>
      </c>
      <c r="Y387" s="13">
        <v>1</v>
      </c>
      <c r="Z387" s="10" t="s">
        <v>204</v>
      </c>
      <c r="AA387" s="10">
        <v>0.3</v>
      </c>
      <c r="AB387" s="13" t="s">
        <v>34</v>
      </c>
      <c r="AC387" s="10" t="s">
        <v>270</v>
      </c>
      <c r="AD387" s="13" t="s">
        <v>32</v>
      </c>
      <c r="AE387" s="13">
        <v>3.9472</v>
      </c>
      <c r="AF387" s="13" t="s">
        <v>271</v>
      </c>
      <c r="AG387" s="13">
        <v>2020</v>
      </c>
      <c r="AH387" s="13" t="s">
        <v>272</v>
      </c>
      <c r="AI387" s="2">
        <v>50</v>
      </c>
      <c r="AJ387" s="2">
        <v>2</v>
      </c>
      <c r="AK387" s="2" t="s">
        <v>34</v>
      </c>
    </row>
    <row r="388" spans="1:37" x14ac:dyDescent="0.3">
      <c r="A388" s="11">
        <v>17.73</v>
      </c>
      <c r="B388" s="11">
        <v>3280</v>
      </c>
      <c r="C388" s="13" t="s">
        <v>33</v>
      </c>
      <c r="D388" s="13" t="s">
        <v>268</v>
      </c>
      <c r="E388" s="13" t="s">
        <v>170</v>
      </c>
      <c r="F388" s="13">
        <v>0.42</v>
      </c>
      <c r="G388" s="13">
        <v>0.6</v>
      </c>
      <c r="H388" s="13">
        <v>0.58099999999999996</v>
      </c>
      <c r="I388" s="13">
        <v>0.6</v>
      </c>
      <c r="J388" s="13">
        <v>1.42</v>
      </c>
      <c r="K388" s="13">
        <v>1.34</v>
      </c>
      <c r="L388" s="13">
        <v>0</v>
      </c>
      <c r="M388" s="13">
        <v>33</v>
      </c>
      <c r="N388" s="13">
        <v>1338.38</v>
      </c>
      <c r="O388" s="13">
        <v>1.1299999999999999</v>
      </c>
      <c r="P388" s="13">
        <v>0.67</v>
      </c>
      <c r="Q388" s="13">
        <v>0</v>
      </c>
      <c r="R388" s="13" t="s">
        <v>34</v>
      </c>
      <c r="S388" s="13" t="s">
        <v>34</v>
      </c>
      <c r="T388" s="10" t="s">
        <v>36</v>
      </c>
      <c r="U388" s="13" t="s">
        <v>37</v>
      </c>
      <c r="V388" s="13" t="s">
        <v>38</v>
      </c>
      <c r="W388" s="10">
        <v>8</v>
      </c>
      <c r="X388" s="13">
        <v>0.5</v>
      </c>
      <c r="Y388" s="13">
        <v>1</v>
      </c>
      <c r="Z388" s="13" t="s">
        <v>200</v>
      </c>
      <c r="AA388" s="10" t="s">
        <v>34</v>
      </c>
      <c r="AB388" s="13" t="s">
        <v>34</v>
      </c>
      <c r="AC388" s="13" t="s">
        <v>269</v>
      </c>
      <c r="AD388" s="13" t="s">
        <v>32</v>
      </c>
      <c r="AE388" s="13">
        <v>4.9471999999999996</v>
      </c>
      <c r="AF388" s="13" t="s">
        <v>271</v>
      </c>
      <c r="AG388" s="13">
        <v>2020</v>
      </c>
      <c r="AH388" s="13" t="s">
        <v>272</v>
      </c>
      <c r="AI388" s="2">
        <v>50</v>
      </c>
      <c r="AJ388" s="2">
        <v>2</v>
      </c>
      <c r="AK388" s="2" t="s">
        <v>34</v>
      </c>
    </row>
    <row r="389" spans="1:37" x14ac:dyDescent="0.3">
      <c r="A389" s="11">
        <v>11.93</v>
      </c>
      <c r="B389" s="11">
        <v>1890</v>
      </c>
      <c r="C389" s="13" t="s">
        <v>33</v>
      </c>
      <c r="D389" s="13" t="s">
        <v>268</v>
      </c>
      <c r="E389" s="13" t="s">
        <v>170</v>
      </c>
      <c r="F389" s="13">
        <v>0.42</v>
      </c>
      <c r="G389" s="13">
        <v>0.6</v>
      </c>
      <c r="H389" s="13">
        <v>0.58099999999999996</v>
      </c>
      <c r="I389" s="13">
        <v>0.6</v>
      </c>
      <c r="J389" s="13">
        <v>1.42</v>
      </c>
      <c r="K389" s="13">
        <v>1.34</v>
      </c>
      <c r="L389" s="13">
        <v>0</v>
      </c>
      <c r="M389" s="13">
        <v>33</v>
      </c>
      <c r="N389" s="13">
        <v>1338.38</v>
      </c>
      <c r="O389" s="13">
        <v>1.1299999999999999</v>
      </c>
      <c r="P389" s="13">
        <v>0.67</v>
      </c>
      <c r="Q389" s="13">
        <v>0</v>
      </c>
      <c r="R389" s="13" t="s">
        <v>34</v>
      </c>
      <c r="S389" s="13" t="s">
        <v>34</v>
      </c>
      <c r="T389" s="10" t="s">
        <v>49</v>
      </c>
      <c r="U389" s="10" t="s">
        <v>50</v>
      </c>
      <c r="V389" s="10" t="s">
        <v>162</v>
      </c>
      <c r="W389" s="10">
        <v>8</v>
      </c>
      <c r="X389" s="13">
        <v>0.5</v>
      </c>
      <c r="Y389" s="13">
        <v>1</v>
      </c>
      <c r="Z389" s="10" t="s">
        <v>204</v>
      </c>
      <c r="AA389" s="10">
        <v>0.3</v>
      </c>
      <c r="AB389" s="13" t="s">
        <v>34</v>
      </c>
      <c r="AC389" s="10" t="s">
        <v>270</v>
      </c>
      <c r="AD389" s="13" t="s">
        <v>32</v>
      </c>
      <c r="AE389" s="13">
        <v>5.9471999999999996</v>
      </c>
      <c r="AF389" s="13" t="s">
        <v>271</v>
      </c>
      <c r="AG389" s="13">
        <v>2020</v>
      </c>
      <c r="AH389" s="13" t="s">
        <v>272</v>
      </c>
      <c r="AI389" s="2">
        <v>50</v>
      </c>
      <c r="AJ389" s="2">
        <v>2</v>
      </c>
      <c r="AK389" s="2" t="s">
        <v>34</v>
      </c>
    </row>
    <row r="390" spans="1:37" x14ac:dyDescent="0.3">
      <c r="A390" s="31">
        <v>25.63</v>
      </c>
      <c r="B390" s="31">
        <v>6470</v>
      </c>
      <c r="C390" s="32" t="s">
        <v>33</v>
      </c>
      <c r="D390" s="32" t="s">
        <v>268</v>
      </c>
      <c r="E390" s="32" t="s">
        <v>170</v>
      </c>
      <c r="F390" s="32">
        <v>0.42</v>
      </c>
      <c r="G390" s="32">
        <v>0.6</v>
      </c>
      <c r="H390" s="32">
        <v>0.58099999999999996</v>
      </c>
      <c r="I390" s="32">
        <v>0.6</v>
      </c>
      <c r="J390" s="32">
        <v>1.42</v>
      </c>
      <c r="K390" s="32">
        <v>1.34</v>
      </c>
      <c r="L390" s="32">
        <v>0</v>
      </c>
      <c r="M390" s="32">
        <v>33</v>
      </c>
      <c r="N390" s="32">
        <v>1338.38</v>
      </c>
      <c r="O390" s="32">
        <v>1.1299999999999999</v>
      </c>
      <c r="P390" s="32">
        <v>0.67</v>
      </c>
      <c r="Q390" s="32">
        <v>0</v>
      </c>
      <c r="R390" s="32" t="s">
        <v>34</v>
      </c>
      <c r="S390" s="32" t="s">
        <v>34</v>
      </c>
      <c r="T390" s="33" t="s">
        <v>36</v>
      </c>
      <c r="U390" s="32" t="s">
        <v>37</v>
      </c>
      <c r="V390" s="32" t="s">
        <v>38</v>
      </c>
      <c r="W390" s="33">
        <v>10</v>
      </c>
      <c r="X390" s="32">
        <v>0.5</v>
      </c>
      <c r="Y390" s="32">
        <v>1</v>
      </c>
      <c r="Z390" s="32" t="s">
        <v>200</v>
      </c>
      <c r="AA390" s="33" t="s">
        <v>34</v>
      </c>
      <c r="AB390" s="32" t="s">
        <v>34</v>
      </c>
      <c r="AC390" s="32" t="s">
        <v>269</v>
      </c>
      <c r="AD390" s="32" t="s">
        <v>32</v>
      </c>
      <c r="AE390" s="32">
        <v>6.9471999999999996</v>
      </c>
      <c r="AF390" s="32" t="s">
        <v>271</v>
      </c>
      <c r="AG390" s="32">
        <v>2020</v>
      </c>
      <c r="AH390" s="32" t="s">
        <v>272</v>
      </c>
      <c r="AI390" s="2">
        <v>50</v>
      </c>
      <c r="AJ390" s="2">
        <v>2</v>
      </c>
      <c r="AK390" s="2" t="s">
        <v>34</v>
      </c>
    </row>
    <row r="391" spans="1:37" s="34" customFormat="1" ht="16.2" thickBot="1" x14ac:dyDescent="0.35">
      <c r="A391" s="17">
        <v>17.03</v>
      </c>
      <c r="B391" s="17">
        <v>4230</v>
      </c>
      <c r="C391" s="14" t="s">
        <v>33</v>
      </c>
      <c r="D391" s="14" t="s">
        <v>268</v>
      </c>
      <c r="E391" s="14" t="s">
        <v>170</v>
      </c>
      <c r="F391" s="14">
        <v>0.42</v>
      </c>
      <c r="G391" s="14">
        <v>0.6</v>
      </c>
      <c r="H391" s="14">
        <v>0.58099999999999996</v>
      </c>
      <c r="I391" s="14">
        <v>0.6</v>
      </c>
      <c r="J391" s="14">
        <v>1.42</v>
      </c>
      <c r="K391" s="14">
        <v>1.34</v>
      </c>
      <c r="L391" s="14">
        <v>0</v>
      </c>
      <c r="M391" s="14">
        <v>33</v>
      </c>
      <c r="N391" s="14">
        <v>1338.38</v>
      </c>
      <c r="O391" s="14">
        <v>1.1299999999999999</v>
      </c>
      <c r="P391" s="14">
        <v>0.67</v>
      </c>
      <c r="Q391" s="14">
        <v>0</v>
      </c>
      <c r="R391" s="14" t="s">
        <v>34</v>
      </c>
      <c r="S391" s="14" t="s">
        <v>34</v>
      </c>
      <c r="T391" s="14" t="s">
        <v>49</v>
      </c>
      <c r="U391" s="14" t="s">
        <v>50</v>
      </c>
      <c r="V391" s="14" t="s">
        <v>162</v>
      </c>
      <c r="W391" s="14">
        <v>10</v>
      </c>
      <c r="X391" s="14">
        <v>0.5</v>
      </c>
      <c r="Y391" s="14">
        <v>1</v>
      </c>
      <c r="Z391" s="14" t="s">
        <v>204</v>
      </c>
      <c r="AA391" s="14">
        <v>0.3</v>
      </c>
      <c r="AB391" s="14" t="s">
        <v>34</v>
      </c>
      <c r="AC391" s="14" t="s">
        <v>270</v>
      </c>
      <c r="AD391" s="14" t="s">
        <v>32</v>
      </c>
      <c r="AE391" s="14">
        <v>7.9471999999999996</v>
      </c>
      <c r="AF391" s="14" t="s">
        <v>271</v>
      </c>
      <c r="AG391" s="14">
        <v>2020</v>
      </c>
      <c r="AH391" s="14" t="s">
        <v>272</v>
      </c>
      <c r="AI391" s="61">
        <v>50</v>
      </c>
      <c r="AJ391" s="15">
        <v>2</v>
      </c>
      <c r="AK391" s="15" t="s">
        <v>34</v>
      </c>
    </row>
    <row r="392" spans="1:37" x14ac:dyDescent="0.3">
      <c r="A392" s="12">
        <v>1.2050511124473799</v>
      </c>
      <c r="B392" s="12">
        <v>18.416385059523801</v>
      </c>
      <c r="C392" s="13" t="s">
        <v>33</v>
      </c>
      <c r="D392" s="13" t="s">
        <v>273</v>
      </c>
      <c r="E392" s="13" t="s">
        <v>170</v>
      </c>
      <c r="F392" s="13">
        <v>0.15</v>
      </c>
      <c r="G392" s="13">
        <v>0.28999999999999998</v>
      </c>
      <c r="H392" s="13">
        <v>0.22900000000000001</v>
      </c>
      <c r="I392" s="13">
        <v>0.317</v>
      </c>
      <c r="J392" s="13">
        <v>2.11</v>
      </c>
      <c r="K392" s="13">
        <v>1.1000000000000001</v>
      </c>
      <c r="L392" s="13">
        <v>0</v>
      </c>
      <c r="M392" s="13">
        <v>50</v>
      </c>
      <c r="N392" s="13">
        <v>1527.88</v>
      </c>
      <c r="O392" s="13">
        <v>0.89900000000000002</v>
      </c>
      <c r="P392" s="13">
        <v>0.54900000000000004</v>
      </c>
      <c r="Q392" s="13">
        <v>27.28</v>
      </c>
      <c r="R392" s="13">
        <v>2.653</v>
      </c>
      <c r="S392" s="13" t="s">
        <v>34</v>
      </c>
      <c r="T392" s="13" t="s">
        <v>49</v>
      </c>
      <c r="U392" s="13" t="s">
        <v>50</v>
      </c>
      <c r="V392" s="13" t="s">
        <v>162</v>
      </c>
      <c r="W392" s="13">
        <v>1</v>
      </c>
      <c r="X392" s="13">
        <v>0.5</v>
      </c>
      <c r="Y392" s="13">
        <v>1.25</v>
      </c>
      <c r="Z392" s="13" t="s">
        <v>177</v>
      </c>
      <c r="AA392" s="13">
        <v>8.8499999999999995E-2</v>
      </c>
      <c r="AB392" s="13">
        <v>8</v>
      </c>
      <c r="AC392" s="13" t="s">
        <v>274</v>
      </c>
      <c r="AD392" s="32" t="s">
        <v>32</v>
      </c>
      <c r="AE392" s="13">
        <v>0.9365</v>
      </c>
      <c r="AF392" s="13" t="s">
        <v>251</v>
      </c>
      <c r="AG392" s="13">
        <v>2016</v>
      </c>
      <c r="AH392" s="13" t="s">
        <v>275</v>
      </c>
      <c r="AI392" s="2">
        <v>50</v>
      </c>
      <c r="AJ392" s="2">
        <v>2</v>
      </c>
      <c r="AK392" s="2" t="s">
        <v>34</v>
      </c>
    </row>
    <row r="393" spans="1:37" x14ac:dyDescent="0.3">
      <c r="A393" s="11">
        <v>1.19061936259771</v>
      </c>
      <c r="B393" s="11">
        <v>15.2563151389925</v>
      </c>
      <c r="C393" s="13" t="s">
        <v>33</v>
      </c>
      <c r="D393" s="13" t="s">
        <v>273</v>
      </c>
      <c r="E393" s="13" t="s">
        <v>170</v>
      </c>
      <c r="F393" s="13">
        <v>0.15</v>
      </c>
      <c r="G393" s="13">
        <v>0.28999999999999998</v>
      </c>
      <c r="H393" s="13">
        <v>0.22900000000000001</v>
      </c>
      <c r="I393" s="13">
        <v>0.317</v>
      </c>
      <c r="J393" s="13">
        <v>2.11</v>
      </c>
      <c r="K393" s="13">
        <v>1.1000000000000001</v>
      </c>
      <c r="L393" s="13">
        <v>0</v>
      </c>
      <c r="M393" s="13">
        <v>50</v>
      </c>
      <c r="N393" s="13">
        <v>1527.88</v>
      </c>
      <c r="O393" s="13">
        <v>0.89900000000000002</v>
      </c>
      <c r="P393" s="13">
        <v>0.54900000000000004</v>
      </c>
      <c r="Q393" s="13">
        <v>27.28</v>
      </c>
      <c r="R393" s="13">
        <v>2.653</v>
      </c>
      <c r="S393" s="13" t="s">
        <v>34</v>
      </c>
      <c r="T393" s="13" t="s">
        <v>49</v>
      </c>
      <c r="U393" s="13" t="s">
        <v>50</v>
      </c>
      <c r="V393" s="13" t="s">
        <v>162</v>
      </c>
      <c r="W393" s="13">
        <v>1</v>
      </c>
      <c r="X393" s="13">
        <v>0.5</v>
      </c>
      <c r="Y393" s="13">
        <v>1.25</v>
      </c>
      <c r="Z393" s="13" t="s">
        <v>177</v>
      </c>
      <c r="AA393" s="13">
        <v>8.8499999999999995E-2</v>
      </c>
      <c r="AB393" s="13">
        <v>8</v>
      </c>
      <c r="AC393" s="13" t="s">
        <v>274</v>
      </c>
      <c r="AD393" s="32" t="s">
        <v>32</v>
      </c>
      <c r="AE393" s="13">
        <v>0.9365</v>
      </c>
      <c r="AF393" s="13" t="s">
        <v>251</v>
      </c>
      <c r="AG393" s="13">
        <v>2016</v>
      </c>
      <c r="AH393" s="13" t="s">
        <v>275</v>
      </c>
      <c r="AI393" s="2">
        <v>50</v>
      </c>
      <c r="AJ393" s="2">
        <v>2</v>
      </c>
      <c r="AK393" s="2" t="s">
        <v>34</v>
      </c>
    </row>
    <row r="394" spans="1:37" x14ac:dyDescent="0.3">
      <c r="A394" s="11">
        <v>2.2297053517738998</v>
      </c>
      <c r="B394" s="11">
        <v>33.1465768372056</v>
      </c>
      <c r="C394" s="13" t="s">
        <v>33</v>
      </c>
      <c r="D394" s="13" t="s">
        <v>273</v>
      </c>
      <c r="E394" s="13" t="s">
        <v>170</v>
      </c>
      <c r="F394" s="13">
        <v>0.15</v>
      </c>
      <c r="G394" s="13">
        <v>0.28999999999999998</v>
      </c>
      <c r="H394" s="13">
        <v>0.22900000000000001</v>
      </c>
      <c r="I394" s="13">
        <v>0.317</v>
      </c>
      <c r="J394" s="13">
        <v>2.11</v>
      </c>
      <c r="K394" s="13">
        <v>1.1000000000000001</v>
      </c>
      <c r="L394" s="13">
        <v>0</v>
      </c>
      <c r="M394" s="13">
        <v>50</v>
      </c>
      <c r="N394" s="13">
        <v>1527.88</v>
      </c>
      <c r="O394" s="13">
        <v>0.89900000000000002</v>
      </c>
      <c r="P394" s="13">
        <v>0.54900000000000004</v>
      </c>
      <c r="Q394" s="13">
        <v>27.28</v>
      </c>
      <c r="R394" s="13">
        <v>2.653</v>
      </c>
      <c r="S394" s="13" t="s">
        <v>34</v>
      </c>
      <c r="T394" s="13" t="s">
        <v>49</v>
      </c>
      <c r="U394" s="13" t="s">
        <v>50</v>
      </c>
      <c r="V394" s="13" t="s">
        <v>162</v>
      </c>
      <c r="W394" s="13">
        <v>1</v>
      </c>
      <c r="X394" s="13">
        <v>0.5</v>
      </c>
      <c r="Y394" s="13">
        <v>1.25</v>
      </c>
      <c r="Z394" s="13" t="s">
        <v>177</v>
      </c>
      <c r="AA394" s="13">
        <v>8.8499999999999995E-2</v>
      </c>
      <c r="AB394" s="13">
        <v>8</v>
      </c>
      <c r="AC394" s="13" t="s">
        <v>274</v>
      </c>
      <c r="AD394" s="32" t="s">
        <v>32</v>
      </c>
      <c r="AE394" s="13">
        <v>0.9365</v>
      </c>
      <c r="AF394" s="13" t="s">
        <v>251</v>
      </c>
      <c r="AG394" s="13">
        <v>2016</v>
      </c>
      <c r="AH394" s="13" t="s">
        <v>275</v>
      </c>
      <c r="AI394" s="2">
        <v>50</v>
      </c>
      <c r="AJ394" s="2">
        <v>2</v>
      </c>
      <c r="AK394" s="2" t="s">
        <v>34</v>
      </c>
    </row>
    <row r="395" spans="1:37" x14ac:dyDescent="0.3">
      <c r="A395" s="11">
        <v>2.2080577269993902</v>
      </c>
      <c r="B395" s="11">
        <v>28.881393623758999</v>
      </c>
      <c r="C395" s="13" t="s">
        <v>33</v>
      </c>
      <c r="D395" s="13" t="s">
        <v>273</v>
      </c>
      <c r="E395" s="13" t="s">
        <v>170</v>
      </c>
      <c r="F395" s="13">
        <v>0.15</v>
      </c>
      <c r="G395" s="13">
        <v>0.28999999999999998</v>
      </c>
      <c r="H395" s="13">
        <v>0.22900000000000001</v>
      </c>
      <c r="I395" s="13">
        <v>0.317</v>
      </c>
      <c r="J395" s="13">
        <v>2.11</v>
      </c>
      <c r="K395" s="13">
        <v>1.1000000000000001</v>
      </c>
      <c r="L395" s="13">
        <v>0</v>
      </c>
      <c r="M395" s="13">
        <v>50</v>
      </c>
      <c r="N395" s="13">
        <v>1527.88</v>
      </c>
      <c r="O395" s="13">
        <v>0.89900000000000002</v>
      </c>
      <c r="P395" s="13">
        <v>0.54900000000000004</v>
      </c>
      <c r="Q395" s="13">
        <v>27.28</v>
      </c>
      <c r="R395" s="13">
        <v>2.653</v>
      </c>
      <c r="S395" s="13" t="s">
        <v>34</v>
      </c>
      <c r="T395" s="13" t="s">
        <v>49</v>
      </c>
      <c r="U395" s="13" t="s">
        <v>50</v>
      </c>
      <c r="V395" s="13" t="s">
        <v>162</v>
      </c>
      <c r="W395" s="13">
        <v>1</v>
      </c>
      <c r="X395" s="13">
        <v>0.5</v>
      </c>
      <c r="Y395" s="13">
        <v>1.25</v>
      </c>
      <c r="Z395" s="13" t="s">
        <v>177</v>
      </c>
      <c r="AA395" s="13">
        <v>8.8499999999999995E-2</v>
      </c>
      <c r="AB395" s="13">
        <v>8</v>
      </c>
      <c r="AC395" s="13" t="s">
        <v>274</v>
      </c>
      <c r="AD395" s="32" t="s">
        <v>32</v>
      </c>
      <c r="AE395" s="13">
        <v>0.9365</v>
      </c>
      <c r="AF395" s="13" t="s">
        <v>251</v>
      </c>
      <c r="AG395" s="13">
        <v>2016</v>
      </c>
      <c r="AH395" s="13" t="s">
        <v>275</v>
      </c>
      <c r="AI395" s="2">
        <v>50</v>
      </c>
      <c r="AJ395" s="2">
        <v>2</v>
      </c>
      <c r="AK395" s="2" t="s">
        <v>34</v>
      </c>
    </row>
    <row r="396" spans="1:37" x14ac:dyDescent="0.3">
      <c r="A396" s="11">
        <v>3.1389055923030602</v>
      </c>
      <c r="B396" s="11">
        <v>44.673486762516497</v>
      </c>
      <c r="C396" s="13" t="s">
        <v>33</v>
      </c>
      <c r="D396" s="13" t="s">
        <v>273</v>
      </c>
      <c r="E396" s="13" t="s">
        <v>170</v>
      </c>
      <c r="F396" s="13">
        <v>0.15</v>
      </c>
      <c r="G396" s="13">
        <v>0.28999999999999998</v>
      </c>
      <c r="H396" s="13">
        <v>0.22900000000000001</v>
      </c>
      <c r="I396" s="13">
        <v>0.317</v>
      </c>
      <c r="J396" s="13">
        <v>2.11</v>
      </c>
      <c r="K396" s="13">
        <v>1.1000000000000001</v>
      </c>
      <c r="L396" s="13">
        <v>0</v>
      </c>
      <c r="M396" s="13">
        <v>50</v>
      </c>
      <c r="N396" s="13">
        <v>1527.88</v>
      </c>
      <c r="O396" s="13">
        <v>0.89900000000000002</v>
      </c>
      <c r="P396" s="13">
        <v>0.54900000000000004</v>
      </c>
      <c r="Q396" s="13">
        <v>27.28</v>
      </c>
      <c r="R396" s="13">
        <v>2.653</v>
      </c>
      <c r="S396" s="13" t="s">
        <v>34</v>
      </c>
      <c r="T396" s="13" t="s">
        <v>49</v>
      </c>
      <c r="U396" s="13" t="s">
        <v>50</v>
      </c>
      <c r="V396" s="13" t="s">
        <v>162</v>
      </c>
      <c r="W396" s="13">
        <v>1</v>
      </c>
      <c r="X396" s="13">
        <v>0.5</v>
      </c>
      <c r="Y396" s="13">
        <v>1.25</v>
      </c>
      <c r="Z396" s="13" t="s">
        <v>177</v>
      </c>
      <c r="AA396" s="13">
        <v>8.8499999999999995E-2</v>
      </c>
      <c r="AB396" s="13">
        <v>8</v>
      </c>
      <c r="AC396" s="13" t="s">
        <v>274</v>
      </c>
      <c r="AD396" s="32" t="s">
        <v>32</v>
      </c>
      <c r="AE396" s="13">
        <v>0.9365</v>
      </c>
      <c r="AF396" s="13" t="s">
        <v>251</v>
      </c>
      <c r="AG396" s="13">
        <v>2016</v>
      </c>
      <c r="AH396" s="13" t="s">
        <v>275</v>
      </c>
      <c r="AI396" s="2">
        <v>50</v>
      </c>
      <c r="AJ396" s="2">
        <v>2</v>
      </c>
      <c r="AK396" s="2" t="s">
        <v>34</v>
      </c>
    </row>
    <row r="397" spans="1:37" x14ac:dyDescent="0.3">
      <c r="A397" s="11">
        <v>3.2760072158749201</v>
      </c>
      <c r="B397" s="11">
        <v>49.421764312422503</v>
      </c>
      <c r="C397" s="13" t="s">
        <v>33</v>
      </c>
      <c r="D397" s="13" t="s">
        <v>273</v>
      </c>
      <c r="E397" s="13" t="s">
        <v>170</v>
      </c>
      <c r="F397" s="13">
        <v>0.15</v>
      </c>
      <c r="G397" s="13">
        <v>0.28999999999999998</v>
      </c>
      <c r="H397" s="13">
        <v>0.22900000000000001</v>
      </c>
      <c r="I397" s="13">
        <v>0.317</v>
      </c>
      <c r="J397" s="13">
        <v>2.11</v>
      </c>
      <c r="K397" s="13">
        <v>1.1000000000000001</v>
      </c>
      <c r="L397" s="13">
        <v>0</v>
      </c>
      <c r="M397" s="13">
        <v>50</v>
      </c>
      <c r="N397" s="13">
        <v>1527.88</v>
      </c>
      <c r="O397" s="13">
        <v>0.89900000000000002</v>
      </c>
      <c r="P397" s="13">
        <v>0.54900000000000004</v>
      </c>
      <c r="Q397" s="13">
        <v>27.28</v>
      </c>
      <c r="R397" s="13">
        <v>2.653</v>
      </c>
      <c r="S397" s="13" t="s">
        <v>34</v>
      </c>
      <c r="T397" s="13" t="s">
        <v>49</v>
      </c>
      <c r="U397" s="13" t="s">
        <v>50</v>
      </c>
      <c r="V397" s="13" t="s">
        <v>162</v>
      </c>
      <c r="W397" s="13">
        <v>1</v>
      </c>
      <c r="X397" s="13">
        <v>0.5</v>
      </c>
      <c r="Y397" s="13">
        <v>1.25</v>
      </c>
      <c r="Z397" s="13" t="s">
        <v>177</v>
      </c>
      <c r="AA397" s="13">
        <v>8.8499999999999995E-2</v>
      </c>
      <c r="AB397" s="13">
        <v>8</v>
      </c>
      <c r="AC397" s="13" t="s">
        <v>274</v>
      </c>
      <c r="AD397" s="32" t="s">
        <v>32</v>
      </c>
      <c r="AE397" s="13">
        <v>0.9365</v>
      </c>
      <c r="AF397" s="13" t="s">
        <v>251</v>
      </c>
      <c r="AG397" s="13">
        <v>2016</v>
      </c>
      <c r="AH397" s="13" t="s">
        <v>275</v>
      </c>
      <c r="AI397" s="2">
        <v>50</v>
      </c>
      <c r="AJ397" s="2">
        <v>2</v>
      </c>
      <c r="AK397" s="2" t="s">
        <v>34</v>
      </c>
    </row>
    <row r="398" spans="1:37" x14ac:dyDescent="0.3">
      <c r="A398" s="11">
        <v>4.2573662056524304</v>
      </c>
      <c r="B398" s="11">
        <v>64.798552437267006</v>
      </c>
      <c r="C398" s="13" t="s">
        <v>33</v>
      </c>
      <c r="D398" s="13" t="s">
        <v>273</v>
      </c>
      <c r="E398" s="13" t="s">
        <v>170</v>
      </c>
      <c r="F398" s="13">
        <v>0.15</v>
      </c>
      <c r="G398" s="13">
        <v>0.28999999999999998</v>
      </c>
      <c r="H398" s="13">
        <v>0.22900000000000001</v>
      </c>
      <c r="I398" s="13">
        <v>0.317</v>
      </c>
      <c r="J398" s="13">
        <v>2.11</v>
      </c>
      <c r="K398" s="13">
        <v>1.1000000000000001</v>
      </c>
      <c r="L398" s="13">
        <v>0</v>
      </c>
      <c r="M398" s="13">
        <v>50</v>
      </c>
      <c r="N398" s="13">
        <v>1527.88</v>
      </c>
      <c r="O398" s="13">
        <v>0.89900000000000002</v>
      </c>
      <c r="P398" s="13">
        <v>0.54900000000000004</v>
      </c>
      <c r="Q398" s="13">
        <v>27.28</v>
      </c>
      <c r="R398" s="13">
        <v>2.653</v>
      </c>
      <c r="S398" s="13" t="s">
        <v>34</v>
      </c>
      <c r="T398" s="13" t="s">
        <v>49</v>
      </c>
      <c r="U398" s="13" t="s">
        <v>50</v>
      </c>
      <c r="V398" s="13" t="s">
        <v>162</v>
      </c>
      <c r="W398" s="13">
        <v>1</v>
      </c>
      <c r="X398" s="13">
        <v>0.5</v>
      </c>
      <c r="Y398" s="13">
        <v>1.25</v>
      </c>
      <c r="Z398" s="13" t="s">
        <v>177</v>
      </c>
      <c r="AA398" s="13">
        <v>8.8499999999999995E-2</v>
      </c>
      <c r="AB398" s="13">
        <v>8</v>
      </c>
      <c r="AC398" s="13" t="s">
        <v>274</v>
      </c>
      <c r="AD398" s="32" t="s">
        <v>32</v>
      </c>
      <c r="AE398" s="13">
        <v>0.9365</v>
      </c>
      <c r="AF398" s="13" t="s">
        <v>251</v>
      </c>
      <c r="AG398" s="13">
        <v>2016</v>
      </c>
      <c r="AH398" s="13" t="s">
        <v>275</v>
      </c>
      <c r="AI398" s="2">
        <v>50</v>
      </c>
      <c r="AJ398" s="2">
        <v>2</v>
      </c>
      <c r="AK398" s="2" t="s">
        <v>34</v>
      </c>
    </row>
    <row r="399" spans="1:37" x14ac:dyDescent="0.3">
      <c r="A399" s="11">
        <v>4.2501503307275996</v>
      </c>
      <c r="B399" s="11">
        <v>67.8430686540013</v>
      </c>
      <c r="C399" s="13" t="s">
        <v>33</v>
      </c>
      <c r="D399" s="13" t="s">
        <v>273</v>
      </c>
      <c r="E399" s="13" t="s">
        <v>170</v>
      </c>
      <c r="F399" s="13">
        <v>0.15</v>
      </c>
      <c r="G399" s="13">
        <v>0.28999999999999998</v>
      </c>
      <c r="H399" s="13">
        <v>0.22900000000000001</v>
      </c>
      <c r="I399" s="13">
        <v>0.317</v>
      </c>
      <c r="J399" s="13">
        <v>2.11</v>
      </c>
      <c r="K399" s="13">
        <v>1.1000000000000001</v>
      </c>
      <c r="L399" s="13">
        <v>0</v>
      </c>
      <c r="M399" s="13">
        <v>50</v>
      </c>
      <c r="N399" s="13">
        <v>1527.88</v>
      </c>
      <c r="O399" s="13">
        <v>0.89900000000000002</v>
      </c>
      <c r="P399" s="13">
        <v>0.54900000000000004</v>
      </c>
      <c r="Q399" s="13">
        <v>27.28</v>
      </c>
      <c r="R399" s="13">
        <v>2.653</v>
      </c>
      <c r="S399" s="13" t="s">
        <v>34</v>
      </c>
      <c r="T399" s="13" t="s">
        <v>49</v>
      </c>
      <c r="U399" s="13" t="s">
        <v>50</v>
      </c>
      <c r="V399" s="13" t="s">
        <v>162</v>
      </c>
      <c r="W399" s="13">
        <v>1</v>
      </c>
      <c r="X399" s="13">
        <v>0.5</v>
      </c>
      <c r="Y399" s="13">
        <v>1.25</v>
      </c>
      <c r="Z399" s="13" t="s">
        <v>177</v>
      </c>
      <c r="AA399" s="13">
        <v>8.8499999999999995E-2</v>
      </c>
      <c r="AB399" s="13">
        <v>8</v>
      </c>
      <c r="AC399" s="13" t="s">
        <v>274</v>
      </c>
      <c r="AD399" s="32" t="s">
        <v>32</v>
      </c>
      <c r="AE399" s="13">
        <v>0.9365</v>
      </c>
      <c r="AF399" s="13" t="s">
        <v>251</v>
      </c>
      <c r="AG399" s="13">
        <v>2016</v>
      </c>
      <c r="AH399" s="13" t="s">
        <v>275</v>
      </c>
      <c r="AI399" s="2">
        <v>50</v>
      </c>
      <c r="AJ399" s="2">
        <v>2</v>
      </c>
      <c r="AK399" s="2" t="s">
        <v>34</v>
      </c>
    </row>
    <row r="400" spans="1:37" x14ac:dyDescent="0.3">
      <c r="A400" s="11">
        <v>5.9386650631388997</v>
      </c>
      <c r="B400" s="11">
        <v>76.796949253539296</v>
      </c>
      <c r="C400" s="13" t="s">
        <v>33</v>
      </c>
      <c r="D400" s="13" t="s">
        <v>273</v>
      </c>
      <c r="E400" s="13" t="s">
        <v>170</v>
      </c>
      <c r="F400" s="13">
        <v>0.15</v>
      </c>
      <c r="G400" s="13">
        <v>0.28999999999999998</v>
      </c>
      <c r="H400" s="13">
        <v>0.22900000000000001</v>
      </c>
      <c r="I400" s="13">
        <v>0.317</v>
      </c>
      <c r="J400" s="13">
        <v>2.11</v>
      </c>
      <c r="K400" s="13">
        <v>1.1000000000000001</v>
      </c>
      <c r="L400" s="13">
        <v>0</v>
      </c>
      <c r="M400" s="13">
        <v>50</v>
      </c>
      <c r="N400" s="13">
        <v>1527.88</v>
      </c>
      <c r="O400" s="13">
        <v>0.89900000000000002</v>
      </c>
      <c r="P400" s="13">
        <v>0.54900000000000004</v>
      </c>
      <c r="Q400" s="13">
        <v>27.28</v>
      </c>
      <c r="R400" s="13">
        <v>2.653</v>
      </c>
      <c r="S400" s="13" t="s">
        <v>34</v>
      </c>
      <c r="T400" s="13" t="s">
        <v>49</v>
      </c>
      <c r="U400" s="13" t="s">
        <v>50</v>
      </c>
      <c r="V400" s="13" t="s">
        <v>162</v>
      </c>
      <c r="W400" s="13">
        <v>1</v>
      </c>
      <c r="X400" s="13">
        <v>0.5</v>
      </c>
      <c r="Y400" s="13">
        <v>1.25</v>
      </c>
      <c r="Z400" s="13" t="s">
        <v>177</v>
      </c>
      <c r="AA400" s="13">
        <v>8.8499999999999995E-2</v>
      </c>
      <c r="AB400" s="13">
        <v>8</v>
      </c>
      <c r="AC400" s="13" t="s">
        <v>274</v>
      </c>
      <c r="AD400" s="32" t="s">
        <v>32</v>
      </c>
      <c r="AE400" s="13">
        <v>0.9365</v>
      </c>
      <c r="AF400" s="13" t="s">
        <v>251</v>
      </c>
      <c r="AG400" s="13">
        <v>2016</v>
      </c>
      <c r="AH400" s="13" t="s">
        <v>275</v>
      </c>
      <c r="AI400" s="2">
        <v>50</v>
      </c>
      <c r="AJ400" s="2">
        <v>2</v>
      </c>
      <c r="AK400" s="2" t="s">
        <v>34</v>
      </c>
    </row>
    <row r="401" spans="1:37" x14ac:dyDescent="0.3">
      <c r="A401" s="11">
        <v>6.0324714371617496</v>
      </c>
      <c r="B401" s="11">
        <v>76.796949253539296</v>
      </c>
      <c r="C401" s="13" t="s">
        <v>33</v>
      </c>
      <c r="D401" s="13" t="s">
        <v>273</v>
      </c>
      <c r="E401" s="13" t="s">
        <v>170</v>
      </c>
      <c r="F401" s="13">
        <v>0.15</v>
      </c>
      <c r="G401" s="13">
        <v>0.28999999999999998</v>
      </c>
      <c r="H401" s="13">
        <v>0.22900000000000001</v>
      </c>
      <c r="I401" s="13">
        <v>0.317</v>
      </c>
      <c r="J401" s="13">
        <v>2.11</v>
      </c>
      <c r="K401" s="13">
        <v>1.1000000000000001</v>
      </c>
      <c r="L401" s="13">
        <v>0</v>
      </c>
      <c r="M401" s="13">
        <v>50</v>
      </c>
      <c r="N401" s="13">
        <v>1527.88</v>
      </c>
      <c r="O401" s="13">
        <v>0.89900000000000002</v>
      </c>
      <c r="P401" s="13">
        <v>0.54900000000000004</v>
      </c>
      <c r="Q401" s="13">
        <v>27.28</v>
      </c>
      <c r="R401" s="13">
        <v>2.653</v>
      </c>
      <c r="S401" s="13" t="s">
        <v>34</v>
      </c>
      <c r="T401" s="13" t="s">
        <v>49</v>
      </c>
      <c r="U401" s="13" t="s">
        <v>50</v>
      </c>
      <c r="V401" s="13" t="s">
        <v>162</v>
      </c>
      <c r="W401" s="13">
        <v>1</v>
      </c>
      <c r="X401" s="13">
        <v>0.5</v>
      </c>
      <c r="Y401" s="13">
        <v>1.25</v>
      </c>
      <c r="Z401" s="13" t="s">
        <v>177</v>
      </c>
      <c r="AA401" s="13">
        <v>8.8499999999999995E-2</v>
      </c>
      <c r="AB401" s="13">
        <v>8</v>
      </c>
      <c r="AC401" s="13" t="s">
        <v>274</v>
      </c>
      <c r="AD401" s="32" t="s">
        <v>32</v>
      </c>
      <c r="AE401" s="13">
        <v>0.9365</v>
      </c>
      <c r="AF401" s="13" t="s">
        <v>251</v>
      </c>
      <c r="AG401" s="13">
        <v>2016</v>
      </c>
      <c r="AH401" s="13" t="s">
        <v>275</v>
      </c>
      <c r="AI401" s="2">
        <v>50</v>
      </c>
      <c r="AJ401" s="2">
        <v>2</v>
      </c>
      <c r="AK401" s="2" t="s">
        <v>34</v>
      </c>
    </row>
    <row r="402" spans="1:37" x14ac:dyDescent="0.3">
      <c r="A402" s="31">
        <v>8.6085387853277098</v>
      </c>
      <c r="B402" s="31">
        <v>150.13107289081699</v>
      </c>
      <c r="C402" s="32" t="s">
        <v>33</v>
      </c>
      <c r="D402" s="32" t="s">
        <v>273</v>
      </c>
      <c r="E402" s="32" t="s">
        <v>170</v>
      </c>
      <c r="F402" s="32">
        <v>0.15</v>
      </c>
      <c r="G402" s="32">
        <v>0.28999999999999998</v>
      </c>
      <c r="H402" s="32">
        <v>0.22900000000000001</v>
      </c>
      <c r="I402" s="32">
        <v>0.317</v>
      </c>
      <c r="J402" s="32">
        <v>2.11</v>
      </c>
      <c r="K402" s="32">
        <v>1.1000000000000001</v>
      </c>
      <c r="L402" s="32">
        <v>0</v>
      </c>
      <c r="M402" s="32">
        <v>50</v>
      </c>
      <c r="N402" s="32">
        <v>1527.88</v>
      </c>
      <c r="O402" s="32">
        <v>0.89900000000000002</v>
      </c>
      <c r="P402" s="32">
        <v>0.54900000000000004</v>
      </c>
      <c r="Q402" s="32">
        <v>27.28</v>
      </c>
      <c r="R402" s="32">
        <v>2.653</v>
      </c>
      <c r="S402" s="32" t="s">
        <v>34</v>
      </c>
      <c r="T402" s="32" t="s">
        <v>49</v>
      </c>
      <c r="U402" s="32" t="s">
        <v>50</v>
      </c>
      <c r="V402" s="32" t="s">
        <v>162</v>
      </c>
      <c r="W402" s="32">
        <v>1</v>
      </c>
      <c r="X402" s="32">
        <v>0.5</v>
      </c>
      <c r="Y402" s="32">
        <v>1.25</v>
      </c>
      <c r="Z402" s="32" t="s">
        <v>177</v>
      </c>
      <c r="AA402" s="32">
        <v>8.8499999999999995E-2</v>
      </c>
      <c r="AB402" s="32">
        <v>8</v>
      </c>
      <c r="AC402" s="32" t="s">
        <v>274</v>
      </c>
      <c r="AD402" s="32" t="s">
        <v>32</v>
      </c>
      <c r="AE402" s="32">
        <v>0.9365</v>
      </c>
      <c r="AF402" s="32" t="s">
        <v>251</v>
      </c>
      <c r="AG402" s="32">
        <v>2016</v>
      </c>
      <c r="AH402" s="32" t="s">
        <v>275</v>
      </c>
      <c r="AI402" s="2">
        <v>50</v>
      </c>
      <c r="AJ402" s="2">
        <v>2</v>
      </c>
      <c r="AK402" s="2" t="s">
        <v>34</v>
      </c>
    </row>
    <row r="403" spans="1:37" s="34" customFormat="1" ht="16.2" thickBot="1" x14ac:dyDescent="0.35">
      <c r="A403" s="17">
        <v>8.5147324113048608</v>
      </c>
      <c r="B403" s="17">
        <v>109.869555602478</v>
      </c>
      <c r="C403" s="14" t="s">
        <v>33</v>
      </c>
      <c r="D403" s="14" t="s">
        <v>273</v>
      </c>
      <c r="E403" s="14" t="s">
        <v>170</v>
      </c>
      <c r="F403" s="14">
        <v>0.15</v>
      </c>
      <c r="G403" s="14">
        <v>0.28999999999999998</v>
      </c>
      <c r="H403" s="14">
        <v>0.22900000000000001</v>
      </c>
      <c r="I403" s="14">
        <v>0.317</v>
      </c>
      <c r="J403" s="14">
        <v>2.11</v>
      </c>
      <c r="K403" s="14">
        <v>1.1000000000000001</v>
      </c>
      <c r="L403" s="14">
        <v>0</v>
      </c>
      <c r="M403" s="14">
        <v>50</v>
      </c>
      <c r="N403" s="14">
        <v>1527.88</v>
      </c>
      <c r="O403" s="14">
        <v>0.89900000000000002</v>
      </c>
      <c r="P403" s="14">
        <v>0.54900000000000004</v>
      </c>
      <c r="Q403" s="14">
        <v>27.28</v>
      </c>
      <c r="R403" s="14">
        <v>2.653</v>
      </c>
      <c r="S403" s="14" t="s">
        <v>34</v>
      </c>
      <c r="T403" s="14" t="s">
        <v>49</v>
      </c>
      <c r="U403" s="14" t="s">
        <v>50</v>
      </c>
      <c r="V403" s="14" t="s">
        <v>162</v>
      </c>
      <c r="W403" s="14">
        <v>1</v>
      </c>
      <c r="X403" s="14">
        <v>0.5</v>
      </c>
      <c r="Y403" s="14">
        <v>1.25</v>
      </c>
      <c r="Z403" s="14" t="s">
        <v>177</v>
      </c>
      <c r="AA403" s="14">
        <v>8.8499999999999995E-2</v>
      </c>
      <c r="AB403" s="14">
        <v>8</v>
      </c>
      <c r="AC403" s="14" t="s">
        <v>274</v>
      </c>
      <c r="AD403" s="14" t="s">
        <v>32</v>
      </c>
      <c r="AE403" s="14">
        <v>0.9365</v>
      </c>
      <c r="AF403" s="14" t="s">
        <v>251</v>
      </c>
      <c r="AG403" s="14">
        <v>2016</v>
      </c>
      <c r="AH403" s="14" t="s">
        <v>275</v>
      </c>
      <c r="AI403" s="61">
        <v>50</v>
      </c>
      <c r="AJ403" s="15">
        <v>2</v>
      </c>
      <c r="AK403" s="15" t="s">
        <v>34</v>
      </c>
    </row>
    <row r="404" spans="1:37" x14ac:dyDescent="0.3">
      <c r="A404" s="12">
        <v>5.8844765342960201</v>
      </c>
      <c r="B404" s="12">
        <v>376.68161434977497</v>
      </c>
      <c r="C404" s="13" t="s">
        <v>33</v>
      </c>
      <c r="D404" s="13" t="s">
        <v>212</v>
      </c>
      <c r="E404" s="13" t="s">
        <v>170</v>
      </c>
      <c r="F404" s="13" t="s">
        <v>34</v>
      </c>
      <c r="G404" s="13">
        <v>0.72</v>
      </c>
      <c r="H404" s="13" t="s">
        <v>34</v>
      </c>
      <c r="I404" s="13" t="s">
        <v>34</v>
      </c>
      <c r="J404" s="13">
        <v>1.2</v>
      </c>
      <c r="K404" s="13" t="s">
        <v>34</v>
      </c>
      <c r="L404" s="13">
        <v>0</v>
      </c>
      <c r="M404" s="13">
        <v>57</v>
      </c>
      <c r="N404" s="13" t="s">
        <v>34</v>
      </c>
      <c r="O404" s="13">
        <v>0.74199999999999999</v>
      </c>
      <c r="P404" s="13">
        <v>0.502</v>
      </c>
      <c r="Q404" s="13">
        <v>22.64</v>
      </c>
      <c r="R404" s="13">
        <v>2.65</v>
      </c>
      <c r="S404" s="13" t="s">
        <v>34</v>
      </c>
      <c r="T404" s="13" t="s">
        <v>49</v>
      </c>
      <c r="U404" s="13" t="s">
        <v>276</v>
      </c>
      <c r="V404" s="13" t="s">
        <v>162</v>
      </c>
      <c r="W404" s="13">
        <v>3</v>
      </c>
      <c r="X404" s="13">
        <v>2</v>
      </c>
      <c r="Y404" s="13">
        <v>1</v>
      </c>
      <c r="Z404" s="13" t="s">
        <v>276</v>
      </c>
      <c r="AA404" s="13">
        <v>1.56</v>
      </c>
      <c r="AB404" s="13">
        <v>8.8000000000000007</v>
      </c>
      <c r="AC404" s="13" t="s">
        <v>40</v>
      </c>
      <c r="AD404" s="13" t="s">
        <v>277</v>
      </c>
      <c r="AE404" s="13">
        <v>0.11</v>
      </c>
      <c r="AF404" s="13" t="s">
        <v>278</v>
      </c>
      <c r="AG404" s="13">
        <v>2022</v>
      </c>
      <c r="AH404" s="13" t="s">
        <v>279</v>
      </c>
      <c r="AI404" s="2">
        <v>50</v>
      </c>
      <c r="AJ404" s="2">
        <v>2</v>
      </c>
      <c r="AK404" s="2">
        <v>1</v>
      </c>
    </row>
    <row r="405" spans="1:37" x14ac:dyDescent="0.3">
      <c r="A405" s="11">
        <v>6.2599277978339298</v>
      </c>
      <c r="B405" s="11">
        <v>566.81614349775703</v>
      </c>
      <c r="C405" s="10" t="s">
        <v>33</v>
      </c>
      <c r="D405" s="13" t="s">
        <v>212</v>
      </c>
      <c r="E405" s="10" t="s">
        <v>170</v>
      </c>
      <c r="F405" s="10" t="s">
        <v>34</v>
      </c>
      <c r="G405" s="10">
        <v>0.72</v>
      </c>
      <c r="H405" s="10" t="s">
        <v>34</v>
      </c>
      <c r="I405" s="10" t="s">
        <v>34</v>
      </c>
      <c r="J405" s="10">
        <v>1.2</v>
      </c>
      <c r="K405" s="10" t="s">
        <v>34</v>
      </c>
      <c r="L405" s="10">
        <v>0</v>
      </c>
      <c r="M405" s="10">
        <v>57</v>
      </c>
      <c r="N405" s="10" t="s">
        <v>34</v>
      </c>
      <c r="O405" s="10">
        <v>0.74199999999999999</v>
      </c>
      <c r="P405" s="10">
        <v>0.502</v>
      </c>
      <c r="Q405" s="10">
        <v>22.64</v>
      </c>
      <c r="R405" s="10">
        <v>2.65</v>
      </c>
      <c r="S405" s="10" t="s">
        <v>34</v>
      </c>
      <c r="T405" s="10" t="s">
        <v>49</v>
      </c>
      <c r="U405" s="10" t="s">
        <v>276</v>
      </c>
      <c r="V405" s="10" t="s">
        <v>162</v>
      </c>
      <c r="W405" s="10">
        <v>3</v>
      </c>
      <c r="X405" s="10">
        <v>2</v>
      </c>
      <c r="Y405" s="10">
        <v>1</v>
      </c>
      <c r="Z405" s="10" t="s">
        <v>276</v>
      </c>
      <c r="AA405" s="10">
        <v>1.56</v>
      </c>
      <c r="AB405" s="10">
        <v>8.8000000000000007</v>
      </c>
      <c r="AC405" s="10" t="s">
        <v>40</v>
      </c>
      <c r="AD405" s="10" t="s">
        <v>277</v>
      </c>
      <c r="AE405" s="10">
        <v>0.11</v>
      </c>
      <c r="AF405" s="10" t="s">
        <v>278</v>
      </c>
      <c r="AG405" s="10">
        <v>2022</v>
      </c>
      <c r="AH405" s="10" t="s">
        <v>279</v>
      </c>
      <c r="AI405" s="2">
        <v>50</v>
      </c>
      <c r="AJ405" s="2">
        <v>2</v>
      </c>
      <c r="AK405" s="2">
        <v>1</v>
      </c>
    </row>
    <row r="406" spans="1:37" x14ac:dyDescent="0.3">
      <c r="A406" s="11">
        <v>5.8050541516245397</v>
      </c>
      <c r="B406" s="11">
        <v>208.07174887892299</v>
      </c>
      <c r="C406" s="10" t="s">
        <v>33</v>
      </c>
      <c r="D406" s="13" t="s">
        <v>212</v>
      </c>
      <c r="E406" s="10" t="s">
        <v>170</v>
      </c>
      <c r="F406" s="10" t="s">
        <v>34</v>
      </c>
      <c r="G406" s="10">
        <v>0.72</v>
      </c>
      <c r="H406" s="10" t="s">
        <v>34</v>
      </c>
      <c r="I406" s="10" t="s">
        <v>34</v>
      </c>
      <c r="J406" s="10">
        <v>1.2</v>
      </c>
      <c r="K406" s="10" t="s">
        <v>34</v>
      </c>
      <c r="L406" s="10">
        <v>0</v>
      </c>
      <c r="M406" s="10">
        <v>57</v>
      </c>
      <c r="N406" s="10" t="s">
        <v>34</v>
      </c>
      <c r="O406" s="10">
        <v>0.74199999999999999</v>
      </c>
      <c r="P406" s="10">
        <v>0.502</v>
      </c>
      <c r="Q406" s="10">
        <v>22.64</v>
      </c>
      <c r="R406" s="10">
        <v>2.65</v>
      </c>
      <c r="S406" s="10" t="s">
        <v>34</v>
      </c>
      <c r="T406" s="10" t="s">
        <v>36</v>
      </c>
      <c r="U406" s="10" t="s">
        <v>39</v>
      </c>
      <c r="V406" s="10" t="s">
        <v>162</v>
      </c>
      <c r="W406" s="10">
        <v>3</v>
      </c>
      <c r="X406" s="10">
        <v>2</v>
      </c>
      <c r="Y406" s="10">
        <v>1</v>
      </c>
      <c r="Z406" s="10" t="s">
        <v>39</v>
      </c>
      <c r="AA406" s="10">
        <v>0.48</v>
      </c>
      <c r="AB406" s="10">
        <v>8.8000000000000007</v>
      </c>
      <c r="AC406" s="10" t="s">
        <v>40</v>
      </c>
      <c r="AD406" s="10" t="s">
        <v>277</v>
      </c>
      <c r="AE406" s="10">
        <v>0.11</v>
      </c>
      <c r="AF406" s="10" t="s">
        <v>278</v>
      </c>
      <c r="AG406" s="10">
        <v>2022</v>
      </c>
      <c r="AH406" s="10" t="s">
        <v>279</v>
      </c>
      <c r="AI406" s="2">
        <v>50</v>
      </c>
      <c r="AJ406" s="2">
        <v>2</v>
      </c>
      <c r="AK406" s="2">
        <v>1</v>
      </c>
    </row>
    <row r="407" spans="1:37" x14ac:dyDescent="0.3">
      <c r="A407" s="11">
        <v>5.7039711191335698</v>
      </c>
      <c r="B407" s="11">
        <v>312.10762331838498</v>
      </c>
      <c r="C407" s="10" t="s">
        <v>33</v>
      </c>
      <c r="D407" s="13" t="s">
        <v>212</v>
      </c>
      <c r="E407" s="10" t="s">
        <v>170</v>
      </c>
      <c r="F407" s="10" t="s">
        <v>34</v>
      </c>
      <c r="G407" s="10">
        <v>0.72</v>
      </c>
      <c r="H407" s="10" t="s">
        <v>34</v>
      </c>
      <c r="I407" s="10" t="s">
        <v>34</v>
      </c>
      <c r="J407" s="10">
        <v>1.2</v>
      </c>
      <c r="K407" s="10" t="s">
        <v>34</v>
      </c>
      <c r="L407" s="10">
        <v>0</v>
      </c>
      <c r="M407" s="10">
        <v>57</v>
      </c>
      <c r="N407" s="10" t="s">
        <v>34</v>
      </c>
      <c r="O407" s="10">
        <v>0.74199999999999999</v>
      </c>
      <c r="P407" s="10">
        <v>0.502</v>
      </c>
      <c r="Q407" s="10">
        <v>22.64</v>
      </c>
      <c r="R407" s="10">
        <v>2.65</v>
      </c>
      <c r="S407" s="10" t="s">
        <v>34</v>
      </c>
      <c r="T407" s="10" t="s">
        <v>36</v>
      </c>
      <c r="U407" s="10" t="s">
        <v>39</v>
      </c>
      <c r="V407" s="10" t="s">
        <v>162</v>
      </c>
      <c r="W407" s="10">
        <v>3</v>
      </c>
      <c r="X407" s="10">
        <v>2</v>
      </c>
      <c r="Y407" s="10">
        <v>1</v>
      </c>
      <c r="Z407" s="10" t="s">
        <v>39</v>
      </c>
      <c r="AA407" s="10">
        <v>0.48</v>
      </c>
      <c r="AB407" s="10">
        <v>8.8000000000000007</v>
      </c>
      <c r="AC407" s="10" t="s">
        <v>40</v>
      </c>
      <c r="AD407" s="10" t="s">
        <v>277</v>
      </c>
      <c r="AE407" s="10">
        <v>0.11</v>
      </c>
      <c r="AF407" s="10" t="s">
        <v>278</v>
      </c>
      <c r="AG407" s="10">
        <v>2022</v>
      </c>
      <c r="AH407" s="10" t="s">
        <v>279</v>
      </c>
      <c r="AI407" s="2">
        <v>50</v>
      </c>
      <c r="AJ407" s="2">
        <v>2</v>
      </c>
      <c r="AK407" s="2">
        <v>1</v>
      </c>
    </row>
    <row r="408" spans="1:37" x14ac:dyDescent="0.3">
      <c r="A408" s="11">
        <v>5.5234657039711097</v>
      </c>
      <c r="B408" s="11">
        <v>319.28251121076102</v>
      </c>
      <c r="C408" s="10" t="s">
        <v>33</v>
      </c>
      <c r="D408" s="13" t="s">
        <v>212</v>
      </c>
      <c r="E408" s="10" t="s">
        <v>170</v>
      </c>
      <c r="F408" s="10" t="s">
        <v>34</v>
      </c>
      <c r="G408" s="10">
        <v>0.72</v>
      </c>
      <c r="H408" s="10" t="s">
        <v>34</v>
      </c>
      <c r="I408" s="10" t="s">
        <v>34</v>
      </c>
      <c r="J408" s="10">
        <v>1.2</v>
      </c>
      <c r="K408" s="10" t="s">
        <v>34</v>
      </c>
      <c r="L408" s="10">
        <v>0</v>
      </c>
      <c r="M408" s="10">
        <v>57</v>
      </c>
      <c r="N408" s="10" t="s">
        <v>34</v>
      </c>
      <c r="O408" s="10">
        <v>0.74199999999999999</v>
      </c>
      <c r="P408" s="10">
        <v>0.502</v>
      </c>
      <c r="Q408" s="10">
        <v>22.64</v>
      </c>
      <c r="R408" s="10">
        <v>2.65</v>
      </c>
      <c r="S408" s="10" t="s">
        <v>34</v>
      </c>
      <c r="T408" s="10" t="s">
        <v>36</v>
      </c>
      <c r="U408" s="10" t="s">
        <v>39</v>
      </c>
      <c r="V408" s="10" t="s">
        <v>162</v>
      </c>
      <c r="W408" s="10">
        <v>3</v>
      </c>
      <c r="X408" s="10">
        <v>2</v>
      </c>
      <c r="Y408" s="10">
        <v>1</v>
      </c>
      <c r="Z408" s="10" t="s">
        <v>39</v>
      </c>
      <c r="AA408" s="10">
        <v>0.48</v>
      </c>
      <c r="AB408" s="10">
        <v>8.8000000000000007</v>
      </c>
      <c r="AC408" s="10" t="s">
        <v>40</v>
      </c>
      <c r="AD408" s="10" t="s">
        <v>277</v>
      </c>
      <c r="AE408" s="10">
        <v>0.11</v>
      </c>
      <c r="AF408" s="10" t="s">
        <v>278</v>
      </c>
      <c r="AG408" s="10">
        <v>2022</v>
      </c>
      <c r="AH408" s="10" t="s">
        <v>279</v>
      </c>
      <c r="AI408" s="2">
        <v>50</v>
      </c>
      <c r="AJ408" s="2">
        <v>2</v>
      </c>
      <c r="AK408" s="2">
        <v>1</v>
      </c>
    </row>
    <row r="409" spans="1:37" x14ac:dyDescent="0.3">
      <c r="A409" s="11">
        <v>6.4187725631768897</v>
      </c>
      <c r="B409" s="11">
        <v>1327.3542600896801</v>
      </c>
      <c r="C409" s="10" t="s">
        <v>33</v>
      </c>
      <c r="D409" s="13" t="s">
        <v>212</v>
      </c>
      <c r="E409" s="10" t="s">
        <v>170</v>
      </c>
      <c r="F409" s="10" t="s">
        <v>34</v>
      </c>
      <c r="G409" s="10">
        <v>0.72</v>
      </c>
      <c r="H409" s="10" t="s">
        <v>34</v>
      </c>
      <c r="I409" s="10" t="s">
        <v>34</v>
      </c>
      <c r="J409" s="10">
        <v>1.2</v>
      </c>
      <c r="K409" s="10" t="s">
        <v>34</v>
      </c>
      <c r="L409" s="10">
        <v>0</v>
      </c>
      <c r="M409" s="10">
        <v>57</v>
      </c>
      <c r="N409" s="10" t="s">
        <v>34</v>
      </c>
      <c r="O409" s="10">
        <v>0.74199999999999999</v>
      </c>
      <c r="P409" s="10">
        <v>0.502</v>
      </c>
      <c r="Q409" s="10">
        <v>22.64</v>
      </c>
      <c r="R409" s="10">
        <v>2.65</v>
      </c>
      <c r="S409" s="10" t="s">
        <v>34</v>
      </c>
      <c r="T409" s="10" t="s">
        <v>49</v>
      </c>
      <c r="U409" s="10" t="s">
        <v>276</v>
      </c>
      <c r="V409" s="10" t="s">
        <v>162</v>
      </c>
      <c r="W409" s="10">
        <v>3</v>
      </c>
      <c r="X409" s="10">
        <v>2</v>
      </c>
      <c r="Y409" s="10">
        <v>1</v>
      </c>
      <c r="Z409" s="10" t="s">
        <v>276</v>
      </c>
      <c r="AA409" s="10">
        <v>1.56</v>
      </c>
      <c r="AB409" s="10">
        <v>7</v>
      </c>
      <c r="AC409" s="10" t="s">
        <v>281</v>
      </c>
      <c r="AD409" s="10" t="s">
        <v>277</v>
      </c>
      <c r="AE409" s="10">
        <v>0.11</v>
      </c>
      <c r="AF409" s="10" t="s">
        <v>278</v>
      </c>
      <c r="AG409" s="10">
        <v>2022</v>
      </c>
      <c r="AH409" s="10" t="s">
        <v>279</v>
      </c>
      <c r="AI409" s="2">
        <v>50</v>
      </c>
      <c r="AJ409" s="2">
        <v>2</v>
      </c>
      <c r="AK409" s="2">
        <v>1</v>
      </c>
    </row>
    <row r="410" spans="1:37" x14ac:dyDescent="0.3">
      <c r="A410" s="11">
        <v>6.4115523465703896</v>
      </c>
      <c r="B410" s="11">
        <v>1736.3228699551501</v>
      </c>
      <c r="C410" s="10" t="s">
        <v>33</v>
      </c>
      <c r="D410" s="13" t="s">
        <v>212</v>
      </c>
      <c r="E410" s="10" t="s">
        <v>170</v>
      </c>
      <c r="F410" s="10" t="s">
        <v>34</v>
      </c>
      <c r="G410" s="10">
        <v>0.72</v>
      </c>
      <c r="H410" s="10" t="s">
        <v>34</v>
      </c>
      <c r="I410" s="10" t="s">
        <v>34</v>
      </c>
      <c r="J410" s="10">
        <v>1.2</v>
      </c>
      <c r="K410" s="10" t="s">
        <v>34</v>
      </c>
      <c r="L410" s="10">
        <v>0</v>
      </c>
      <c r="M410" s="10">
        <v>57</v>
      </c>
      <c r="N410" s="10" t="s">
        <v>34</v>
      </c>
      <c r="O410" s="10">
        <v>0.74199999999999999</v>
      </c>
      <c r="P410" s="10">
        <v>0.502</v>
      </c>
      <c r="Q410" s="10">
        <v>22.64</v>
      </c>
      <c r="R410" s="10">
        <v>2.65</v>
      </c>
      <c r="S410" s="10" t="s">
        <v>34</v>
      </c>
      <c r="T410" s="10" t="s">
        <v>49</v>
      </c>
      <c r="U410" s="10" t="s">
        <v>276</v>
      </c>
      <c r="V410" s="10" t="s">
        <v>162</v>
      </c>
      <c r="W410" s="10">
        <v>3</v>
      </c>
      <c r="X410" s="10">
        <v>2</v>
      </c>
      <c r="Y410" s="10">
        <v>1</v>
      </c>
      <c r="Z410" s="10" t="s">
        <v>276</v>
      </c>
      <c r="AA410" s="10">
        <v>1.56</v>
      </c>
      <c r="AB410" s="10">
        <v>7</v>
      </c>
      <c r="AC410" s="10" t="s">
        <v>281</v>
      </c>
      <c r="AD410" s="10" t="s">
        <v>277</v>
      </c>
      <c r="AE410" s="10">
        <v>0.11</v>
      </c>
      <c r="AF410" s="10" t="s">
        <v>278</v>
      </c>
      <c r="AG410" s="10">
        <v>2022</v>
      </c>
      <c r="AH410" s="10" t="s">
        <v>279</v>
      </c>
      <c r="AI410" s="2">
        <v>50</v>
      </c>
      <c r="AJ410" s="2">
        <v>2</v>
      </c>
      <c r="AK410" s="2">
        <v>1</v>
      </c>
    </row>
    <row r="411" spans="1:37" x14ac:dyDescent="0.3">
      <c r="A411" s="11">
        <v>6.3249097472924101</v>
      </c>
      <c r="B411" s="11">
        <v>1890.58295964125</v>
      </c>
      <c r="C411" s="10" t="s">
        <v>33</v>
      </c>
      <c r="D411" s="13" t="s">
        <v>212</v>
      </c>
      <c r="E411" s="10" t="s">
        <v>170</v>
      </c>
      <c r="F411" s="10" t="s">
        <v>34</v>
      </c>
      <c r="G411" s="10">
        <v>0.72</v>
      </c>
      <c r="H411" s="10" t="s">
        <v>34</v>
      </c>
      <c r="I411" s="10" t="s">
        <v>34</v>
      </c>
      <c r="J411" s="10">
        <v>1.2</v>
      </c>
      <c r="K411" s="10" t="s">
        <v>34</v>
      </c>
      <c r="L411" s="10">
        <v>0</v>
      </c>
      <c r="M411" s="10">
        <v>57</v>
      </c>
      <c r="N411" s="10" t="s">
        <v>34</v>
      </c>
      <c r="O411" s="10">
        <v>0.74199999999999999</v>
      </c>
      <c r="P411" s="10">
        <v>0.502</v>
      </c>
      <c r="Q411" s="10">
        <v>22.64</v>
      </c>
      <c r="R411" s="10">
        <v>2.65</v>
      </c>
      <c r="S411" s="10" t="s">
        <v>34</v>
      </c>
      <c r="T411" s="10" t="s">
        <v>49</v>
      </c>
      <c r="U411" s="10" t="s">
        <v>276</v>
      </c>
      <c r="V411" s="10" t="s">
        <v>162</v>
      </c>
      <c r="W411" s="10">
        <v>3</v>
      </c>
      <c r="X411" s="10">
        <v>2</v>
      </c>
      <c r="Y411" s="10">
        <v>1</v>
      </c>
      <c r="Z411" s="10" t="s">
        <v>276</v>
      </c>
      <c r="AA411" s="10">
        <v>1.56</v>
      </c>
      <c r="AB411" s="10">
        <v>7</v>
      </c>
      <c r="AC411" s="10" t="s">
        <v>281</v>
      </c>
      <c r="AD411" s="10" t="s">
        <v>277</v>
      </c>
      <c r="AE411" s="10">
        <v>0.11</v>
      </c>
      <c r="AF411" s="10" t="s">
        <v>278</v>
      </c>
      <c r="AG411" s="10">
        <v>2022</v>
      </c>
      <c r="AH411" s="10" t="s">
        <v>279</v>
      </c>
      <c r="AI411" s="2">
        <v>50</v>
      </c>
      <c r="AJ411" s="2">
        <v>2</v>
      </c>
      <c r="AK411" s="2">
        <v>1</v>
      </c>
    </row>
    <row r="412" spans="1:37" x14ac:dyDescent="0.3">
      <c r="A412" s="11">
        <v>5.1841155234657004</v>
      </c>
      <c r="B412" s="11">
        <v>387.44394618834002</v>
      </c>
      <c r="C412" s="10" t="s">
        <v>33</v>
      </c>
      <c r="D412" s="13" t="s">
        <v>212</v>
      </c>
      <c r="E412" s="10" t="s">
        <v>170</v>
      </c>
      <c r="F412" s="10" t="s">
        <v>34</v>
      </c>
      <c r="G412" s="10">
        <v>0.72</v>
      </c>
      <c r="H412" s="10" t="s">
        <v>34</v>
      </c>
      <c r="I412" s="10" t="s">
        <v>34</v>
      </c>
      <c r="J412" s="10">
        <v>1.2</v>
      </c>
      <c r="K412" s="10" t="s">
        <v>34</v>
      </c>
      <c r="L412" s="10">
        <v>0</v>
      </c>
      <c r="M412" s="10">
        <v>57</v>
      </c>
      <c r="N412" s="10" t="s">
        <v>34</v>
      </c>
      <c r="O412" s="10">
        <v>0.74199999999999999</v>
      </c>
      <c r="P412" s="10">
        <v>0.502</v>
      </c>
      <c r="Q412" s="10">
        <v>22.64</v>
      </c>
      <c r="R412" s="10">
        <v>2.65</v>
      </c>
      <c r="S412" s="10" t="s">
        <v>34</v>
      </c>
      <c r="T412" s="10" t="s">
        <v>36</v>
      </c>
      <c r="U412" s="10" t="s">
        <v>39</v>
      </c>
      <c r="V412" s="10" t="s">
        <v>162</v>
      </c>
      <c r="W412" s="10">
        <v>3</v>
      </c>
      <c r="X412" s="10">
        <v>2</v>
      </c>
      <c r="Y412" s="10">
        <v>1</v>
      </c>
      <c r="Z412" s="10" t="s">
        <v>39</v>
      </c>
      <c r="AA412" s="10">
        <v>0.48</v>
      </c>
      <c r="AB412" s="10">
        <v>7</v>
      </c>
      <c r="AC412" s="10" t="s">
        <v>281</v>
      </c>
      <c r="AD412" s="10" t="s">
        <v>277</v>
      </c>
      <c r="AE412" s="10">
        <v>0.11</v>
      </c>
      <c r="AF412" s="10" t="s">
        <v>278</v>
      </c>
      <c r="AG412" s="10">
        <v>2022</v>
      </c>
      <c r="AH412" s="10" t="s">
        <v>279</v>
      </c>
      <c r="AI412" s="2">
        <v>50</v>
      </c>
      <c r="AJ412" s="2">
        <v>2</v>
      </c>
      <c r="AK412" s="2">
        <v>1</v>
      </c>
    </row>
    <row r="413" spans="1:37" x14ac:dyDescent="0.3">
      <c r="A413" s="11">
        <v>5.2418772563176796</v>
      </c>
      <c r="B413" s="11">
        <v>505.82959641255502</v>
      </c>
      <c r="C413" s="10" t="s">
        <v>33</v>
      </c>
      <c r="D413" s="13" t="s">
        <v>212</v>
      </c>
      <c r="E413" s="10" t="s">
        <v>170</v>
      </c>
      <c r="F413" s="10" t="s">
        <v>34</v>
      </c>
      <c r="G413" s="10">
        <v>0.72</v>
      </c>
      <c r="H413" s="10" t="s">
        <v>34</v>
      </c>
      <c r="I413" s="10" t="s">
        <v>34</v>
      </c>
      <c r="J413" s="10">
        <v>1.2</v>
      </c>
      <c r="K413" s="10" t="s">
        <v>34</v>
      </c>
      <c r="L413" s="10">
        <v>0</v>
      </c>
      <c r="M413" s="10">
        <v>57</v>
      </c>
      <c r="N413" s="10" t="s">
        <v>34</v>
      </c>
      <c r="O413" s="10">
        <v>0.74199999999999999</v>
      </c>
      <c r="P413" s="10">
        <v>0.502</v>
      </c>
      <c r="Q413" s="10">
        <v>22.64</v>
      </c>
      <c r="R413" s="10">
        <v>2.65</v>
      </c>
      <c r="S413" s="10" t="s">
        <v>34</v>
      </c>
      <c r="T413" s="10" t="s">
        <v>36</v>
      </c>
      <c r="U413" s="10" t="s">
        <v>39</v>
      </c>
      <c r="V413" s="10" t="s">
        <v>162</v>
      </c>
      <c r="W413" s="10">
        <v>3</v>
      </c>
      <c r="X413" s="10">
        <v>2</v>
      </c>
      <c r="Y413" s="10">
        <v>1</v>
      </c>
      <c r="Z413" s="10" t="s">
        <v>39</v>
      </c>
      <c r="AA413" s="10">
        <v>0.48</v>
      </c>
      <c r="AB413" s="10">
        <v>7</v>
      </c>
      <c r="AC413" s="10" t="s">
        <v>281</v>
      </c>
      <c r="AD413" s="10" t="s">
        <v>277</v>
      </c>
      <c r="AE413" s="10">
        <v>0.11</v>
      </c>
      <c r="AF413" s="10" t="s">
        <v>278</v>
      </c>
      <c r="AG413" s="10">
        <v>2022</v>
      </c>
      <c r="AH413" s="10" t="s">
        <v>279</v>
      </c>
      <c r="AI413" s="2">
        <v>50</v>
      </c>
      <c r="AJ413" s="2">
        <v>2</v>
      </c>
      <c r="AK413" s="2">
        <v>1</v>
      </c>
    </row>
    <row r="414" spans="1:37" x14ac:dyDescent="0.3">
      <c r="A414" s="11">
        <v>5.0758122743682303</v>
      </c>
      <c r="B414" s="11">
        <v>520.17937219730902</v>
      </c>
      <c r="C414" s="10" t="s">
        <v>33</v>
      </c>
      <c r="D414" s="13" t="s">
        <v>212</v>
      </c>
      <c r="E414" s="10" t="s">
        <v>170</v>
      </c>
      <c r="F414" s="10" t="s">
        <v>34</v>
      </c>
      <c r="G414" s="10">
        <v>0.72</v>
      </c>
      <c r="H414" s="10" t="s">
        <v>34</v>
      </c>
      <c r="I414" s="10" t="s">
        <v>34</v>
      </c>
      <c r="J414" s="10">
        <v>1.2</v>
      </c>
      <c r="K414" s="10" t="s">
        <v>34</v>
      </c>
      <c r="L414" s="10">
        <v>0</v>
      </c>
      <c r="M414" s="10">
        <v>57</v>
      </c>
      <c r="N414" s="10" t="s">
        <v>34</v>
      </c>
      <c r="O414" s="10">
        <v>0.74199999999999999</v>
      </c>
      <c r="P414" s="10">
        <v>0.502</v>
      </c>
      <c r="Q414" s="10">
        <v>22.64</v>
      </c>
      <c r="R414" s="10">
        <v>2.65</v>
      </c>
      <c r="S414" s="10" t="s">
        <v>34</v>
      </c>
      <c r="T414" s="10" t="s">
        <v>36</v>
      </c>
      <c r="U414" s="10" t="s">
        <v>39</v>
      </c>
      <c r="V414" s="10" t="s">
        <v>162</v>
      </c>
      <c r="W414" s="10">
        <v>3</v>
      </c>
      <c r="X414" s="10">
        <v>2</v>
      </c>
      <c r="Y414" s="10">
        <v>1</v>
      </c>
      <c r="Z414" s="10" t="s">
        <v>39</v>
      </c>
      <c r="AA414" s="10">
        <v>0.48</v>
      </c>
      <c r="AB414" s="10">
        <v>7</v>
      </c>
      <c r="AC414" s="10" t="s">
        <v>281</v>
      </c>
      <c r="AD414" s="10" t="s">
        <v>277</v>
      </c>
      <c r="AE414" s="10">
        <v>0.11</v>
      </c>
      <c r="AF414" s="10" t="s">
        <v>278</v>
      </c>
      <c r="AG414" s="10">
        <v>2022</v>
      </c>
      <c r="AH414" s="10" t="s">
        <v>279</v>
      </c>
      <c r="AI414" s="2">
        <v>50</v>
      </c>
      <c r="AJ414" s="2">
        <v>2</v>
      </c>
      <c r="AK414" s="2">
        <v>1</v>
      </c>
    </row>
    <row r="415" spans="1:37" x14ac:dyDescent="0.3">
      <c r="A415" s="11">
        <v>6.5703971119133504</v>
      </c>
      <c r="B415" s="11">
        <v>1782.9596412556</v>
      </c>
      <c r="C415" s="10" t="s">
        <v>33</v>
      </c>
      <c r="D415" s="13" t="s">
        <v>212</v>
      </c>
      <c r="E415" s="10" t="s">
        <v>170</v>
      </c>
      <c r="F415" s="10" t="s">
        <v>34</v>
      </c>
      <c r="G415" s="10">
        <v>0.72</v>
      </c>
      <c r="H415" s="10" t="s">
        <v>34</v>
      </c>
      <c r="I415" s="10" t="s">
        <v>34</v>
      </c>
      <c r="J415" s="10">
        <v>1.2</v>
      </c>
      <c r="K415" s="10" t="s">
        <v>34</v>
      </c>
      <c r="L415" s="10">
        <v>0</v>
      </c>
      <c r="M415" s="10">
        <v>57</v>
      </c>
      <c r="N415" s="10" t="s">
        <v>34</v>
      </c>
      <c r="O415" s="10">
        <v>0.74199999999999999</v>
      </c>
      <c r="P415" s="10">
        <v>0.502</v>
      </c>
      <c r="Q415" s="10">
        <v>22.64</v>
      </c>
      <c r="R415" s="10">
        <v>2.65</v>
      </c>
      <c r="S415" s="10" t="s">
        <v>34</v>
      </c>
      <c r="T415" s="10" t="s">
        <v>49</v>
      </c>
      <c r="U415" s="10" t="s">
        <v>276</v>
      </c>
      <c r="V415" s="10" t="s">
        <v>162</v>
      </c>
      <c r="W415" s="10">
        <v>3</v>
      </c>
      <c r="X415" s="10">
        <v>2</v>
      </c>
      <c r="Y415" s="10">
        <v>1</v>
      </c>
      <c r="Z415" s="10" t="s">
        <v>276</v>
      </c>
      <c r="AA415" s="10">
        <v>1.56</v>
      </c>
      <c r="AB415" s="10">
        <v>6</v>
      </c>
      <c r="AC415" s="10" t="s">
        <v>281</v>
      </c>
      <c r="AD415" s="10" t="s">
        <v>277</v>
      </c>
      <c r="AE415" s="10">
        <v>0.11</v>
      </c>
      <c r="AF415" s="10" t="s">
        <v>278</v>
      </c>
      <c r="AG415" s="10">
        <v>2022</v>
      </c>
      <c r="AH415" s="10" t="s">
        <v>279</v>
      </c>
      <c r="AI415" s="2">
        <v>50</v>
      </c>
      <c r="AJ415" s="2">
        <v>2</v>
      </c>
      <c r="AK415" s="2">
        <v>1</v>
      </c>
    </row>
    <row r="416" spans="1:37" x14ac:dyDescent="0.3">
      <c r="A416" s="11">
        <v>6.5559566787003503</v>
      </c>
      <c r="B416" s="11">
        <v>1897.75784753363</v>
      </c>
      <c r="C416" s="10" t="s">
        <v>33</v>
      </c>
      <c r="D416" s="13" t="s">
        <v>212</v>
      </c>
      <c r="E416" s="10" t="s">
        <v>170</v>
      </c>
      <c r="F416" s="10" t="s">
        <v>34</v>
      </c>
      <c r="G416" s="10">
        <v>0.72</v>
      </c>
      <c r="H416" s="10" t="s">
        <v>34</v>
      </c>
      <c r="I416" s="10" t="s">
        <v>34</v>
      </c>
      <c r="J416" s="10">
        <v>1.2</v>
      </c>
      <c r="K416" s="10" t="s">
        <v>34</v>
      </c>
      <c r="L416" s="10">
        <v>0</v>
      </c>
      <c r="M416" s="10">
        <v>57</v>
      </c>
      <c r="N416" s="10" t="s">
        <v>34</v>
      </c>
      <c r="O416" s="10">
        <v>0.74199999999999999</v>
      </c>
      <c r="P416" s="10">
        <v>0.502</v>
      </c>
      <c r="Q416" s="10">
        <v>22.64</v>
      </c>
      <c r="R416" s="10">
        <v>2.65</v>
      </c>
      <c r="S416" s="10" t="s">
        <v>34</v>
      </c>
      <c r="T416" s="10" t="s">
        <v>49</v>
      </c>
      <c r="U416" s="10" t="s">
        <v>276</v>
      </c>
      <c r="V416" s="10" t="s">
        <v>162</v>
      </c>
      <c r="W416" s="10">
        <v>3</v>
      </c>
      <c r="X416" s="10">
        <v>2</v>
      </c>
      <c r="Y416" s="10">
        <v>1</v>
      </c>
      <c r="Z416" s="10" t="s">
        <v>276</v>
      </c>
      <c r="AA416" s="10">
        <v>1.56</v>
      </c>
      <c r="AB416" s="10">
        <v>6</v>
      </c>
      <c r="AC416" s="10" t="s">
        <v>281</v>
      </c>
      <c r="AD416" s="10" t="s">
        <v>277</v>
      </c>
      <c r="AE416" s="10">
        <v>0.11</v>
      </c>
      <c r="AF416" s="10" t="s">
        <v>278</v>
      </c>
      <c r="AG416" s="10">
        <v>2022</v>
      </c>
      <c r="AH416" s="10" t="s">
        <v>279</v>
      </c>
      <c r="AI416" s="2">
        <v>50</v>
      </c>
      <c r="AJ416" s="2">
        <v>2</v>
      </c>
      <c r="AK416" s="2">
        <v>1</v>
      </c>
    </row>
    <row r="417" spans="1:37" x14ac:dyDescent="0.3">
      <c r="A417" s="11">
        <v>6.7292418772563103</v>
      </c>
      <c r="B417" s="11">
        <v>2324.66367713004</v>
      </c>
      <c r="C417" s="10" t="s">
        <v>33</v>
      </c>
      <c r="D417" s="13" t="s">
        <v>212</v>
      </c>
      <c r="E417" s="10" t="s">
        <v>170</v>
      </c>
      <c r="F417" s="10" t="s">
        <v>34</v>
      </c>
      <c r="G417" s="10">
        <v>0.72</v>
      </c>
      <c r="H417" s="10" t="s">
        <v>34</v>
      </c>
      <c r="I417" s="10" t="s">
        <v>34</v>
      </c>
      <c r="J417" s="10">
        <v>1.2</v>
      </c>
      <c r="K417" s="10" t="s">
        <v>34</v>
      </c>
      <c r="L417" s="10">
        <v>0</v>
      </c>
      <c r="M417" s="10">
        <v>57</v>
      </c>
      <c r="N417" s="10" t="s">
        <v>34</v>
      </c>
      <c r="O417" s="10">
        <v>0.74199999999999999</v>
      </c>
      <c r="P417" s="10">
        <v>0.502</v>
      </c>
      <c r="Q417" s="10">
        <v>22.64</v>
      </c>
      <c r="R417" s="10">
        <v>2.65</v>
      </c>
      <c r="S417" s="10" t="s">
        <v>34</v>
      </c>
      <c r="T417" s="10" t="s">
        <v>49</v>
      </c>
      <c r="U417" s="10" t="s">
        <v>276</v>
      </c>
      <c r="V417" s="10" t="s">
        <v>162</v>
      </c>
      <c r="W417" s="10">
        <v>3</v>
      </c>
      <c r="X417" s="10">
        <v>2</v>
      </c>
      <c r="Y417" s="10">
        <v>1</v>
      </c>
      <c r="Z417" s="10" t="s">
        <v>276</v>
      </c>
      <c r="AA417" s="10">
        <v>1.56</v>
      </c>
      <c r="AB417" s="10">
        <v>6</v>
      </c>
      <c r="AC417" s="10" t="s">
        <v>281</v>
      </c>
      <c r="AD417" s="10" t="s">
        <v>277</v>
      </c>
      <c r="AE417" s="10">
        <v>0.11</v>
      </c>
      <c r="AF417" s="10" t="s">
        <v>278</v>
      </c>
      <c r="AG417" s="10">
        <v>2022</v>
      </c>
      <c r="AH417" s="10" t="s">
        <v>279</v>
      </c>
      <c r="AI417" s="2">
        <v>50</v>
      </c>
      <c r="AJ417" s="2">
        <v>2</v>
      </c>
      <c r="AK417" s="2">
        <v>1</v>
      </c>
    </row>
    <row r="418" spans="1:37" x14ac:dyDescent="0.3">
      <c r="A418" s="11">
        <v>6.6787003610108302</v>
      </c>
      <c r="B418" s="11">
        <v>581.16591928251103</v>
      </c>
      <c r="C418" s="10" t="s">
        <v>33</v>
      </c>
      <c r="D418" s="13" t="s">
        <v>212</v>
      </c>
      <c r="E418" s="10" t="s">
        <v>170</v>
      </c>
      <c r="F418" s="10" t="s">
        <v>34</v>
      </c>
      <c r="G418" s="10">
        <v>0.72</v>
      </c>
      <c r="H418" s="10" t="s">
        <v>34</v>
      </c>
      <c r="I418" s="10" t="s">
        <v>34</v>
      </c>
      <c r="J418" s="10">
        <v>1.2</v>
      </c>
      <c r="K418" s="10" t="s">
        <v>34</v>
      </c>
      <c r="L418" s="10">
        <v>0</v>
      </c>
      <c r="M418" s="10">
        <v>57</v>
      </c>
      <c r="N418" s="10" t="s">
        <v>34</v>
      </c>
      <c r="O418" s="10">
        <v>0.74199999999999999</v>
      </c>
      <c r="P418" s="10">
        <v>0.502</v>
      </c>
      <c r="Q418" s="10">
        <v>22.64</v>
      </c>
      <c r="R418" s="10">
        <v>2.65</v>
      </c>
      <c r="S418" s="10" t="s">
        <v>34</v>
      </c>
      <c r="T418" s="10" t="s">
        <v>36</v>
      </c>
      <c r="U418" s="10" t="s">
        <v>39</v>
      </c>
      <c r="V418" s="10" t="s">
        <v>162</v>
      </c>
      <c r="W418" s="10">
        <v>3</v>
      </c>
      <c r="X418" s="10">
        <v>2</v>
      </c>
      <c r="Y418" s="10">
        <v>1</v>
      </c>
      <c r="Z418" s="10" t="s">
        <v>39</v>
      </c>
      <c r="AA418" s="10">
        <v>0.48</v>
      </c>
      <c r="AB418" s="10">
        <v>6</v>
      </c>
      <c r="AC418" s="10" t="s">
        <v>281</v>
      </c>
      <c r="AD418" s="10" t="s">
        <v>277</v>
      </c>
      <c r="AE418" s="10">
        <v>0.11</v>
      </c>
      <c r="AF418" s="10" t="s">
        <v>278</v>
      </c>
      <c r="AG418" s="10">
        <v>2022</v>
      </c>
      <c r="AH418" s="10" t="s">
        <v>279</v>
      </c>
      <c r="AI418" s="2">
        <v>50</v>
      </c>
      <c r="AJ418" s="2">
        <v>2</v>
      </c>
      <c r="AK418" s="2">
        <v>1</v>
      </c>
    </row>
    <row r="419" spans="1:37" x14ac:dyDescent="0.3">
      <c r="A419" s="11">
        <v>6.49097472924187</v>
      </c>
      <c r="B419" s="11">
        <v>638.56502242152396</v>
      </c>
      <c r="C419" s="10" t="s">
        <v>33</v>
      </c>
      <c r="D419" s="13" t="s">
        <v>212</v>
      </c>
      <c r="E419" s="10" t="s">
        <v>170</v>
      </c>
      <c r="F419" s="10" t="s">
        <v>34</v>
      </c>
      <c r="G419" s="10">
        <v>0.72</v>
      </c>
      <c r="H419" s="10" t="s">
        <v>34</v>
      </c>
      <c r="I419" s="10" t="s">
        <v>34</v>
      </c>
      <c r="J419" s="10">
        <v>1.2</v>
      </c>
      <c r="K419" s="10" t="s">
        <v>34</v>
      </c>
      <c r="L419" s="10">
        <v>0</v>
      </c>
      <c r="M419" s="10">
        <v>57</v>
      </c>
      <c r="N419" s="10" t="s">
        <v>34</v>
      </c>
      <c r="O419" s="10">
        <v>0.74199999999999999</v>
      </c>
      <c r="P419" s="10">
        <v>0.502</v>
      </c>
      <c r="Q419" s="10">
        <v>22.64</v>
      </c>
      <c r="R419" s="10">
        <v>2.65</v>
      </c>
      <c r="S419" s="10" t="s">
        <v>34</v>
      </c>
      <c r="T419" s="10" t="s">
        <v>36</v>
      </c>
      <c r="U419" s="10" t="s">
        <v>39</v>
      </c>
      <c r="V419" s="10" t="s">
        <v>162</v>
      </c>
      <c r="W419" s="10">
        <v>3</v>
      </c>
      <c r="X419" s="10">
        <v>2</v>
      </c>
      <c r="Y419" s="10">
        <v>1</v>
      </c>
      <c r="Z419" s="10" t="s">
        <v>39</v>
      </c>
      <c r="AA419" s="10">
        <v>0.48</v>
      </c>
      <c r="AB419" s="10">
        <v>6</v>
      </c>
      <c r="AC419" s="10" t="s">
        <v>281</v>
      </c>
      <c r="AD419" s="10" t="s">
        <v>277</v>
      </c>
      <c r="AE419" s="10">
        <v>0.11</v>
      </c>
      <c r="AF419" s="10" t="s">
        <v>278</v>
      </c>
      <c r="AG419" s="10">
        <v>2022</v>
      </c>
      <c r="AH419" s="10" t="s">
        <v>279</v>
      </c>
      <c r="AI419" s="2">
        <v>50</v>
      </c>
      <c r="AJ419" s="2">
        <v>2</v>
      </c>
      <c r="AK419" s="2">
        <v>1</v>
      </c>
    </row>
    <row r="420" spans="1:37" x14ac:dyDescent="0.3">
      <c r="A420" s="11">
        <v>6.4837545126353699</v>
      </c>
      <c r="B420" s="11">
        <v>1104.9327354259999</v>
      </c>
      <c r="C420" s="10" t="s">
        <v>33</v>
      </c>
      <c r="D420" s="13" t="s">
        <v>212</v>
      </c>
      <c r="E420" s="10" t="s">
        <v>170</v>
      </c>
      <c r="F420" s="10" t="s">
        <v>34</v>
      </c>
      <c r="G420" s="10">
        <v>0.72</v>
      </c>
      <c r="H420" s="10" t="s">
        <v>34</v>
      </c>
      <c r="I420" s="10" t="s">
        <v>34</v>
      </c>
      <c r="J420" s="10">
        <v>1.2</v>
      </c>
      <c r="K420" s="10" t="s">
        <v>34</v>
      </c>
      <c r="L420" s="10">
        <v>0</v>
      </c>
      <c r="M420" s="10">
        <v>57</v>
      </c>
      <c r="N420" s="10" t="s">
        <v>34</v>
      </c>
      <c r="O420" s="10">
        <v>0.74199999999999999</v>
      </c>
      <c r="P420" s="10">
        <v>0.502</v>
      </c>
      <c r="Q420" s="10">
        <v>22.64</v>
      </c>
      <c r="R420" s="10">
        <v>2.65</v>
      </c>
      <c r="S420" s="10" t="s">
        <v>34</v>
      </c>
      <c r="T420" s="10" t="s">
        <v>36</v>
      </c>
      <c r="U420" s="10" t="s">
        <v>39</v>
      </c>
      <c r="V420" s="10" t="s">
        <v>162</v>
      </c>
      <c r="W420" s="10">
        <v>3</v>
      </c>
      <c r="X420" s="10">
        <v>2</v>
      </c>
      <c r="Y420" s="10">
        <v>1</v>
      </c>
      <c r="Z420" s="10" t="s">
        <v>39</v>
      </c>
      <c r="AA420" s="10">
        <v>0.48</v>
      </c>
      <c r="AB420" s="10">
        <v>6</v>
      </c>
      <c r="AC420" s="10" t="s">
        <v>281</v>
      </c>
      <c r="AD420" s="10" t="s">
        <v>277</v>
      </c>
      <c r="AE420" s="10">
        <v>0.11</v>
      </c>
      <c r="AF420" s="10" t="s">
        <v>278</v>
      </c>
      <c r="AG420" s="10">
        <v>2022</v>
      </c>
      <c r="AH420" s="10" t="s">
        <v>279</v>
      </c>
      <c r="AI420" s="2">
        <v>50</v>
      </c>
      <c r="AJ420" s="2">
        <v>2</v>
      </c>
      <c r="AK420" s="2">
        <v>1</v>
      </c>
    </row>
    <row r="421" spans="1:37" x14ac:dyDescent="0.3">
      <c r="A421" s="11">
        <v>6.5631768953068503</v>
      </c>
      <c r="B421" s="11">
        <v>2396.41255605381</v>
      </c>
      <c r="C421" s="10" t="s">
        <v>33</v>
      </c>
      <c r="D421" s="13" t="s">
        <v>212</v>
      </c>
      <c r="E421" s="10" t="s">
        <v>170</v>
      </c>
      <c r="F421" s="10" t="s">
        <v>34</v>
      </c>
      <c r="G421" s="10">
        <v>0.72</v>
      </c>
      <c r="H421" s="10" t="s">
        <v>34</v>
      </c>
      <c r="I421" s="10" t="s">
        <v>34</v>
      </c>
      <c r="J421" s="10">
        <v>1.2</v>
      </c>
      <c r="K421" s="10" t="s">
        <v>34</v>
      </c>
      <c r="L421" s="10">
        <v>0</v>
      </c>
      <c r="M421" s="10">
        <v>57</v>
      </c>
      <c r="N421" s="10" t="s">
        <v>34</v>
      </c>
      <c r="O421" s="10">
        <v>0.74199999999999999</v>
      </c>
      <c r="P421" s="10">
        <v>0.502</v>
      </c>
      <c r="Q421" s="10">
        <v>22.64</v>
      </c>
      <c r="R421" s="10">
        <v>2.65</v>
      </c>
      <c r="S421" s="10" t="s">
        <v>34</v>
      </c>
      <c r="T421" s="10" t="s">
        <v>49</v>
      </c>
      <c r="U421" s="10" t="s">
        <v>276</v>
      </c>
      <c r="V421" s="10" t="s">
        <v>162</v>
      </c>
      <c r="W421" s="10">
        <v>3</v>
      </c>
      <c r="X421" s="10">
        <v>2</v>
      </c>
      <c r="Y421" s="10">
        <v>1</v>
      </c>
      <c r="Z421" s="10" t="s">
        <v>276</v>
      </c>
      <c r="AA421" s="10">
        <v>1.56</v>
      </c>
      <c r="AB421" s="10">
        <v>5.5</v>
      </c>
      <c r="AC421" s="10" t="s">
        <v>281</v>
      </c>
      <c r="AD421" s="10" t="s">
        <v>277</v>
      </c>
      <c r="AE421" s="10">
        <v>0.11</v>
      </c>
      <c r="AF421" s="10" t="s">
        <v>278</v>
      </c>
      <c r="AG421" s="10">
        <v>2022</v>
      </c>
      <c r="AH421" s="10" t="s">
        <v>279</v>
      </c>
      <c r="AI421" s="2">
        <v>50</v>
      </c>
      <c r="AJ421" s="2">
        <v>2</v>
      </c>
      <c r="AK421" s="2">
        <v>1</v>
      </c>
    </row>
    <row r="422" spans="1:37" x14ac:dyDescent="0.3">
      <c r="A422" s="11">
        <v>6.3682310469313999</v>
      </c>
      <c r="B422" s="11">
        <v>2278.0269058295899</v>
      </c>
      <c r="C422" s="10" t="s">
        <v>33</v>
      </c>
      <c r="D422" s="13" t="s">
        <v>212</v>
      </c>
      <c r="E422" s="10" t="s">
        <v>170</v>
      </c>
      <c r="F422" s="10" t="s">
        <v>34</v>
      </c>
      <c r="G422" s="10">
        <v>0.72</v>
      </c>
      <c r="H422" s="10" t="s">
        <v>34</v>
      </c>
      <c r="I422" s="10" t="s">
        <v>34</v>
      </c>
      <c r="J422" s="10">
        <v>1.2</v>
      </c>
      <c r="K422" s="10" t="s">
        <v>34</v>
      </c>
      <c r="L422" s="10">
        <v>0</v>
      </c>
      <c r="M422" s="10">
        <v>57</v>
      </c>
      <c r="N422" s="10" t="s">
        <v>34</v>
      </c>
      <c r="O422" s="10">
        <v>0.74199999999999999</v>
      </c>
      <c r="P422" s="10">
        <v>0.502</v>
      </c>
      <c r="Q422" s="10">
        <v>22.64</v>
      </c>
      <c r="R422" s="10">
        <v>2.65</v>
      </c>
      <c r="S422" s="10" t="s">
        <v>34</v>
      </c>
      <c r="T422" s="10" t="s">
        <v>49</v>
      </c>
      <c r="U422" s="10" t="s">
        <v>276</v>
      </c>
      <c r="V422" s="10" t="s">
        <v>162</v>
      </c>
      <c r="W422" s="10">
        <v>3</v>
      </c>
      <c r="X422" s="10">
        <v>2</v>
      </c>
      <c r="Y422" s="10">
        <v>1</v>
      </c>
      <c r="Z422" s="10" t="s">
        <v>276</v>
      </c>
      <c r="AA422" s="10">
        <v>1.56</v>
      </c>
      <c r="AB422" s="10">
        <v>5.5</v>
      </c>
      <c r="AC422" s="10" t="s">
        <v>281</v>
      </c>
      <c r="AD422" s="10" t="s">
        <v>277</v>
      </c>
      <c r="AE422" s="10">
        <v>0.11</v>
      </c>
      <c r="AF422" s="10" t="s">
        <v>278</v>
      </c>
      <c r="AG422" s="10">
        <v>2022</v>
      </c>
      <c r="AH422" s="10" t="s">
        <v>279</v>
      </c>
      <c r="AI422" s="2">
        <v>50</v>
      </c>
      <c r="AJ422" s="2">
        <v>2</v>
      </c>
      <c r="AK422" s="2">
        <v>1</v>
      </c>
    </row>
    <row r="423" spans="1:37" x14ac:dyDescent="0.3">
      <c r="A423" s="11">
        <v>6.4476534296028802</v>
      </c>
      <c r="B423" s="11">
        <v>1919.28251121076</v>
      </c>
      <c r="C423" s="10" t="s">
        <v>33</v>
      </c>
      <c r="D423" s="13" t="s">
        <v>212</v>
      </c>
      <c r="E423" s="10" t="s">
        <v>170</v>
      </c>
      <c r="F423" s="10" t="s">
        <v>34</v>
      </c>
      <c r="G423" s="10">
        <v>0.72</v>
      </c>
      <c r="H423" s="10" t="s">
        <v>34</v>
      </c>
      <c r="I423" s="10" t="s">
        <v>34</v>
      </c>
      <c r="J423" s="10">
        <v>1.2</v>
      </c>
      <c r="K423" s="10" t="s">
        <v>34</v>
      </c>
      <c r="L423" s="10">
        <v>0</v>
      </c>
      <c r="M423" s="10">
        <v>57</v>
      </c>
      <c r="N423" s="10" t="s">
        <v>34</v>
      </c>
      <c r="O423" s="10">
        <v>0.74199999999999999</v>
      </c>
      <c r="P423" s="10">
        <v>0.502</v>
      </c>
      <c r="Q423" s="10">
        <v>22.64</v>
      </c>
      <c r="R423" s="10">
        <v>2.65</v>
      </c>
      <c r="S423" s="10" t="s">
        <v>34</v>
      </c>
      <c r="T423" s="10" t="s">
        <v>49</v>
      </c>
      <c r="U423" s="10" t="s">
        <v>276</v>
      </c>
      <c r="V423" s="10" t="s">
        <v>162</v>
      </c>
      <c r="W423" s="10">
        <v>3</v>
      </c>
      <c r="X423" s="10">
        <v>2</v>
      </c>
      <c r="Y423" s="10">
        <v>1</v>
      </c>
      <c r="Z423" s="10" t="s">
        <v>276</v>
      </c>
      <c r="AA423" s="10">
        <v>1.56</v>
      </c>
      <c r="AB423" s="10">
        <v>5.5</v>
      </c>
      <c r="AC423" s="10" t="s">
        <v>281</v>
      </c>
      <c r="AD423" s="10" t="s">
        <v>277</v>
      </c>
      <c r="AE423" s="10">
        <v>0.11</v>
      </c>
      <c r="AF423" s="10" t="s">
        <v>278</v>
      </c>
      <c r="AG423" s="10">
        <v>2022</v>
      </c>
      <c r="AH423" s="10" t="s">
        <v>279</v>
      </c>
      <c r="AI423" s="2">
        <v>50</v>
      </c>
      <c r="AJ423" s="2">
        <v>2</v>
      </c>
      <c r="AK423" s="2">
        <v>1</v>
      </c>
    </row>
    <row r="424" spans="1:37" x14ac:dyDescent="0.3">
      <c r="A424" s="11">
        <v>6.65703971119133</v>
      </c>
      <c r="B424" s="11">
        <v>620.62780269058203</v>
      </c>
      <c r="C424" s="10" t="s">
        <v>33</v>
      </c>
      <c r="D424" s="13" t="s">
        <v>212</v>
      </c>
      <c r="E424" s="10" t="s">
        <v>170</v>
      </c>
      <c r="F424" s="10" t="s">
        <v>34</v>
      </c>
      <c r="G424" s="10">
        <v>0.72</v>
      </c>
      <c r="H424" s="10" t="s">
        <v>34</v>
      </c>
      <c r="I424" s="10" t="s">
        <v>34</v>
      </c>
      <c r="J424" s="10">
        <v>1.2</v>
      </c>
      <c r="K424" s="10" t="s">
        <v>34</v>
      </c>
      <c r="L424" s="10">
        <v>0</v>
      </c>
      <c r="M424" s="10">
        <v>57</v>
      </c>
      <c r="N424" s="10" t="s">
        <v>34</v>
      </c>
      <c r="O424" s="10">
        <v>0.74199999999999999</v>
      </c>
      <c r="P424" s="10">
        <v>0.502</v>
      </c>
      <c r="Q424" s="10">
        <v>22.64</v>
      </c>
      <c r="R424" s="10">
        <v>2.65</v>
      </c>
      <c r="S424" s="10" t="s">
        <v>34</v>
      </c>
      <c r="T424" s="10" t="s">
        <v>36</v>
      </c>
      <c r="U424" s="10" t="s">
        <v>39</v>
      </c>
      <c r="V424" s="10" t="s">
        <v>162</v>
      </c>
      <c r="W424" s="10">
        <v>3</v>
      </c>
      <c r="X424" s="10">
        <v>2</v>
      </c>
      <c r="Y424" s="10">
        <v>1</v>
      </c>
      <c r="Z424" s="10" t="s">
        <v>39</v>
      </c>
      <c r="AA424" s="10">
        <v>0.48</v>
      </c>
      <c r="AB424" s="10">
        <v>5.5</v>
      </c>
      <c r="AC424" s="10" t="s">
        <v>281</v>
      </c>
      <c r="AD424" s="10" t="s">
        <v>277</v>
      </c>
      <c r="AE424" s="10">
        <v>0.11</v>
      </c>
      <c r="AF424" s="10" t="s">
        <v>278</v>
      </c>
      <c r="AG424" s="10">
        <v>2022</v>
      </c>
      <c r="AH424" s="10" t="s">
        <v>279</v>
      </c>
      <c r="AI424" s="2">
        <v>50</v>
      </c>
      <c r="AJ424" s="2">
        <v>2</v>
      </c>
      <c r="AK424" s="2">
        <v>1</v>
      </c>
    </row>
    <row r="425" spans="1:37" x14ac:dyDescent="0.3">
      <c r="A425" s="11">
        <v>6.8447653429602804</v>
      </c>
      <c r="B425" s="11">
        <v>728.25112107623204</v>
      </c>
      <c r="C425" s="10" t="s">
        <v>33</v>
      </c>
      <c r="D425" s="13" t="s">
        <v>212</v>
      </c>
      <c r="E425" s="10" t="s">
        <v>170</v>
      </c>
      <c r="F425" s="10" t="s">
        <v>34</v>
      </c>
      <c r="G425" s="10">
        <v>0.72</v>
      </c>
      <c r="H425" s="10" t="s">
        <v>34</v>
      </c>
      <c r="I425" s="10" t="s">
        <v>34</v>
      </c>
      <c r="J425" s="10">
        <v>1.2</v>
      </c>
      <c r="K425" s="10" t="s">
        <v>34</v>
      </c>
      <c r="L425" s="10">
        <v>0</v>
      </c>
      <c r="M425" s="10">
        <v>57</v>
      </c>
      <c r="N425" s="10" t="s">
        <v>34</v>
      </c>
      <c r="O425" s="10">
        <v>0.74199999999999999</v>
      </c>
      <c r="P425" s="10">
        <v>0.502</v>
      </c>
      <c r="Q425" s="10">
        <v>22.64</v>
      </c>
      <c r="R425" s="10">
        <v>2.65</v>
      </c>
      <c r="S425" s="10" t="s">
        <v>34</v>
      </c>
      <c r="T425" s="10" t="s">
        <v>36</v>
      </c>
      <c r="U425" s="10" t="s">
        <v>39</v>
      </c>
      <c r="V425" s="10" t="s">
        <v>162</v>
      </c>
      <c r="W425" s="10">
        <v>3</v>
      </c>
      <c r="X425" s="10">
        <v>2</v>
      </c>
      <c r="Y425" s="10">
        <v>1</v>
      </c>
      <c r="Z425" s="10" t="s">
        <v>39</v>
      </c>
      <c r="AA425" s="10">
        <v>0.48</v>
      </c>
      <c r="AB425" s="10">
        <v>5.5</v>
      </c>
      <c r="AC425" s="10" t="s">
        <v>281</v>
      </c>
      <c r="AD425" s="10" t="s">
        <v>277</v>
      </c>
      <c r="AE425" s="10">
        <v>0.11</v>
      </c>
      <c r="AF425" s="10" t="s">
        <v>278</v>
      </c>
      <c r="AG425" s="10">
        <v>2022</v>
      </c>
      <c r="AH425" s="10" t="s">
        <v>279</v>
      </c>
      <c r="AI425" s="2">
        <v>50</v>
      </c>
      <c r="AJ425" s="2">
        <v>2</v>
      </c>
      <c r="AK425" s="2">
        <v>1</v>
      </c>
    </row>
    <row r="426" spans="1:37" x14ac:dyDescent="0.3">
      <c r="A426" s="11">
        <v>6.49097472924187</v>
      </c>
      <c r="B426" s="11">
        <v>1036.7713004484301</v>
      </c>
      <c r="C426" s="10" t="s">
        <v>33</v>
      </c>
      <c r="D426" s="13" t="s">
        <v>212</v>
      </c>
      <c r="E426" s="10" t="s">
        <v>170</v>
      </c>
      <c r="F426" s="10" t="s">
        <v>34</v>
      </c>
      <c r="G426" s="10">
        <v>0.72</v>
      </c>
      <c r="H426" s="10" t="s">
        <v>34</v>
      </c>
      <c r="I426" s="10" t="s">
        <v>34</v>
      </c>
      <c r="J426" s="10">
        <v>1.2</v>
      </c>
      <c r="K426" s="10" t="s">
        <v>34</v>
      </c>
      <c r="L426" s="10">
        <v>0</v>
      </c>
      <c r="M426" s="10">
        <v>57</v>
      </c>
      <c r="N426" s="10" t="s">
        <v>34</v>
      </c>
      <c r="O426" s="10">
        <v>0.74199999999999999</v>
      </c>
      <c r="P426" s="10">
        <v>0.502</v>
      </c>
      <c r="Q426" s="10">
        <v>22.64</v>
      </c>
      <c r="R426" s="10">
        <v>2.65</v>
      </c>
      <c r="S426" s="10" t="s">
        <v>34</v>
      </c>
      <c r="T426" s="10" t="s">
        <v>36</v>
      </c>
      <c r="U426" s="10" t="s">
        <v>39</v>
      </c>
      <c r="V426" s="10" t="s">
        <v>162</v>
      </c>
      <c r="W426" s="10">
        <v>3</v>
      </c>
      <c r="X426" s="10">
        <v>2</v>
      </c>
      <c r="Y426" s="10">
        <v>1</v>
      </c>
      <c r="Z426" s="10" t="s">
        <v>39</v>
      </c>
      <c r="AA426" s="10">
        <v>0.48</v>
      </c>
      <c r="AB426" s="10">
        <v>5.5</v>
      </c>
      <c r="AC426" s="10" t="s">
        <v>281</v>
      </c>
      <c r="AD426" s="10" t="s">
        <v>277</v>
      </c>
      <c r="AE426" s="10">
        <v>0.11</v>
      </c>
      <c r="AF426" s="10" t="s">
        <v>278</v>
      </c>
      <c r="AG426" s="10">
        <v>2022</v>
      </c>
      <c r="AH426" s="10" t="s">
        <v>279</v>
      </c>
      <c r="AI426" s="2">
        <v>50</v>
      </c>
      <c r="AJ426" s="2">
        <v>2</v>
      </c>
      <c r="AK426" s="2">
        <v>1</v>
      </c>
    </row>
    <row r="427" spans="1:37" x14ac:dyDescent="0.3">
      <c r="A427" s="11">
        <v>6.1010830324909699</v>
      </c>
      <c r="B427" s="11">
        <v>2471.74887892376</v>
      </c>
      <c r="C427" s="10" t="s">
        <v>33</v>
      </c>
      <c r="D427" s="13" t="s">
        <v>212</v>
      </c>
      <c r="E427" s="10" t="s">
        <v>170</v>
      </c>
      <c r="F427" s="10" t="s">
        <v>34</v>
      </c>
      <c r="G427" s="10">
        <v>0.72</v>
      </c>
      <c r="H427" s="10" t="s">
        <v>34</v>
      </c>
      <c r="I427" s="10" t="s">
        <v>34</v>
      </c>
      <c r="J427" s="10">
        <v>1.2</v>
      </c>
      <c r="K427" s="10" t="s">
        <v>34</v>
      </c>
      <c r="L427" s="10">
        <v>0</v>
      </c>
      <c r="M427" s="10">
        <v>57</v>
      </c>
      <c r="N427" s="10" t="s">
        <v>34</v>
      </c>
      <c r="O427" s="10">
        <v>0.74199999999999999</v>
      </c>
      <c r="P427" s="10">
        <v>0.502</v>
      </c>
      <c r="Q427" s="10">
        <v>22.64</v>
      </c>
      <c r="R427" s="10">
        <v>2.65</v>
      </c>
      <c r="S427" s="10" t="s">
        <v>34</v>
      </c>
      <c r="T427" s="10" t="s">
        <v>49</v>
      </c>
      <c r="U427" s="10" t="s">
        <v>276</v>
      </c>
      <c r="V427" s="10" t="s">
        <v>162</v>
      </c>
      <c r="W427" s="10">
        <v>3</v>
      </c>
      <c r="X427" s="10">
        <v>2</v>
      </c>
      <c r="Y427" s="10">
        <v>1</v>
      </c>
      <c r="Z427" s="10" t="s">
        <v>276</v>
      </c>
      <c r="AA427" s="10">
        <v>1.56</v>
      </c>
      <c r="AB427" s="10">
        <v>5</v>
      </c>
      <c r="AC427" s="10" t="s">
        <v>281</v>
      </c>
      <c r="AD427" s="10" t="s">
        <v>277</v>
      </c>
      <c r="AE427" s="10">
        <v>0.11</v>
      </c>
      <c r="AF427" s="10" t="s">
        <v>278</v>
      </c>
      <c r="AG427" s="10">
        <v>2022</v>
      </c>
      <c r="AH427" s="10" t="s">
        <v>279</v>
      </c>
      <c r="AI427" s="2">
        <v>50</v>
      </c>
      <c r="AJ427" s="2">
        <v>2</v>
      </c>
      <c r="AK427" s="2">
        <v>1</v>
      </c>
    </row>
    <row r="428" spans="1:37" x14ac:dyDescent="0.3">
      <c r="A428" s="11">
        <v>5.8122743682310398</v>
      </c>
      <c r="B428" s="11">
        <v>1922.86995515695</v>
      </c>
      <c r="C428" s="10" t="s">
        <v>33</v>
      </c>
      <c r="D428" s="13" t="s">
        <v>212</v>
      </c>
      <c r="E428" s="10" t="s">
        <v>170</v>
      </c>
      <c r="F428" s="10" t="s">
        <v>34</v>
      </c>
      <c r="G428" s="10">
        <v>0.72</v>
      </c>
      <c r="H428" s="10" t="s">
        <v>34</v>
      </c>
      <c r="I428" s="10" t="s">
        <v>34</v>
      </c>
      <c r="J428" s="10">
        <v>1.2</v>
      </c>
      <c r="K428" s="10" t="s">
        <v>34</v>
      </c>
      <c r="L428" s="10">
        <v>0</v>
      </c>
      <c r="M428" s="10">
        <v>57</v>
      </c>
      <c r="N428" s="10" t="s">
        <v>34</v>
      </c>
      <c r="O428" s="10">
        <v>0.74199999999999999</v>
      </c>
      <c r="P428" s="10">
        <v>0.502</v>
      </c>
      <c r="Q428" s="10">
        <v>22.64</v>
      </c>
      <c r="R428" s="10">
        <v>2.65</v>
      </c>
      <c r="S428" s="10" t="s">
        <v>34</v>
      </c>
      <c r="T428" s="10" t="s">
        <v>49</v>
      </c>
      <c r="U428" s="10" t="s">
        <v>276</v>
      </c>
      <c r="V428" s="10" t="s">
        <v>162</v>
      </c>
      <c r="W428" s="10">
        <v>3</v>
      </c>
      <c r="X428" s="10">
        <v>2</v>
      </c>
      <c r="Y428" s="10">
        <v>1</v>
      </c>
      <c r="Z428" s="10" t="s">
        <v>276</v>
      </c>
      <c r="AA428" s="10">
        <v>1.56</v>
      </c>
      <c r="AB428" s="10">
        <v>5</v>
      </c>
      <c r="AC428" s="10" t="s">
        <v>281</v>
      </c>
      <c r="AD428" s="10" t="s">
        <v>277</v>
      </c>
      <c r="AE428" s="10">
        <v>0.11</v>
      </c>
      <c r="AF428" s="10" t="s">
        <v>278</v>
      </c>
      <c r="AG428" s="10">
        <v>2022</v>
      </c>
      <c r="AH428" s="10" t="s">
        <v>279</v>
      </c>
      <c r="AI428" s="2">
        <v>50</v>
      </c>
      <c r="AJ428" s="2">
        <v>2</v>
      </c>
      <c r="AK428" s="2">
        <v>1</v>
      </c>
    </row>
    <row r="429" spans="1:37" x14ac:dyDescent="0.3">
      <c r="A429" s="11">
        <v>5.7039711191335698</v>
      </c>
      <c r="B429" s="11">
        <v>1729.1479820627701</v>
      </c>
      <c r="C429" s="10" t="s">
        <v>33</v>
      </c>
      <c r="D429" s="13" t="s">
        <v>212</v>
      </c>
      <c r="E429" s="10" t="s">
        <v>170</v>
      </c>
      <c r="F429" s="10" t="s">
        <v>34</v>
      </c>
      <c r="G429" s="10">
        <v>0.72</v>
      </c>
      <c r="H429" s="10" t="s">
        <v>34</v>
      </c>
      <c r="I429" s="10" t="s">
        <v>34</v>
      </c>
      <c r="J429" s="10">
        <v>1.2</v>
      </c>
      <c r="K429" s="10" t="s">
        <v>34</v>
      </c>
      <c r="L429" s="10">
        <v>0</v>
      </c>
      <c r="M429" s="10">
        <v>57</v>
      </c>
      <c r="N429" s="10" t="s">
        <v>34</v>
      </c>
      <c r="O429" s="10">
        <v>0.74199999999999999</v>
      </c>
      <c r="P429" s="10">
        <v>0.502</v>
      </c>
      <c r="Q429" s="10">
        <v>22.64</v>
      </c>
      <c r="R429" s="10">
        <v>2.65</v>
      </c>
      <c r="S429" s="10" t="s">
        <v>34</v>
      </c>
      <c r="T429" s="10" t="s">
        <v>49</v>
      </c>
      <c r="U429" s="10" t="s">
        <v>276</v>
      </c>
      <c r="V429" s="10" t="s">
        <v>162</v>
      </c>
      <c r="W429" s="10">
        <v>3</v>
      </c>
      <c r="X429" s="10">
        <v>2</v>
      </c>
      <c r="Y429" s="10">
        <v>1</v>
      </c>
      <c r="Z429" s="10" t="s">
        <v>276</v>
      </c>
      <c r="AA429" s="10">
        <v>1.56</v>
      </c>
      <c r="AB429" s="10">
        <v>5</v>
      </c>
      <c r="AC429" s="10" t="s">
        <v>281</v>
      </c>
      <c r="AD429" s="10" t="s">
        <v>277</v>
      </c>
      <c r="AE429" s="10">
        <v>0.11</v>
      </c>
      <c r="AF429" s="10" t="s">
        <v>278</v>
      </c>
      <c r="AG429" s="10">
        <v>2022</v>
      </c>
      <c r="AH429" s="10" t="s">
        <v>279</v>
      </c>
      <c r="AI429" s="2">
        <v>50</v>
      </c>
      <c r="AJ429" s="2">
        <v>2</v>
      </c>
      <c r="AK429" s="2">
        <v>1</v>
      </c>
    </row>
    <row r="430" spans="1:37" x14ac:dyDescent="0.3">
      <c r="A430" s="11">
        <v>6.1155234657039701</v>
      </c>
      <c r="B430" s="11">
        <v>617.04035874439398</v>
      </c>
      <c r="C430" s="10" t="s">
        <v>33</v>
      </c>
      <c r="D430" s="13" t="s">
        <v>212</v>
      </c>
      <c r="E430" s="10" t="s">
        <v>170</v>
      </c>
      <c r="F430" s="10" t="s">
        <v>34</v>
      </c>
      <c r="G430" s="10">
        <v>0.72</v>
      </c>
      <c r="H430" s="10" t="s">
        <v>34</v>
      </c>
      <c r="I430" s="10" t="s">
        <v>34</v>
      </c>
      <c r="J430" s="10">
        <v>1.2</v>
      </c>
      <c r="K430" s="10" t="s">
        <v>34</v>
      </c>
      <c r="L430" s="10">
        <v>0</v>
      </c>
      <c r="M430" s="10">
        <v>57</v>
      </c>
      <c r="N430" s="10" t="s">
        <v>34</v>
      </c>
      <c r="O430" s="10">
        <v>0.74199999999999999</v>
      </c>
      <c r="P430" s="10">
        <v>0.502</v>
      </c>
      <c r="Q430" s="10">
        <v>22.64</v>
      </c>
      <c r="R430" s="10">
        <v>2.65</v>
      </c>
      <c r="S430" s="10" t="s">
        <v>34</v>
      </c>
      <c r="T430" s="10" t="s">
        <v>36</v>
      </c>
      <c r="U430" s="10" t="s">
        <v>39</v>
      </c>
      <c r="V430" s="10" t="s">
        <v>162</v>
      </c>
      <c r="W430" s="10">
        <v>3</v>
      </c>
      <c r="X430" s="10">
        <v>2</v>
      </c>
      <c r="Y430" s="10">
        <v>1</v>
      </c>
      <c r="Z430" s="10" t="s">
        <v>39</v>
      </c>
      <c r="AA430" s="10">
        <v>0.48</v>
      </c>
      <c r="AB430" s="10">
        <v>5</v>
      </c>
      <c r="AC430" s="10" t="s">
        <v>281</v>
      </c>
      <c r="AD430" s="10" t="s">
        <v>277</v>
      </c>
      <c r="AE430" s="10">
        <v>0.11</v>
      </c>
      <c r="AF430" s="10" t="s">
        <v>278</v>
      </c>
      <c r="AG430" s="10">
        <v>2022</v>
      </c>
      <c r="AH430" s="10" t="s">
        <v>279</v>
      </c>
      <c r="AI430" s="2">
        <v>50</v>
      </c>
      <c r="AJ430" s="2">
        <v>2</v>
      </c>
      <c r="AK430" s="2">
        <v>1</v>
      </c>
    </row>
    <row r="431" spans="1:37" x14ac:dyDescent="0.3">
      <c r="A431" s="11">
        <v>6.3682310469313999</v>
      </c>
      <c r="B431" s="11">
        <v>656.50224215246499</v>
      </c>
      <c r="C431" s="10" t="s">
        <v>33</v>
      </c>
      <c r="D431" s="13" t="s">
        <v>212</v>
      </c>
      <c r="E431" s="10" t="s">
        <v>170</v>
      </c>
      <c r="F431" s="10" t="s">
        <v>34</v>
      </c>
      <c r="G431" s="10">
        <v>0.72</v>
      </c>
      <c r="H431" s="10" t="s">
        <v>34</v>
      </c>
      <c r="I431" s="10" t="s">
        <v>34</v>
      </c>
      <c r="J431" s="10">
        <v>1.2</v>
      </c>
      <c r="K431" s="10" t="s">
        <v>34</v>
      </c>
      <c r="L431" s="10">
        <v>0</v>
      </c>
      <c r="M431" s="10">
        <v>57</v>
      </c>
      <c r="N431" s="10" t="s">
        <v>34</v>
      </c>
      <c r="O431" s="10">
        <v>0.74199999999999999</v>
      </c>
      <c r="P431" s="10">
        <v>0.502</v>
      </c>
      <c r="Q431" s="10">
        <v>22.64</v>
      </c>
      <c r="R431" s="10">
        <v>2.65</v>
      </c>
      <c r="S431" s="10" t="s">
        <v>34</v>
      </c>
      <c r="T431" s="10" t="s">
        <v>36</v>
      </c>
      <c r="U431" s="10" t="s">
        <v>39</v>
      </c>
      <c r="V431" s="10" t="s">
        <v>162</v>
      </c>
      <c r="W431" s="10">
        <v>3</v>
      </c>
      <c r="X431" s="10">
        <v>2</v>
      </c>
      <c r="Y431" s="10">
        <v>1</v>
      </c>
      <c r="Z431" s="10" t="s">
        <v>39</v>
      </c>
      <c r="AA431" s="10">
        <v>0.48</v>
      </c>
      <c r="AB431" s="10">
        <v>5</v>
      </c>
      <c r="AC431" s="10" t="s">
        <v>281</v>
      </c>
      <c r="AD431" s="10" t="s">
        <v>277</v>
      </c>
      <c r="AE431" s="10">
        <v>0.11</v>
      </c>
      <c r="AF431" s="10" t="s">
        <v>278</v>
      </c>
      <c r="AG431" s="10">
        <v>2022</v>
      </c>
      <c r="AH431" s="10" t="s">
        <v>279</v>
      </c>
      <c r="AI431" s="2">
        <v>50</v>
      </c>
      <c r="AJ431" s="2">
        <v>2</v>
      </c>
      <c r="AK431" s="2">
        <v>1</v>
      </c>
    </row>
    <row r="432" spans="1:37" x14ac:dyDescent="0.3">
      <c r="A432" s="31">
        <v>6.4620938628158804</v>
      </c>
      <c r="B432" s="31">
        <v>534.52914798206098</v>
      </c>
      <c r="C432" s="33" t="s">
        <v>33</v>
      </c>
      <c r="D432" s="13" t="s">
        <v>212</v>
      </c>
      <c r="E432" s="33" t="s">
        <v>170</v>
      </c>
      <c r="F432" s="33" t="s">
        <v>34</v>
      </c>
      <c r="G432" s="33">
        <v>0.72</v>
      </c>
      <c r="H432" s="33" t="s">
        <v>34</v>
      </c>
      <c r="I432" s="33" t="s">
        <v>34</v>
      </c>
      <c r="J432" s="33">
        <v>1.2</v>
      </c>
      <c r="K432" s="33" t="s">
        <v>34</v>
      </c>
      <c r="L432" s="33">
        <v>0</v>
      </c>
      <c r="M432" s="33">
        <v>57</v>
      </c>
      <c r="N432" s="33" t="s">
        <v>34</v>
      </c>
      <c r="O432" s="33">
        <v>0.74199999999999999</v>
      </c>
      <c r="P432" s="33">
        <v>0.502</v>
      </c>
      <c r="Q432" s="33">
        <v>22.64</v>
      </c>
      <c r="R432" s="33">
        <v>2.65</v>
      </c>
      <c r="S432" s="33" t="s">
        <v>34</v>
      </c>
      <c r="T432" s="33" t="s">
        <v>36</v>
      </c>
      <c r="U432" s="33" t="s">
        <v>39</v>
      </c>
      <c r="V432" s="33" t="s">
        <v>162</v>
      </c>
      <c r="W432" s="33">
        <v>3</v>
      </c>
      <c r="X432" s="33">
        <v>2</v>
      </c>
      <c r="Y432" s="33">
        <v>1</v>
      </c>
      <c r="Z432" s="33" t="s">
        <v>39</v>
      </c>
      <c r="AA432" s="33">
        <v>0.48</v>
      </c>
      <c r="AB432" s="33">
        <v>5</v>
      </c>
      <c r="AC432" s="33" t="s">
        <v>281</v>
      </c>
      <c r="AD432" s="33" t="s">
        <v>277</v>
      </c>
      <c r="AE432" s="33">
        <v>0.11</v>
      </c>
      <c r="AF432" s="33" t="s">
        <v>278</v>
      </c>
      <c r="AG432" s="33">
        <v>2022</v>
      </c>
      <c r="AH432" s="33" t="s">
        <v>279</v>
      </c>
      <c r="AI432" s="2">
        <v>50</v>
      </c>
      <c r="AJ432" s="2">
        <v>2</v>
      </c>
      <c r="AK432" s="2">
        <v>1</v>
      </c>
    </row>
    <row r="433" spans="1:37" s="34" customFormat="1" ht="16.2" thickBot="1" x14ac:dyDescent="0.35">
      <c r="A433" s="17">
        <v>6.6714801444043301</v>
      </c>
      <c r="B433" s="17">
        <v>645.73991031390096</v>
      </c>
      <c r="C433" s="14" t="s">
        <v>33</v>
      </c>
      <c r="D433" s="14" t="s">
        <v>212</v>
      </c>
      <c r="E433" s="14" t="s">
        <v>170</v>
      </c>
      <c r="F433" s="14" t="s">
        <v>34</v>
      </c>
      <c r="G433" s="14">
        <v>0.72</v>
      </c>
      <c r="H433" s="14" t="s">
        <v>34</v>
      </c>
      <c r="I433" s="14" t="s">
        <v>34</v>
      </c>
      <c r="J433" s="14">
        <v>1.2</v>
      </c>
      <c r="K433" s="14" t="s">
        <v>34</v>
      </c>
      <c r="L433" s="14">
        <v>0</v>
      </c>
      <c r="M433" s="14">
        <v>57</v>
      </c>
      <c r="N433" s="14" t="s">
        <v>34</v>
      </c>
      <c r="O433" s="14">
        <v>0.74199999999999999</v>
      </c>
      <c r="P433" s="14">
        <v>0.502</v>
      </c>
      <c r="Q433" s="14">
        <v>22.64</v>
      </c>
      <c r="R433" s="14">
        <v>2.65</v>
      </c>
      <c r="S433" s="14" t="s">
        <v>34</v>
      </c>
      <c r="T433" s="14" t="s">
        <v>36</v>
      </c>
      <c r="U433" s="14" t="s">
        <v>39</v>
      </c>
      <c r="V433" s="14" t="s">
        <v>162</v>
      </c>
      <c r="W433" s="14">
        <v>3</v>
      </c>
      <c r="X433" s="14">
        <v>2</v>
      </c>
      <c r="Y433" s="14">
        <v>1</v>
      </c>
      <c r="Z433" s="14" t="s">
        <v>39</v>
      </c>
      <c r="AA433" s="14">
        <v>0.48</v>
      </c>
      <c r="AB433" s="14">
        <v>4.5</v>
      </c>
      <c r="AC433" s="14" t="s">
        <v>281</v>
      </c>
      <c r="AD433" s="14" t="s">
        <v>277</v>
      </c>
      <c r="AE433" s="14">
        <v>0.11</v>
      </c>
      <c r="AF433" s="14" t="s">
        <v>278</v>
      </c>
      <c r="AG433" s="14">
        <v>2022</v>
      </c>
      <c r="AH433" s="14" t="s">
        <v>279</v>
      </c>
      <c r="AI433" s="61">
        <v>50</v>
      </c>
      <c r="AJ433" s="15">
        <v>2</v>
      </c>
      <c r="AK433" s="15">
        <v>1</v>
      </c>
    </row>
    <row r="434" spans="1:37" x14ac:dyDescent="0.3">
      <c r="A434" s="12">
        <v>7.9970414201183404</v>
      </c>
      <c r="B434" s="12">
        <v>673.25367647058795</v>
      </c>
      <c r="C434" s="13" t="s">
        <v>33</v>
      </c>
      <c r="D434" s="13" t="s">
        <v>35</v>
      </c>
      <c r="E434" s="13" t="s">
        <v>170</v>
      </c>
      <c r="F434" s="13" t="s">
        <v>34</v>
      </c>
      <c r="G434" s="13">
        <v>0.51</v>
      </c>
      <c r="H434" s="13" t="s">
        <v>34</v>
      </c>
      <c r="I434" s="13" t="s">
        <v>34</v>
      </c>
      <c r="J434" s="13" t="s">
        <v>34</v>
      </c>
      <c r="K434" s="13" t="s">
        <v>34</v>
      </c>
      <c r="L434" s="13">
        <v>0</v>
      </c>
      <c r="M434" s="13">
        <v>62.47</v>
      </c>
      <c r="N434" s="13" t="s">
        <v>34</v>
      </c>
      <c r="O434" s="13">
        <v>1.2110000000000001</v>
      </c>
      <c r="P434" s="13">
        <v>0.69399999999999995</v>
      </c>
      <c r="Q434" s="13">
        <v>33.200000000000003</v>
      </c>
      <c r="R434" s="13">
        <v>2.56</v>
      </c>
      <c r="S434" s="13" t="s">
        <v>34</v>
      </c>
      <c r="T434" s="13" t="s">
        <v>49</v>
      </c>
      <c r="U434" s="13" t="s">
        <v>306</v>
      </c>
      <c r="V434" s="13" t="s">
        <v>38</v>
      </c>
      <c r="W434" s="13">
        <v>3</v>
      </c>
      <c r="X434" s="13">
        <v>1</v>
      </c>
      <c r="Y434" s="13">
        <v>1</v>
      </c>
      <c r="Z434" s="13" t="s">
        <v>307</v>
      </c>
      <c r="AA434" s="13">
        <v>1.1100000000000001</v>
      </c>
      <c r="AB434" s="13">
        <v>7.45</v>
      </c>
      <c r="AC434" s="13" t="s">
        <v>308</v>
      </c>
      <c r="AD434" s="13" t="s">
        <v>277</v>
      </c>
      <c r="AE434" s="13">
        <v>0.66300000000000003</v>
      </c>
      <c r="AF434" s="13" t="s">
        <v>309</v>
      </c>
      <c r="AG434" s="13">
        <v>2025</v>
      </c>
      <c r="AH434" s="13" t="s">
        <v>310</v>
      </c>
      <c r="AI434" s="2">
        <v>50</v>
      </c>
      <c r="AJ434" s="2">
        <v>2</v>
      </c>
      <c r="AK434" s="2">
        <v>1</v>
      </c>
    </row>
    <row r="435" spans="1:37" x14ac:dyDescent="0.3">
      <c r="A435" s="11">
        <v>8.12130177514792</v>
      </c>
      <c r="B435" s="11">
        <v>565.25735294117601</v>
      </c>
      <c r="C435" s="13" t="s">
        <v>33</v>
      </c>
      <c r="D435" s="13" t="s">
        <v>35</v>
      </c>
      <c r="E435" s="10" t="s">
        <v>170</v>
      </c>
      <c r="F435" s="10" t="s">
        <v>34</v>
      </c>
      <c r="G435" s="10">
        <v>0.51</v>
      </c>
      <c r="H435" s="10" t="s">
        <v>34</v>
      </c>
      <c r="I435" s="10" t="s">
        <v>34</v>
      </c>
      <c r="J435" s="10" t="s">
        <v>34</v>
      </c>
      <c r="K435" s="10" t="s">
        <v>34</v>
      </c>
      <c r="L435" s="10">
        <v>0</v>
      </c>
      <c r="M435" s="10">
        <v>62.47</v>
      </c>
      <c r="N435" s="10" t="s">
        <v>34</v>
      </c>
      <c r="O435" s="10">
        <v>1.2110000000000001</v>
      </c>
      <c r="P435" s="10">
        <v>0.69399999999999995</v>
      </c>
      <c r="Q435" s="10">
        <v>33.200000000000003</v>
      </c>
      <c r="R435" s="10">
        <v>2.56</v>
      </c>
      <c r="S435" s="10" t="s">
        <v>34</v>
      </c>
      <c r="T435" s="10" t="s">
        <v>49</v>
      </c>
      <c r="U435" s="10" t="s">
        <v>306</v>
      </c>
      <c r="V435" s="10" t="s">
        <v>38</v>
      </c>
      <c r="W435" s="10">
        <v>3</v>
      </c>
      <c r="X435" s="10">
        <v>1</v>
      </c>
      <c r="Y435" s="10">
        <v>1</v>
      </c>
      <c r="Z435" s="10" t="s">
        <v>307</v>
      </c>
      <c r="AA435" s="10">
        <v>1.1100000000000001</v>
      </c>
      <c r="AB435" s="10">
        <v>7.45</v>
      </c>
      <c r="AC435" s="10" t="s">
        <v>308</v>
      </c>
      <c r="AD435" s="10" t="s">
        <v>277</v>
      </c>
      <c r="AE435" s="10">
        <v>0.66300000000000003</v>
      </c>
      <c r="AF435" s="10" t="s">
        <v>309</v>
      </c>
      <c r="AG435" s="10">
        <v>2025</v>
      </c>
      <c r="AH435" s="10" t="s">
        <v>310</v>
      </c>
      <c r="AI435" s="2">
        <v>50</v>
      </c>
      <c r="AJ435" s="2">
        <v>2</v>
      </c>
      <c r="AK435" s="2">
        <v>1</v>
      </c>
    </row>
    <row r="436" spans="1:37" x14ac:dyDescent="0.3">
      <c r="A436" s="11">
        <v>8.2633136094674509</v>
      </c>
      <c r="B436" s="11">
        <v>728.400735294117</v>
      </c>
      <c r="C436" s="13" t="s">
        <v>33</v>
      </c>
      <c r="D436" s="13" t="s">
        <v>35</v>
      </c>
      <c r="E436" s="10" t="s">
        <v>170</v>
      </c>
      <c r="F436" s="10" t="s">
        <v>34</v>
      </c>
      <c r="G436" s="10">
        <v>0.51</v>
      </c>
      <c r="H436" s="10" t="s">
        <v>34</v>
      </c>
      <c r="I436" s="10" t="s">
        <v>34</v>
      </c>
      <c r="J436" s="10" t="s">
        <v>34</v>
      </c>
      <c r="K436" s="10" t="s">
        <v>34</v>
      </c>
      <c r="L436" s="10">
        <v>0</v>
      </c>
      <c r="M436" s="10">
        <v>62.47</v>
      </c>
      <c r="N436" s="10" t="s">
        <v>34</v>
      </c>
      <c r="O436" s="10">
        <v>1.2110000000000001</v>
      </c>
      <c r="P436" s="10">
        <v>0.69399999999999995</v>
      </c>
      <c r="Q436" s="10">
        <v>33.200000000000003</v>
      </c>
      <c r="R436" s="10">
        <v>2.56</v>
      </c>
      <c r="S436" s="10" t="s">
        <v>34</v>
      </c>
      <c r="T436" s="10" t="s">
        <v>49</v>
      </c>
      <c r="U436" s="10" t="s">
        <v>306</v>
      </c>
      <c r="V436" s="10" t="s">
        <v>38</v>
      </c>
      <c r="W436" s="10">
        <v>3</v>
      </c>
      <c r="X436" s="10">
        <v>1</v>
      </c>
      <c r="Y436" s="10">
        <v>1</v>
      </c>
      <c r="Z436" s="10" t="s">
        <v>307</v>
      </c>
      <c r="AA436" s="10">
        <v>1.1100000000000001</v>
      </c>
      <c r="AB436" s="10">
        <v>7.45</v>
      </c>
      <c r="AC436" s="10" t="s">
        <v>308</v>
      </c>
      <c r="AD436" s="10" t="s">
        <v>277</v>
      </c>
      <c r="AE436" s="10">
        <v>0.66300000000000003</v>
      </c>
      <c r="AF436" s="10" t="s">
        <v>309</v>
      </c>
      <c r="AG436" s="10">
        <v>2025</v>
      </c>
      <c r="AH436" s="10" t="s">
        <v>310</v>
      </c>
      <c r="AI436" s="2">
        <v>50</v>
      </c>
      <c r="AJ436" s="2">
        <v>2</v>
      </c>
      <c r="AK436" s="2">
        <v>1</v>
      </c>
    </row>
    <row r="437" spans="1:37" x14ac:dyDescent="0.3">
      <c r="A437" s="11">
        <v>8.2810650887573907</v>
      </c>
      <c r="B437" s="11">
        <v>755.97426470588198</v>
      </c>
      <c r="C437" s="13" t="s">
        <v>33</v>
      </c>
      <c r="D437" s="13" t="s">
        <v>35</v>
      </c>
      <c r="E437" s="10" t="s">
        <v>170</v>
      </c>
      <c r="F437" s="10" t="s">
        <v>34</v>
      </c>
      <c r="G437" s="10">
        <v>0.51</v>
      </c>
      <c r="H437" s="10" t="s">
        <v>34</v>
      </c>
      <c r="I437" s="10" t="s">
        <v>34</v>
      </c>
      <c r="J437" s="10" t="s">
        <v>34</v>
      </c>
      <c r="K437" s="10" t="s">
        <v>34</v>
      </c>
      <c r="L437" s="10">
        <v>0</v>
      </c>
      <c r="M437" s="10">
        <v>62.47</v>
      </c>
      <c r="N437" s="10" t="s">
        <v>34</v>
      </c>
      <c r="O437" s="10">
        <v>1.2110000000000001</v>
      </c>
      <c r="P437" s="10">
        <v>0.69399999999999995</v>
      </c>
      <c r="Q437" s="10">
        <v>33.200000000000003</v>
      </c>
      <c r="R437" s="10">
        <v>2.56</v>
      </c>
      <c r="S437" s="10" t="s">
        <v>34</v>
      </c>
      <c r="T437" s="10" t="s">
        <v>49</v>
      </c>
      <c r="U437" s="10" t="s">
        <v>306</v>
      </c>
      <c r="V437" s="10" t="s">
        <v>38</v>
      </c>
      <c r="W437" s="10">
        <v>3</v>
      </c>
      <c r="X437" s="10">
        <v>1</v>
      </c>
      <c r="Y437" s="10">
        <v>1</v>
      </c>
      <c r="Z437" s="10" t="s">
        <v>307</v>
      </c>
      <c r="AA437" s="10">
        <v>1.1100000000000001</v>
      </c>
      <c r="AB437" s="10">
        <v>4.5</v>
      </c>
      <c r="AC437" s="10" t="s">
        <v>308</v>
      </c>
      <c r="AD437" s="10" t="s">
        <v>277</v>
      </c>
      <c r="AE437" s="10">
        <v>0.66300000000000003</v>
      </c>
      <c r="AF437" s="10" t="s">
        <v>309</v>
      </c>
      <c r="AG437" s="10">
        <v>2025</v>
      </c>
      <c r="AH437" s="10" t="s">
        <v>310</v>
      </c>
      <c r="AI437" s="2">
        <v>50</v>
      </c>
      <c r="AJ437" s="2">
        <v>2</v>
      </c>
      <c r="AK437" s="2">
        <v>1</v>
      </c>
    </row>
    <row r="438" spans="1:37" x14ac:dyDescent="0.3">
      <c r="A438" s="11">
        <v>8.3165680473372703</v>
      </c>
      <c r="B438" s="11">
        <v>797.33455882352905</v>
      </c>
      <c r="C438" s="13" t="s">
        <v>33</v>
      </c>
      <c r="D438" s="13" t="s">
        <v>35</v>
      </c>
      <c r="E438" s="10" t="s">
        <v>170</v>
      </c>
      <c r="F438" s="10" t="s">
        <v>34</v>
      </c>
      <c r="G438" s="10">
        <v>0.51</v>
      </c>
      <c r="H438" s="10" t="s">
        <v>34</v>
      </c>
      <c r="I438" s="10" t="s">
        <v>34</v>
      </c>
      <c r="J438" s="10" t="s">
        <v>34</v>
      </c>
      <c r="K438" s="10" t="s">
        <v>34</v>
      </c>
      <c r="L438" s="10">
        <v>0</v>
      </c>
      <c r="M438" s="10">
        <v>62.47</v>
      </c>
      <c r="N438" s="10" t="s">
        <v>34</v>
      </c>
      <c r="O438" s="10">
        <v>1.2110000000000001</v>
      </c>
      <c r="P438" s="10">
        <v>0.69399999999999995</v>
      </c>
      <c r="Q438" s="10">
        <v>33.200000000000003</v>
      </c>
      <c r="R438" s="10">
        <v>2.56</v>
      </c>
      <c r="S438" s="10" t="s">
        <v>34</v>
      </c>
      <c r="T438" s="10" t="s">
        <v>49</v>
      </c>
      <c r="U438" s="10" t="s">
        <v>306</v>
      </c>
      <c r="V438" s="10" t="s">
        <v>38</v>
      </c>
      <c r="W438" s="10">
        <v>3</v>
      </c>
      <c r="X438" s="10">
        <v>1</v>
      </c>
      <c r="Y438" s="10">
        <v>1</v>
      </c>
      <c r="Z438" s="10" t="s">
        <v>307</v>
      </c>
      <c r="AA438" s="10">
        <v>1.1100000000000001</v>
      </c>
      <c r="AB438" s="10">
        <v>4.5</v>
      </c>
      <c r="AC438" s="10" t="s">
        <v>308</v>
      </c>
      <c r="AD438" s="10" t="s">
        <v>277</v>
      </c>
      <c r="AE438" s="10">
        <v>0.66300000000000003</v>
      </c>
      <c r="AF438" s="10" t="s">
        <v>309</v>
      </c>
      <c r="AG438" s="10">
        <v>2025</v>
      </c>
      <c r="AH438" s="10" t="s">
        <v>310</v>
      </c>
      <c r="AI438" s="2">
        <v>50</v>
      </c>
      <c r="AJ438" s="2">
        <v>2</v>
      </c>
      <c r="AK438" s="2">
        <v>1</v>
      </c>
    </row>
    <row r="439" spans="1:37" x14ac:dyDescent="0.3">
      <c r="A439" s="11">
        <v>8.4142011834319508</v>
      </c>
      <c r="B439" s="11">
        <v>836.39705882352905</v>
      </c>
      <c r="C439" s="13" t="s">
        <v>33</v>
      </c>
      <c r="D439" s="13" t="s">
        <v>35</v>
      </c>
      <c r="E439" s="10" t="s">
        <v>170</v>
      </c>
      <c r="F439" s="10" t="s">
        <v>34</v>
      </c>
      <c r="G439" s="10">
        <v>0.51</v>
      </c>
      <c r="H439" s="10" t="s">
        <v>34</v>
      </c>
      <c r="I439" s="10" t="s">
        <v>34</v>
      </c>
      <c r="J439" s="10" t="s">
        <v>34</v>
      </c>
      <c r="K439" s="10" t="s">
        <v>34</v>
      </c>
      <c r="L439" s="10">
        <v>0</v>
      </c>
      <c r="M439" s="10">
        <v>62.47</v>
      </c>
      <c r="N439" s="10" t="s">
        <v>34</v>
      </c>
      <c r="O439" s="10">
        <v>1.2110000000000001</v>
      </c>
      <c r="P439" s="10">
        <v>0.69399999999999995</v>
      </c>
      <c r="Q439" s="10">
        <v>33.200000000000003</v>
      </c>
      <c r="R439" s="10">
        <v>2.56</v>
      </c>
      <c r="S439" s="10" t="s">
        <v>34</v>
      </c>
      <c r="T439" s="10" t="s">
        <v>49</v>
      </c>
      <c r="U439" s="10" t="s">
        <v>306</v>
      </c>
      <c r="V439" s="10" t="s">
        <v>38</v>
      </c>
      <c r="W439" s="10">
        <v>3</v>
      </c>
      <c r="X439" s="10">
        <v>1</v>
      </c>
      <c r="Y439" s="10">
        <v>1</v>
      </c>
      <c r="Z439" s="10" t="s">
        <v>307</v>
      </c>
      <c r="AA439" s="10">
        <v>1.1100000000000001</v>
      </c>
      <c r="AB439" s="10">
        <v>4.5</v>
      </c>
      <c r="AC439" s="10" t="s">
        <v>308</v>
      </c>
      <c r="AD439" s="10" t="s">
        <v>277</v>
      </c>
      <c r="AE439" s="10">
        <v>0.66300000000000003</v>
      </c>
      <c r="AF439" s="10" t="s">
        <v>309</v>
      </c>
      <c r="AG439" s="10">
        <v>2025</v>
      </c>
      <c r="AH439" s="10" t="s">
        <v>310</v>
      </c>
      <c r="AI439" s="2">
        <v>50</v>
      </c>
      <c r="AJ439" s="2">
        <v>2</v>
      </c>
      <c r="AK439" s="2">
        <v>1</v>
      </c>
    </row>
    <row r="440" spans="1:37" x14ac:dyDescent="0.3">
      <c r="A440" s="11">
        <v>7.1715976331360896</v>
      </c>
      <c r="B440" s="11">
        <v>767.463235294117</v>
      </c>
      <c r="C440" s="13" t="s">
        <v>33</v>
      </c>
      <c r="D440" s="13" t="s">
        <v>35</v>
      </c>
      <c r="E440" s="10" t="s">
        <v>170</v>
      </c>
      <c r="F440" s="10" t="s">
        <v>34</v>
      </c>
      <c r="G440" s="10">
        <v>0.51</v>
      </c>
      <c r="H440" s="10" t="s">
        <v>34</v>
      </c>
      <c r="I440" s="10" t="s">
        <v>34</v>
      </c>
      <c r="J440" s="10" t="s">
        <v>34</v>
      </c>
      <c r="K440" s="10" t="s">
        <v>34</v>
      </c>
      <c r="L440" s="10">
        <v>0</v>
      </c>
      <c r="M440" s="10">
        <v>62.47</v>
      </c>
      <c r="N440" s="10" t="s">
        <v>34</v>
      </c>
      <c r="O440" s="10">
        <v>1.2110000000000001</v>
      </c>
      <c r="P440" s="10">
        <v>0.69399999999999995</v>
      </c>
      <c r="Q440" s="10">
        <v>33.200000000000003</v>
      </c>
      <c r="R440" s="10">
        <v>2.56</v>
      </c>
      <c r="S440" s="10" t="s">
        <v>34</v>
      </c>
      <c r="T440" s="10" t="s">
        <v>49</v>
      </c>
      <c r="U440" s="10" t="s">
        <v>306</v>
      </c>
      <c r="V440" s="10" t="s">
        <v>38</v>
      </c>
      <c r="W440" s="10">
        <v>3</v>
      </c>
      <c r="X440" s="10">
        <v>1</v>
      </c>
      <c r="Y440" s="10">
        <v>1</v>
      </c>
      <c r="Z440" s="10" t="s">
        <v>307</v>
      </c>
      <c r="AA440" s="10">
        <v>1.1100000000000001</v>
      </c>
      <c r="AB440" s="10">
        <v>2</v>
      </c>
      <c r="AC440" s="10" t="s">
        <v>308</v>
      </c>
      <c r="AD440" s="10" t="s">
        <v>277</v>
      </c>
      <c r="AE440" s="10">
        <v>0.66300000000000003</v>
      </c>
      <c r="AF440" s="10" t="s">
        <v>309</v>
      </c>
      <c r="AG440" s="10">
        <v>2025</v>
      </c>
      <c r="AH440" s="10" t="s">
        <v>310</v>
      </c>
      <c r="AI440" s="2">
        <v>50</v>
      </c>
      <c r="AJ440" s="2">
        <v>2</v>
      </c>
      <c r="AK440" s="2">
        <v>1</v>
      </c>
    </row>
    <row r="441" spans="1:37" x14ac:dyDescent="0.3">
      <c r="A441" s="11">
        <v>7.7573964497041397</v>
      </c>
      <c r="B441" s="11">
        <v>815.71691176470495</v>
      </c>
      <c r="C441" s="13" t="s">
        <v>33</v>
      </c>
      <c r="D441" s="13" t="s">
        <v>35</v>
      </c>
      <c r="E441" s="10" t="s">
        <v>170</v>
      </c>
      <c r="F441" s="10" t="s">
        <v>34</v>
      </c>
      <c r="G441" s="10">
        <v>0.51</v>
      </c>
      <c r="H441" s="10" t="s">
        <v>34</v>
      </c>
      <c r="I441" s="10" t="s">
        <v>34</v>
      </c>
      <c r="J441" s="10" t="s">
        <v>34</v>
      </c>
      <c r="K441" s="10" t="s">
        <v>34</v>
      </c>
      <c r="L441" s="10">
        <v>0</v>
      </c>
      <c r="M441" s="10">
        <v>62.47</v>
      </c>
      <c r="N441" s="10" t="s">
        <v>34</v>
      </c>
      <c r="O441" s="10">
        <v>1.2110000000000001</v>
      </c>
      <c r="P441" s="10">
        <v>0.69399999999999995</v>
      </c>
      <c r="Q441" s="10">
        <v>33.200000000000003</v>
      </c>
      <c r="R441" s="10">
        <v>2.56</v>
      </c>
      <c r="S441" s="10" t="s">
        <v>34</v>
      </c>
      <c r="T441" s="10" t="s">
        <v>49</v>
      </c>
      <c r="U441" s="10" t="s">
        <v>306</v>
      </c>
      <c r="V441" s="10" t="s">
        <v>38</v>
      </c>
      <c r="W441" s="10">
        <v>3</v>
      </c>
      <c r="X441" s="10">
        <v>1</v>
      </c>
      <c r="Y441" s="10">
        <v>1</v>
      </c>
      <c r="Z441" s="10" t="s">
        <v>307</v>
      </c>
      <c r="AA441" s="10">
        <v>1.1100000000000001</v>
      </c>
      <c r="AB441" s="10">
        <v>2</v>
      </c>
      <c r="AC441" s="10" t="s">
        <v>308</v>
      </c>
      <c r="AD441" s="10" t="s">
        <v>277</v>
      </c>
      <c r="AE441" s="10">
        <v>0.66300000000000003</v>
      </c>
      <c r="AF441" s="10" t="s">
        <v>309</v>
      </c>
      <c r="AG441" s="10">
        <v>2025</v>
      </c>
      <c r="AH441" s="10" t="s">
        <v>310</v>
      </c>
      <c r="AI441" s="2">
        <v>50</v>
      </c>
      <c r="AJ441" s="2">
        <v>2</v>
      </c>
      <c r="AK441" s="2">
        <v>1</v>
      </c>
    </row>
    <row r="442" spans="1:37" x14ac:dyDescent="0.3">
      <c r="A442" s="11">
        <v>7.6863905325443698</v>
      </c>
      <c r="B442" s="11">
        <v>1123.6213235294099</v>
      </c>
      <c r="C442" s="13" t="s">
        <v>33</v>
      </c>
      <c r="D442" s="13" t="s">
        <v>35</v>
      </c>
      <c r="E442" s="10" t="s">
        <v>170</v>
      </c>
      <c r="F442" s="10" t="s">
        <v>34</v>
      </c>
      <c r="G442" s="10">
        <v>0.51</v>
      </c>
      <c r="H442" s="10" t="s">
        <v>34</v>
      </c>
      <c r="I442" s="10" t="s">
        <v>34</v>
      </c>
      <c r="J442" s="10" t="s">
        <v>34</v>
      </c>
      <c r="K442" s="10" t="s">
        <v>34</v>
      </c>
      <c r="L442" s="10">
        <v>0</v>
      </c>
      <c r="M442" s="10">
        <v>62.47</v>
      </c>
      <c r="N442" s="10" t="s">
        <v>34</v>
      </c>
      <c r="O442" s="10">
        <v>1.2110000000000001</v>
      </c>
      <c r="P442" s="10">
        <v>0.69399999999999995</v>
      </c>
      <c r="Q442" s="10">
        <v>33.200000000000003</v>
      </c>
      <c r="R442" s="10">
        <v>2.56</v>
      </c>
      <c r="S442" s="10" t="s">
        <v>34</v>
      </c>
      <c r="T442" s="10" t="s">
        <v>49</v>
      </c>
      <c r="U442" s="10" t="s">
        <v>306</v>
      </c>
      <c r="V442" s="10" t="s">
        <v>38</v>
      </c>
      <c r="W442" s="10">
        <v>3</v>
      </c>
      <c r="X442" s="10">
        <v>1</v>
      </c>
      <c r="Y442" s="10">
        <v>1</v>
      </c>
      <c r="Z442" s="10" t="s">
        <v>307</v>
      </c>
      <c r="AA442" s="10">
        <v>1.1100000000000001</v>
      </c>
      <c r="AB442" s="10">
        <v>2</v>
      </c>
      <c r="AC442" s="10" t="s">
        <v>308</v>
      </c>
      <c r="AD442" s="10" t="s">
        <v>277</v>
      </c>
      <c r="AE442" s="10">
        <v>0.66300000000000003</v>
      </c>
      <c r="AF442" s="10" t="s">
        <v>309</v>
      </c>
      <c r="AG442" s="10">
        <v>2025</v>
      </c>
      <c r="AH442" s="10" t="s">
        <v>310</v>
      </c>
      <c r="AI442" s="2">
        <v>50</v>
      </c>
      <c r="AJ442" s="2">
        <v>2</v>
      </c>
      <c r="AK442" s="2">
        <v>1</v>
      </c>
    </row>
    <row r="443" spans="1:37" x14ac:dyDescent="0.3">
      <c r="A443" s="11">
        <v>7.3224852071005904</v>
      </c>
      <c r="B443" s="11">
        <v>1029.4117647058799</v>
      </c>
      <c r="C443" s="13" t="s">
        <v>33</v>
      </c>
      <c r="D443" s="13" t="s">
        <v>35</v>
      </c>
      <c r="E443" s="10" t="s">
        <v>170</v>
      </c>
      <c r="F443" s="10" t="s">
        <v>34</v>
      </c>
      <c r="G443" s="10">
        <v>0.51</v>
      </c>
      <c r="H443" s="10" t="s">
        <v>34</v>
      </c>
      <c r="I443" s="10" t="s">
        <v>34</v>
      </c>
      <c r="J443" s="10" t="s">
        <v>34</v>
      </c>
      <c r="K443" s="10" t="s">
        <v>34</v>
      </c>
      <c r="L443" s="10">
        <v>0</v>
      </c>
      <c r="M443" s="10">
        <v>62.47</v>
      </c>
      <c r="N443" s="10" t="s">
        <v>34</v>
      </c>
      <c r="O443" s="10">
        <v>1.2110000000000001</v>
      </c>
      <c r="P443" s="10">
        <v>0.69399999999999995</v>
      </c>
      <c r="Q443" s="10">
        <v>33.200000000000003</v>
      </c>
      <c r="R443" s="10">
        <v>2.56</v>
      </c>
      <c r="S443" s="10" t="s">
        <v>34</v>
      </c>
      <c r="T443" s="10" t="s">
        <v>49</v>
      </c>
      <c r="U443" s="10" t="s">
        <v>306</v>
      </c>
      <c r="V443" s="10" t="s">
        <v>38</v>
      </c>
      <c r="W443" s="10">
        <v>3</v>
      </c>
      <c r="X443" s="10">
        <v>1</v>
      </c>
      <c r="Y443" s="10">
        <v>1</v>
      </c>
      <c r="Z443" s="10" t="s">
        <v>307</v>
      </c>
      <c r="AA443" s="10">
        <v>1.1100000000000001</v>
      </c>
      <c r="AB443" s="10">
        <v>1.75</v>
      </c>
      <c r="AC443" s="10" t="s">
        <v>308</v>
      </c>
      <c r="AD443" s="10" t="s">
        <v>277</v>
      </c>
      <c r="AE443" s="10">
        <v>0.66300000000000003</v>
      </c>
      <c r="AF443" s="10" t="s">
        <v>309</v>
      </c>
      <c r="AG443" s="10">
        <v>2025</v>
      </c>
      <c r="AH443" s="10" t="s">
        <v>310</v>
      </c>
      <c r="AI443" s="2">
        <v>50</v>
      </c>
      <c r="AJ443" s="2">
        <v>2</v>
      </c>
      <c r="AK443" s="2">
        <v>1</v>
      </c>
    </row>
    <row r="444" spans="1:37" x14ac:dyDescent="0.3">
      <c r="A444" s="11">
        <v>7.5266272189348999</v>
      </c>
      <c r="B444" s="11">
        <v>988.05147058823502</v>
      </c>
      <c r="C444" s="13" t="s">
        <v>33</v>
      </c>
      <c r="D444" s="13" t="s">
        <v>35</v>
      </c>
      <c r="E444" s="10" t="s">
        <v>170</v>
      </c>
      <c r="F444" s="10" t="s">
        <v>34</v>
      </c>
      <c r="G444" s="10">
        <v>0.51</v>
      </c>
      <c r="H444" s="10" t="s">
        <v>34</v>
      </c>
      <c r="I444" s="10" t="s">
        <v>34</v>
      </c>
      <c r="J444" s="10" t="s">
        <v>34</v>
      </c>
      <c r="K444" s="10" t="s">
        <v>34</v>
      </c>
      <c r="L444" s="10">
        <v>0</v>
      </c>
      <c r="M444" s="10">
        <v>62.47</v>
      </c>
      <c r="N444" s="10" t="s">
        <v>34</v>
      </c>
      <c r="O444" s="10">
        <v>1.2110000000000001</v>
      </c>
      <c r="P444" s="10">
        <v>0.69399999999999995</v>
      </c>
      <c r="Q444" s="10">
        <v>33.200000000000003</v>
      </c>
      <c r="R444" s="10">
        <v>2.56</v>
      </c>
      <c r="S444" s="10" t="s">
        <v>34</v>
      </c>
      <c r="T444" s="10" t="s">
        <v>49</v>
      </c>
      <c r="U444" s="10" t="s">
        <v>306</v>
      </c>
      <c r="V444" s="10" t="s">
        <v>38</v>
      </c>
      <c r="W444" s="10">
        <v>3</v>
      </c>
      <c r="X444" s="10">
        <v>1</v>
      </c>
      <c r="Y444" s="10">
        <v>1</v>
      </c>
      <c r="Z444" s="10" t="s">
        <v>307</v>
      </c>
      <c r="AA444" s="10">
        <v>1.1100000000000001</v>
      </c>
      <c r="AB444" s="10">
        <v>1.75</v>
      </c>
      <c r="AC444" s="10" t="s">
        <v>308</v>
      </c>
      <c r="AD444" s="10" t="s">
        <v>277</v>
      </c>
      <c r="AE444" s="10">
        <v>0.66300000000000003</v>
      </c>
      <c r="AF444" s="10" t="s">
        <v>309</v>
      </c>
      <c r="AG444" s="10">
        <v>2025</v>
      </c>
      <c r="AH444" s="10" t="s">
        <v>310</v>
      </c>
      <c r="AI444" s="2">
        <v>50</v>
      </c>
      <c r="AJ444" s="2">
        <v>2</v>
      </c>
      <c r="AK444" s="2">
        <v>1</v>
      </c>
    </row>
    <row r="445" spans="1:37" x14ac:dyDescent="0.3">
      <c r="A445" s="11">
        <v>7.3224852071005904</v>
      </c>
      <c r="B445" s="11">
        <v>905.33088235294099</v>
      </c>
      <c r="C445" s="13" t="s">
        <v>33</v>
      </c>
      <c r="D445" s="13" t="s">
        <v>35</v>
      </c>
      <c r="E445" s="10" t="s">
        <v>170</v>
      </c>
      <c r="F445" s="10" t="s">
        <v>34</v>
      </c>
      <c r="G445" s="10">
        <v>0.51</v>
      </c>
      <c r="H445" s="10" t="s">
        <v>34</v>
      </c>
      <c r="I445" s="10" t="s">
        <v>34</v>
      </c>
      <c r="J445" s="10" t="s">
        <v>34</v>
      </c>
      <c r="K445" s="10" t="s">
        <v>34</v>
      </c>
      <c r="L445" s="10">
        <v>0</v>
      </c>
      <c r="M445" s="10">
        <v>62.47</v>
      </c>
      <c r="N445" s="10" t="s">
        <v>34</v>
      </c>
      <c r="O445" s="10">
        <v>1.2110000000000001</v>
      </c>
      <c r="P445" s="10">
        <v>0.69399999999999995</v>
      </c>
      <c r="Q445" s="10">
        <v>33.200000000000003</v>
      </c>
      <c r="R445" s="10">
        <v>2.56</v>
      </c>
      <c r="S445" s="10" t="s">
        <v>34</v>
      </c>
      <c r="T445" s="10" t="s">
        <v>49</v>
      </c>
      <c r="U445" s="10" t="s">
        <v>306</v>
      </c>
      <c r="V445" s="10" t="s">
        <v>38</v>
      </c>
      <c r="W445" s="10">
        <v>3</v>
      </c>
      <c r="X445" s="10">
        <v>1</v>
      </c>
      <c r="Y445" s="10">
        <v>1</v>
      </c>
      <c r="Z445" s="10" t="s">
        <v>307</v>
      </c>
      <c r="AA445" s="10">
        <v>1.1100000000000001</v>
      </c>
      <c r="AB445" s="10">
        <v>1.75</v>
      </c>
      <c r="AC445" s="10" t="s">
        <v>308</v>
      </c>
      <c r="AD445" s="10" t="s">
        <v>277</v>
      </c>
      <c r="AE445" s="10">
        <v>0.66300000000000003</v>
      </c>
      <c r="AF445" s="10" t="s">
        <v>309</v>
      </c>
      <c r="AG445" s="10">
        <v>2025</v>
      </c>
      <c r="AH445" s="10" t="s">
        <v>310</v>
      </c>
      <c r="AI445" s="2">
        <v>50</v>
      </c>
      <c r="AJ445" s="2">
        <v>2</v>
      </c>
      <c r="AK445" s="2">
        <v>1</v>
      </c>
    </row>
    <row r="446" spans="1:37" x14ac:dyDescent="0.3">
      <c r="A446" s="11">
        <v>6.2218934911242503</v>
      </c>
      <c r="B446" s="11">
        <v>778.95220588235202</v>
      </c>
      <c r="C446" s="13" t="s">
        <v>33</v>
      </c>
      <c r="D446" s="13" t="s">
        <v>35</v>
      </c>
      <c r="E446" s="10" t="s">
        <v>170</v>
      </c>
      <c r="F446" s="10" t="s">
        <v>34</v>
      </c>
      <c r="G446" s="10">
        <v>0.51</v>
      </c>
      <c r="H446" s="10" t="s">
        <v>34</v>
      </c>
      <c r="I446" s="10" t="s">
        <v>34</v>
      </c>
      <c r="J446" s="10" t="s">
        <v>34</v>
      </c>
      <c r="K446" s="10" t="s">
        <v>34</v>
      </c>
      <c r="L446" s="10">
        <v>0</v>
      </c>
      <c r="M446" s="10">
        <v>62.47</v>
      </c>
      <c r="N446" s="10" t="s">
        <v>34</v>
      </c>
      <c r="O446" s="10">
        <v>1.2110000000000001</v>
      </c>
      <c r="P446" s="10">
        <v>0.69399999999999995</v>
      </c>
      <c r="Q446" s="10">
        <v>33.200000000000003</v>
      </c>
      <c r="R446" s="10">
        <v>2.56</v>
      </c>
      <c r="S446" s="10" t="s">
        <v>34</v>
      </c>
      <c r="T446" s="10" t="s">
        <v>49</v>
      </c>
      <c r="U446" s="10" t="s">
        <v>306</v>
      </c>
      <c r="V446" s="10" t="s">
        <v>38</v>
      </c>
      <c r="W446" s="10">
        <v>3</v>
      </c>
      <c r="X446" s="10">
        <v>1</v>
      </c>
      <c r="Y446" s="10">
        <v>1</v>
      </c>
      <c r="Z446" s="10" t="s">
        <v>307</v>
      </c>
      <c r="AA446" s="10">
        <v>1.1100000000000001</v>
      </c>
      <c r="AB446" s="10">
        <v>1.25</v>
      </c>
      <c r="AC446" s="10" t="s">
        <v>308</v>
      </c>
      <c r="AD446" s="10" t="s">
        <v>277</v>
      </c>
      <c r="AE446" s="10">
        <v>0.66300000000000003</v>
      </c>
      <c r="AF446" s="10" t="s">
        <v>309</v>
      </c>
      <c r="AG446" s="10">
        <v>2025</v>
      </c>
      <c r="AH446" s="10" t="s">
        <v>310</v>
      </c>
      <c r="AI446" s="2">
        <v>50</v>
      </c>
      <c r="AJ446" s="2">
        <v>2</v>
      </c>
      <c r="AK446" s="2">
        <v>1</v>
      </c>
    </row>
    <row r="447" spans="1:37" x14ac:dyDescent="0.3">
      <c r="A447" s="11">
        <v>6.5414201183431899</v>
      </c>
      <c r="B447" s="11">
        <v>588.23529411764696</v>
      </c>
      <c r="C447" s="13" t="s">
        <v>33</v>
      </c>
      <c r="D447" s="13" t="s">
        <v>35</v>
      </c>
      <c r="E447" s="10" t="s">
        <v>170</v>
      </c>
      <c r="F447" s="10" t="s">
        <v>34</v>
      </c>
      <c r="G447" s="10">
        <v>0.51</v>
      </c>
      <c r="H447" s="10" t="s">
        <v>34</v>
      </c>
      <c r="I447" s="10" t="s">
        <v>34</v>
      </c>
      <c r="J447" s="10" t="s">
        <v>34</v>
      </c>
      <c r="K447" s="10" t="s">
        <v>34</v>
      </c>
      <c r="L447" s="10">
        <v>0</v>
      </c>
      <c r="M447" s="10">
        <v>62.47</v>
      </c>
      <c r="N447" s="10" t="s">
        <v>34</v>
      </c>
      <c r="O447" s="10">
        <v>1.2110000000000001</v>
      </c>
      <c r="P447" s="10">
        <v>0.69399999999999995</v>
      </c>
      <c r="Q447" s="10">
        <v>33.200000000000003</v>
      </c>
      <c r="R447" s="10">
        <v>2.56</v>
      </c>
      <c r="S447" s="10" t="s">
        <v>34</v>
      </c>
      <c r="T447" s="10" t="s">
        <v>49</v>
      </c>
      <c r="U447" s="10" t="s">
        <v>306</v>
      </c>
      <c r="V447" s="10" t="s">
        <v>38</v>
      </c>
      <c r="W447" s="10">
        <v>3</v>
      </c>
      <c r="X447" s="10">
        <v>1</v>
      </c>
      <c r="Y447" s="10">
        <v>1</v>
      </c>
      <c r="Z447" s="10" t="s">
        <v>307</v>
      </c>
      <c r="AA447" s="10">
        <v>1.1100000000000001</v>
      </c>
      <c r="AB447" s="10">
        <v>1.25</v>
      </c>
      <c r="AC447" s="10" t="s">
        <v>308</v>
      </c>
      <c r="AD447" s="10" t="s">
        <v>277</v>
      </c>
      <c r="AE447" s="10">
        <v>0.66300000000000003</v>
      </c>
      <c r="AF447" s="10" t="s">
        <v>309</v>
      </c>
      <c r="AG447" s="10">
        <v>2025</v>
      </c>
      <c r="AH447" s="10" t="s">
        <v>310</v>
      </c>
      <c r="AI447" s="2">
        <v>50</v>
      </c>
      <c r="AJ447" s="2">
        <v>2</v>
      </c>
      <c r="AK447" s="2">
        <v>1</v>
      </c>
    </row>
    <row r="448" spans="1:37" x14ac:dyDescent="0.3">
      <c r="A448" s="11">
        <v>6.6923076923076898</v>
      </c>
      <c r="B448" s="11">
        <v>551.47058823529301</v>
      </c>
      <c r="C448" s="13" t="s">
        <v>33</v>
      </c>
      <c r="D448" s="13" t="s">
        <v>35</v>
      </c>
      <c r="E448" s="10" t="s">
        <v>170</v>
      </c>
      <c r="F448" s="10" t="s">
        <v>34</v>
      </c>
      <c r="G448" s="10">
        <v>0.51</v>
      </c>
      <c r="H448" s="10" t="s">
        <v>34</v>
      </c>
      <c r="I448" s="10" t="s">
        <v>34</v>
      </c>
      <c r="J448" s="10" t="s">
        <v>34</v>
      </c>
      <c r="K448" s="10" t="s">
        <v>34</v>
      </c>
      <c r="L448" s="10">
        <v>0</v>
      </c>
      <c r="M448" s="10">
        <v>62.47</v>
      </c>
      <c r="N448" s="10" t="s">
        <v>34</v>
      </c>
      <c r="O448" s="10">
        <v>1.2110000000000001</v>
      </c>
      <c r="P448" s="10">
        <v>0.69399999999999995</v>
      </c>
      <c r="Q448" s="10">
        <v>33.200000000000003</v>
      </c>
      <c r="R448" s="10">
        <v>2.56</v>
      </c>
      <c r="S448" s="10" t="s">
        <v>34</v>
      </c>
      <c r="T448" s="10" t="s">
        <v>49</v>
      </c>
      <c r="U448" s="10" t="s">
        <v>306</v>
      </c>
      <c r="V448" s="10" t="s">
        <v>38</v>
      </c>
      <c r="W448" s="10">
        <v>3</v>
      </c>
      <c r="X448" s="10">
        <v>1</v>
      </c>
      <c r="Y448" s="10">
        <v>1</v>
      </c>
      <c r="Z448" s="10" t="s">
        <v>307</v>
      </c>
      <c r="AA448" s="10">
        <v>1.1100000000000001</v>
      </c>
      <c r="AB448" s="10">
        <v>1.25</v>
      </c>
      <c r="AC448" s="10" t="s">
        <v>308</v>
      </c>
      <c r="AD448" s="10" t="s">
        <v>277</v>
      </c>
      <c r="AE448" s="10">
        <v>0.66300000000000003</v>
      </c>
      <c r="AF448" s="10" t="s">
        <v>309</v>
      </c>
      <c r="AG448" s="10">
        <v>2025</v>
      </c>
      <c r="AH448" s="10" t="s">
        <v>310</v>
      </c>
      <c r="AI448" s="2">
        <v>50</v>
      </c>
      <c r="AJ448" s="2">
        <v>2</v>
      </c>
      <c r="AK448" s="2">
        <v>1</v>
      </c>
    </row>
    <row r="449" spans="1:37" x14ac:dyDescent="0.3">
      <c r="A449" s="11">
        <v>8.2810650887573907</v>
      </c>
      <c r="B449" s="11">
        <v>567.55514705882297</v>
      </c>
      <c r="C449" s="13" t="s">
        <v>33</v>
      </c>
      <c r="D449" s="13" t="s">
        <v>35</v>
      </c>
      <c r="E449" s="10" t="s">
        <v>170</v>
      </c>
      <c r="F449" s="10" t="s">
        <v>34</v>
      </c>
      <c r="G449" s="10">
        <v>0.51</v>
      </c>
      <c r="H449" s="10" t="s">
        <v>34</v>
      </c>
      <c r="I449" s="10" t="s">
        <v>34</v>
      </c>
      <c r="J449" s="10" t="s">
        <v>34</v>
      </c>
      <c r="K449" s="10" t="s">
        <v>34</v>
      </c>
      <c r="L449" s="10">
        <v>0</v>
      </c>
      <c r="M449" s="10">
        <v>62.47</v>
      </c>
      <c r="N449" s="10" t="s">
        <v>34</v>
      </c>
      <c r="O449" s="10">
        <v>1.2110000000000001</v>
      </c>
      <c r="P449" s="10">
        <v>0.69399999999999995</v>
      </c>
      <c r="Q449" s="10">
        <v>33.200000000000003</v>
      </c>
      <c r="R449" s="10">
        <v>2.56</v>
      </c>
      <c r="S449" s="10" t="s">
        <v>34</v>
      </c>
      <c r="T449" s="10" t="s">
        <v>49</v>
      </c>
      <c r="U449" s="10" t="s">
        <v>306</v>
      </c>
      <c r="V449" s="10" t="s">
        <v>38</v>
      </c>
      <c r="W449" s="10">
        <v>3</v>
      </c>
      <c r="X449" s="10">
        <v>1</v>
      </c>
      <c r="Y449" s="10">
        <v>1</v>
      </c>
      <c r="Z449" s="10" t="s">
        <v>307</v>
      </c>
      <c r="AA449" s="10">
        <v>1.1100000000000001</v>
      </c>
      <c r="AB449" s="10">
        <v>6</v>
      </c>
      <c r="AC449" s="10" t="s">
        <v>308</v>
      </c>
      <c r="AD449" s="10" t="s">
        <v>277</v>
      </c>
      <c r="AE449" s="10">
        <v>0.66300000000000003</v>
      </c>
      <c r="AF449" s="10" t="s">
        <v>309</v>
      </c>
      <c r="AG449" s="10">
        <v>2025</v>
      </c>
      <c r="AH449" s="10" t="s">
        <v>310</v>
      </c>
      <c r="AI449" s="2">
        <v>50</v>
      </c>
      <c r="AJ449" s="2">
        <v>2</v>
      </c>
      <c r="AK449" s="2">
        <v>1</v>
      </c>
    </row>
    <row r="450" spans="1:37" x14ac:dyDescent="0.3">
      <c r="A450" s="11">
        <v>8.1923076923076898</v>
      </c>
      <c r="B450" s="11">
        <v>762.86764705882297</v>
      </c>
      <c r="C450" s="13" t="s">
        <v>33</v>
      </c>
      <c r="D450" s="13" t="s">
        <v>35</v>
      </c>
      <c r="E450" s="10" t="s">
        <v>170</v>
      </c>
      <c r="F450" s="10" t="s">
        <v>34</v>
      </c>
      <c r="G450" s="10">
        <v>0.51</v>
      </c>
      <c r="H450" s="10" t="s">
        <v>34</v>
      </c>
      <c r="I450" s="10" t="s">
        <v>34</v>
      </c>
      <c r="J450" s="10" t="s">
        <v>34</v>
      </c>
      <c r="K450" s="10" t="s">
        <v>34</v>
      </c>
      <c r="L450" s="10">
        <v>0</v>
      </c>
      <c r="M450" s="10">
        <v>62.47</v>
      </c>
      <c r="N450" s="10" t="s">
        <v>34</v>
      </c>
      <c r="O450" s="10">
        <v>1.2110000000000001</v>
      </c>
      <c r="P450" s="10">
        <v>0.69399999999999995</v>
      </c>
      <c r="Q450" s="10">
        <v>33.200000000000003</v>
      </c>
      <c r="R450" s="10">
        <v>2.56</v>
      </c>
      <c r="S450" s="10" t="s">
        <v>34</v>
      </c>
      <c r="T450" s="10" t="s">
        <v>49</v>
      </c>
      <c r="U450" s="10" t="s">
        <v>306</v>
      </c>
      <c r="V450" s="10" t="s">
        <v>38</v>
      </c>
      <c r="W450" s="10">
        <v>3</v>
      </c>
      <c r="X450" s="10">
        <v>1</v>
      </c>
      <c r="Y450" s="10">
        <v>1</v>
      </c>
      <c r="Z450" s="10" t="s">
        <v>307</v>
      </c>
      <c r="AA450" s="10">
        <v>1.1100000000000001</v>
      </c>
      <c r="AB450" s="10">
        <v>6</v>
      </c>
      <c r="AC450" s="10" t="s">
        <v>308</v>
      </c>
      <c r="AD450" s="10" t="s">
        <v>277</v>
      </c>
      <c r="AE450" s="10">
        <v>0.66300000000000003</v>
      </c>
      <c r="AF450" s="10" t="s">
        <v>309</v>
      </c>
      <c r="AG450" s="10">
        <v>2025</v>
      </c>
      <c r="AH450" s="10" t="s">
        <v>310</v>
      </c>
      <c r="AI450" s="2">
        <v>50</v>
      </c>
      <c r="AJ450" s="2">
        <v>2</v>
      </c>
      <c r="AK450" s="2">
        <v>1</v>
      </c>
    </row>
    <row r="451" spans="1:37" x14ac:dyDescent="0.3">
      <c r="A451" s="11">
        <v>8.2810650887573907</v>
      </c>
      <c r="B451" s="11">
        <v>806.525735294117</v>
      </c>
      <c r="C451" s="13" t="s">
        <v>33</v>
      </c>
      <c r="D451" s="13" t="s">
        <v>35</v>
      </c>
      <c r="E451" s="10" t="s">
        <v>170</v>
      </c>
      <c r="F451" s="10" t="s">
        <v>34</v>
      </c>
      <c r="G451" s="10">
        <v>0.51</v>
      </c>
      <c r="H451" s="10" t="s">
        <v>34</v>
      </c>
      <c r="I451" s="10" t="s">
        <v>34</v>
      </c>
      <c r="J451" s="10" t="s">
        <v>34</v>
      </c>
      <c r="K451" s="10" t="s">
        <v>34</v>
      </c>
      <c r="L451" s="10">
        <v>0</v>
      </c>
      <c r="M451" s="10">
        <v>62.47</v>
      </c>
      <c r="N451" s="10" t="s">
        <v>34</v>
      </c>
      <c r="O451" s="10">
        <v>1.2110000000000001</v>
      </c>
      <c r="P451" s="10">
        <v>0.69399999999999995</v>
      </c>
      <c r="Q451" s="10">
        <v>33.200000000000003</v>
      </c>
      <c r="R451" s="10">
        <v>2.56</v>
      </c>
      <c r="S451" s="10" t="s">
        <v>34</v>
      </c>
      <c r="T451" s="10" t="s">
        <v>49</v>
      </c>
      <c r="U451" s="10" t="s">
        <v>306</v>
      </c>
      <c r="V451" s="10" t="s">
        <v>38</v>
      </c>
      <c r="W451" s="10">
        <v>3</v>
      </c>
      <c r="X451" s="10">
        <v>1</v>
      </c>
      <c r="Y451" s="10">
        <v>1</v>
      </c>
      <c r="Z451" s="10" t="s">
        <v>307</v>
      </c>
      <c r="AA451" s="10">
        <v>1.1100000000000001</v>
      </c>
      <c r="AB451" s="10">
        <v>6</v>
      </c>
      <c r="AC451" s="10" t="s">
        <v>308</v>
      </c>
      <c r="AD451" s="10" t="s">
        <v>277</v>
      </c>
      <c r="AE451" s="10">
        <v>0.66300000000000003</v>
      </c>
      <c r="AF451" s="10" t="s">
        <v>309</v>
      </c>
      <c r="AG451" s="10">
        <v>2025</v>
      </c>
      <c r="AH451" s="10" t="s">
        <v>310</v>
      </c>
      <c r="AI451" s="2">
        <v>50</v>
      </c>
      <c r="AJ451" s="2">
        <v>2</v>
      </c>
      <c r="AK451" s="2">
        <v>1</v>
      </c>
    </row>
    <row r="452" spans="1:37" x14ac:dyDescent="0.3">
      <c r="A452" s="11">
        <v>8.6538461538461497</v>
      </c>
      <c r="B452" s="11">
        <v>1107.5367647058799</v>
      </c>
      <c r="C452" s="13" t="s">
        <v>33</v>
      </c>
      <c r="D452" s="13" t="s">
        <v>35</v>
      </c>
      <c r="E452" s="10" t="s">
        <v>170</v>
      </c>
      <c r="F452" s="10" t="s">
        <v>34</v>
      </c>
      <c r="G452" s="10">
        <v>0.51</v>
      </c>
      <c r="H452" s="10" t="s">
        <v>34</v>
      </c>
      <c r="I452" s="10" t="s">
        <v>34</v>
      </c>
      <c r="J452" s="10" t="s">
        <v>34</v>
      </c>
      <c r="K452" s="10" t="s">
        <v>34</v>
      </c>
      <c r="L452" s="10">
        <v>0</v>
      </c>
      <c r="M452" s="10">
        <v>62.47</v>
      </c>
      <c r="N452" s="10" t="s">
        <v>34</v>
      </c>
      <c r="O452" s="10">
        <v>1.2110000000000001</v>
      </c>
      <c r="P452" s="10">
        <v>0.69399999999999995</v>
      </c>
      <c r="Q452" s="10">
        <v>33.200000000000003</v>
      </c>
      <c r="R452" s="10">
        <v>2.56</v>
      </c>
      <c r="S452" s="10" t="s">
        <v>34</v>
      </c>
      <c r="T452" s="10" t="s">
        <v>49</v>
      </c>
      <c r="U452" s="10" t="s">
        <v>306</v>
      </c>
      <c r="V452" s="10" t="s">
        <v>38</v>
      </c>
      <c r="W452" s="10">
        <v>3</v>
      </c>
      <c r="X452" s="10">
        <v>1</v>
      </c>
      <c r="Y452" s="10">
        <v>1</v>
      </c>
      <c r="Z452" s="10" t="s">
        <v>307</v>
      </c>
      <c r="AA452" s="10">
        <v>1.1100000000000001</v>
      </c>
      <c r="AB452" s="10">
        <v>3.5</v>
      </c>
      <c r="AC452" s="10" t="s">
        <v>308</v>
      </c>
      <c r="AD452" s="10" t="s">
        <v>277</v>
      </c>
      <c r="AE452" s="10">
        <v>0.66300000000000003</v>
      </c>
      <c r="AF452" s="10" t="s">
        <v>309</v>
      </c>
      <c r="AG452" s="10">
        <v>2025</v>
      </c>
      <c r="AH452" s="10" t="s">
        <v>310</v>
      </c>
      <c r="AI452" s="2">
        <v>50</v>
      </c>
      <c r="AJ452" s="2">
        <v>2</v>
      </c>
      <c r="AK452" s="2">
        <v>1</v>
      </c>
    </row>
    <row r="453" spans="1:37" x14ac:dyDescent="0.3">
      <c r="A453" s="11">
        <v>8.6893491124260294</v>
      </c>
      <c r="B453" s="11">
        <v>926.01102941176396</v>
      </c>
      <c r="C453" s="13" t="s">
        <v>33</v>
      </c>
      <c r="D453" s="13" t="s">
        <v>35</v>
      </c>
      <c r="E453" s="10" t="s">
        <v>170</v>
      </c>
      <c r="F453" s="10" t="s">
        <v>34</v>
      </c>
      <c r="G453" s="10">
        <v>0.51</v>
      </c>
      <c r="H453" s="10" t="s">
        <v>34</v>
      </c>
      <c r="I453" s="10" t="s">
        <v>34</v>
      </c>
      <c r="J453" s="10" t="s">
        <v>34</v>
      </c>
      <c r="K453" s="10" t="s">
        <v>34</v>
      </c>
      <c r="L453" s="10">
        <v>0</v>
      </c>
      <c r="M453" s="10">
        <v>62.47</v>
      </c>
      <c r="N453" s="10" t="s">
        <v>34</v>
      </c>
      <c r="O453" s="10">
        <v>1.2110000000000001</v>
      </c>
      <c r="P453" s="10">
        <v>0.69399999999999995</v>
      </c>
      <c r="Q453" s="10">
        <v>33.200000000000003</v>
      </c>
      <c r="R453" s="10">
        <v>2.56</v>
      </c>
      <c r="S453" s="10" t="s">
        <v>34</v>
      </c>
      <c r="T453" s="10" t="s">
        <v>49</v>
      </c>
      <c r="U453" s="10" t="s">
        <v>306</v>
      </c>
      <c r="V453" s="10" t="s">
        <v>38</v>
      </c>
      <c r="W453" s="10">
        <v>3</v>
      </c>
      <c r="X453" s="10">
        <v>1</v>
      </c>
      <c r="Y453" s="10">
        <v>1</v>
      </c>
      <c r="Z453" s="10" t="s">
        <v>307</v>
      </c>
      <c r="AA453" s="10">
        <v>1.1100000000000001</v>
      </c>
      <c r="AB453" s="10">
        <v>3.5</v>
      </c>
      <c r="AC453" s="10" t="s">
        <v>308</v>
      </c>
      <c r="AD453" s="10" t="s">
        <v>277</v>
      </c>
      <c r="AE453" s="10">
        <v>0.66300000000000003</v>
      </c>
      <c r="AF453" s="10" t="s">
        <v>309</v>
      </c>
      <c r="AG453" s="10">
        <v>2025</v>
      </c>
      <c r="AH453" s="10" t="s">
        <v>310</v>
      </c>
      <c r="AI453" s="2">
        <v>50</v>
      </c>
      <c r="AJ453" s="2">
        <v>2</v>
      </c>
      <c r="AK453" s="2">
        <v>1</v>
      </c>
    </row>
    <row r="454" spans="1:37" x14ac:dyDescent="0.3">
      <c r="A454" s="11">
        <v>7.72189349112426</v>
      </c>
      <c r="B454" s="11">
        <v>971.96691176470495</v>
      </c>
      <c r="C454" s="13" t="s">
        <v>33</v>
      </c>
      <c r="D454" s="13" t="s">
        <v>35</v>
      </c>
      <c r="E454" s="10" t="s">
        <v>170</v>
      </c>
      <c r="F454" s="10" t="s">
        <v>34</v>
      </c>
      <c r="G454" s="10">
        <v>0.51</v>
      </c>
      <c r="H454" s="10" t="s">
        <v>34</v>
      </c>
      <c r="I454" s="10" t="s">
        <v>34</v>
      </c>
      <c r="J454" s="10" t="s">
        <v>34</v>
      </c>
      <c r="K454" s="10" t="s">
        <v>34</v>
      </c>
      <c r="L454" s="10">
        <v>0</v>
      </c>
      <c r="M454" s="10">
        <v>62.47</v>
      </c>
      <c r="N454" s="10" t="s">
        <v>34</v>
      </c>
      <c r="O454" s="10">
        <v>1.2110000000000001</v>
      </c>
      <c r="P454" s="10">
        <v>0.69399999999999995</v>
      </c>
      <c r="Q454" s="10">
        <v>33.200000000000003</v>
      </c>
      <c r="R454" s="10">
        <v>2.56</v>
      </c>
      <c r="S454" s="10" t="s">
        <v>34</v>
      </c>
      <c r="T454" s="10" t="s">
        <v>49</v>
      </c>
      <c r="U454" s="10" t="s">
        <v>306</v>
      </c>
      <c r="V454" s="10" t="s">
        <v>38</v>
      </c>
      <c r="W454" s="10">
        <v>3</v>
      </c>
      <c r="X454" s="10">
        <v>1</v>
      </c>
      <c r="Y454" s="10">
        <v>1</v>
      </c>
      <c r="Z454" s="10" t="s">
        <v>307</v>
      </c>
      <c r="AA454" s="10">
        <v>1.1100000000000001</v>
      </c>
      <c r="AB454" s="10">
        <v>3.5</v>
      </c>
      <c r="AC454" s="10" t="s">
        <v>308</v>
      </c>
      <c r="AD454" s="10" t="s">
        <v>277</v>
      </c>
      <c r="AE454" s="10">
        <v>0.66300000000000003</v>
      </c>
      <c r="AF454" s="10" t="s">
        <v>309</v>
      </c>
      <c r="AG454" s="10">
        <v>2025</v>
      </c>
      <c r="AH454" s="10" t="s">
        <v>310</v>
      </c>
      <c r="AI454" s="2">
        <v>50</v>
      </c>
      <c r="AJ454" s="2">
        <v>2</v>
      </c>
      <c r="AK454" s="2">
        <v>1</v>
      </c>
    </row>
    <row r="455" spans="1:37" x14ac:dyDescent="0.3">
      <c r="A455" s="11">
        <v>3.02694610778443</v>
      </c>
      <c r="B455" s="11">
        <v>393.02325581395303</v>
      </c>
      <c r="C455" s="13" t="s">
        <v>33</v>
      </c>
      <c r="D455" s="13" t="s">
        <v>35</v>
      </c>
      <c r="E455" s="10" t="s">
        <v>170</v>
      </c>
      <c r="F455" s="10" t="s">
        <v>34</v>
      </c>
      <c r="G455" s="10">
        <v>0.51</v>
      </c>
      <c r="H455" s="10" t="s">
        <v>34</v>
      </c>
      <c r="I455" s="10" t="s">
        <v>34</v>
      </c>
      <c r="J455" s="10" t="s">
        <v>34</v>
      </c>
      <c r="K455" s="10" t="s">
        <v>34</v>
      </c>
      <c r="L455" s="10">
        <v>0</v>
      </c>
      <c r="M455" s="10">
        <v>62.47</v>
      </c>
      <c r="N455" s="10" t="s">
        <v>34</v>
      </c>
      <c r="O455" s="10">
        <v>1.2110000000000001</v>
      </c>
      <c r="P455" s="10">
        <v>0.69399999999999995</v>
      </c>
      <c r="Q455" s="10">
        <v>33.200000000000003</v>
      </c>
      <c r="R455" s="10">
        <v>2.56</v>
      </c>
      <c r="S455" s="10" t="s">
        <v>34</v>
      </c>
      <c r="T455" s="10" t="s">
        <v>49</v>
      </c>
      <c r="U455" s="10" t="s">
        <v>306</v>
      </c>
      <c r="V455" s="10" t="s">
        <v>38</v>
      </c>
      <c r="W455" s="10">
        <v>1</v>
      </c>
      <c r="X455" s="10">
        <v>1</v>
      </c>
      <c r="Y455" s="10">
        <v>1</v>
      </c>
      <c r="Z455" s="10" t="s">
        <v>307</v>
      </c>
      <c r="AA455" s="10">
        <v>1.1100000000000001</v>
      </c>
      <c r="AB455" s="10">
        <v>2.5</v>
      </c>
      <c r="AC455" s="10" t="s">
        <v>308</v>
      </c>
      <c r="AD455" s="10" t="s">
        <v>277</v>
      </c>
      <c r="AE455" s="10">
        <v>0.66300000000000003</v>
      </c>
      <c r="AF455" s="10" t="s">
        <v>309</v>
      </c>
      <c r="AG455" s="10">
        <v>2025</v>
      </c>
      <c r="AH455" s="10" t="s">
        <v>310</v>
      </c>
      <c r="AI455" s="2">
        <v>50</v>
      </c>
      <c r="AJ455" s="2">
        <v>2</v>
      </c>
      <c r="AK455" s="2">
        <v>1</v>
      </c>
    </row>
    <row r="456" spans="1:37" x14ac:dyDescent="0.3">
      <c r="A456" s="11">
        <v>2.7664670658682602</v>
      </c>
      <c r="B456" s="11">
        <v>269.767441860465</v>
      </c>
      <c r="C456" s="13" t="s">
        <v>33</v>
      </c>
      <c r="D456" s="13" t="s">
        <v>35</v>
      </c>
      <c r="E456" s="10" t="s">
        <v>170</v>
      </c>
      <c r="F456" s="10" t="s">
        <v>34</v>
      </c>
      <c r="G456" s="10">
        <v>0.51</v>
      </c>
      <c r="H456" s="10" t="s">
        <v>34</v>
      </c>
      <c r="I456" s="10" t="s">
        <v>34</v>
      </c>
      <c r="J456" s="10" t="s">
        <v>34</v>
      </c>
      <c r="K456" s="10" t="s">
        <v>34</v>
      </c>
      <c r="L456" s="10">
        <v>0</v>
      </c>
      <c r="M456" s="10">
        <v>62.47</v>
      </c>
      <c r="N456" s="10" t="s">
        <v>34</v>
      </c>
      <c r="O456" s="10">
        <v>1.2110000000000001</v>
      </c>
      <c r="P456" s="10">
        <v>0.69399999999999995</v>
      </c>
      <c r="Q456" s="10">
        <v>33.200000000000003</v>
      </c>
      <c r="R456" s="10">
        <v>2.56</v>
      </c>
      <c r="S456" s="10" t="s">
        <v>34</v>
      </c>
      <c r="T456" s="10" t="s">
        <v>49</v>
      </c>
      <c r="U456" s="10" t="s">
        <v>306</v>
      </c>
      <c r="V456" s="10" t="s">
        <v>38</v>
      </c>
      <c r="W456" s="10">
        <v>1</v>
      </c>
      <c r="X456" s="10">
        <v>1</v>
      </c>
      <c r="Y456" s="10">
        <v>1</v>
      </c>
      <c r="Z456" s="10" t="s">
        <v>307</v>
      </c>
      <c r="AA456" s="10">
        <v>1.1100000000000001</v>
      </c>
      <c r="AB456" s="10">
        <v>2.5</v>
      </c>
      <c r="AC456" s="10" t="s">
        <v>308</v>
      </c>
      <c r="AD456" s="10" t="s">
        <v>277</v>
      </c>
      <c r="AE456" s="10">
        <v>0.66300000000000003</v>
      </c>
      <c r="AF456" s="10" t="s">
        <v>309</v>
      </c>
      <c r="AG456" s="10">
        <v>2025</v>
      </c>
      <c r="AH456" s="10" t="s">
        <v>310</v>
      </c>
      <c r="AI456" s="2">
        <v>50</v>
      </c>
      <c r="AJ456" s="2">
        <v>2</v>
      </c>
      <c r="AK456" s="2">
        <v>1</v>
      </c>
    </row>
    <row r="457" spans="1:37" x14ac:dyDescent="0.3">
      <c r="A457" s="11">
        <v>2.9730538922155598</v>
      </c>
      <c r="B457" s="11">
        <v>213.95348837209301</v>
      </c>
      <c r="C457" s="13" t="s">
        <v>33</v>
      </c>
      <c r="D457" s="13" t="s">
        <v>35</v>
      </c>
      <c r="E457" s="10" t="s">
        <v>170</v>
      </c>
      <c r="F457" s="10" t="s">
        <v>34</v>
      </c>
      <c r="G457" s="10">
        <v>0.51</v>
      </c>
      <c r="H457" s="10" t="s">
        <v>34</v>
      </c>
      <c r="I457" s="10" t="s">
        <v>34</v>
      </c>
      <c r="J457" s="10" t="s">
        <v>34</v>
      </c>
      <c r="K457" s="10" t="s">
        <v>34</v>
      </c>
      <c r="L457" s="10">
        <v>0</v>
      </c>
      <c r="M457" s="10">
        <v>62.47</v>
      </c>
      <c r="N457" s="10" t="s">
        <v>34</v>
      </c>
      <c r="O457" s="10">
        <v>1.2110000000000001</v>
      </c>
      <c r="P457" s="10">
        <v>0.69399999999999995</v>
      </c>
      <c r="Q457" s="10">
        <v>33.200000000000003</v>
      </c>
      <c r="R457" s="10">
        <v>2.56</v>
      </c>
      <c r="S457" s="10" t="s">
        <v>34</v>
      </c>
      <c r="T457" s="10" t="s">
        <v>49</v>
      </c>
      <c r="U457" s="10" t="s">
        <v>306</v>
      </c>
      <c r="V457" s="10" t="s">
        <v>38</v>
      </c>
      <c r="W457" s="10">
        <v>1</v>
      </c>
      <c r="X457" s="10">
        <v>1</v>
      </c>
      <c r="Y457" s="10">
        <v>1</v>
      </c>
      <c r="Z457" s="10" t="s">
        <v>307</v>
      </c>
      <c r="AA457" s="10">
        <v>1.1100000000000001</v>
      </c>
      <c r="AB457" s="10">
        <v>2.5</v>
      </c>
      <c r="AC457" s="10" t="s">
        <v>308</v>
      </c>
      <c r="AD457" s="10" t="s">
        <v>277</v>
      </c>
      <c r="AE457" s="10">
        <v>0.66300000000000003</v>
      </c>
      <c r="AF457" s="10" t="s">
        <v>309</v>
      </c>
      <c r="AG457" s="10">
        <v>2025</v>
      </c>
      <c r="AH457" s="10" t="s">
        <v>310</v>
      </c>
      <c r="AI457" s="2">
        <v>50</v>
      </c>
      <c r="AJ457" s="2">
        <v>2</v>
      </c>
      <c r="AK457" s="2">
        <v>1</v>
      </c>
    </row>
    <row r="458" spans="1:37" x14ac:dyDescent="0.3">
      <c r="A458" s="11">
        <v>5.3532934131736498</v>
      </c>
      <c r="B458" s="11">
        <v>604.65116279069798</v>
      </c>
      <c r="C458" s="13" t="s">
        <v>33</v>
      </c>
      <c r="D458" s="13" t="s">
        <v>35</v>
      </c>
      <c r="E458" s="10" t="s">
        <v>170</v>
      </c>
      <c r="F458" s="10" t="s">
        <v>34</v>
      </c>
      <c r="G458" s="10">
        <v>0.51</v>
      </c>
      <c r="H458" s="10" t="s">
        <v>34</v>
      </c>
      <c r="I458" s="10" t="s">
        <v>34</v>
      </c>
      <c r="J458" s="10" t="s">
        <v>34</v>
      </c>
      <c r="K458" s="10" t="s">
        <v>34</v>
      </c>
      <c r="L458" s="10">
        <v>0</v>
      </c>
      <c r="M458" s="10">
        <v>62.47</v>
      </c>
      <c r="N458" s="10" t="s">
        <v>34</v>
      </c>
      <c r="O458" s="10">
        <v>1.2110000000000001</v>
      </c>
      <c r="P458" s="10">
        <v>0.69399999999999995</v>
      </c>
      <c r="Q458" s="10">
        <v>33.200000000000003</v>
      </c>
      <c r="R458" s="10">
        <v>2.56</v>
      </c>
      <c r="S458" s="10" t="s">
        <v>34</v>
      </c>
      <c r="T458" s="10" t="s">
        <v>49</v>
      </c>
      <c r="U458" s="10" t="s">
        <v>306</v>
      </c>
      <c r="V458" s="10" t="s">
        <v>38</v>
      </c>
      <c r="W458" s="10">
        <v>2</v>
      </c>
      <c r="X458" s="10">
        <v>1</v>
      </c>
      <c r="Y458" s="10">
        <v>1</v>
      </c>
      <c r="Z458" s="10" t="s">
        <v>307</v>
      </c>
      <c r="AA458" s="10">
        <v>1.1100000000000001</v>
      </c>
      <c r="AB458" s="10">
        <v>2.5</v>
      </c>
      <c r="AC458" s="10" t="s">
        <v>308</v>
      </c>
      <c r="AD458" s="10" t="s">
        <v>277</v>
      </c>
      <c r="AE458" s="10">
        <v>0.66300000000000003</v>
      </c>
      <c r="AF458" s="10" t="s">
        <v>309</v>
      </c>
      <c r="AG458" s="10">
        <v>2025</v>
      </c>
      <c r="AH458" s="10" t="s">
        <v>310</v>
      </c>
      <c r="AI458" s="2">
        <v>50</v>
      </c>
      <c r="AJ458" s="2">
        <v>2</v>
      </c>
      <c r="AK458" s="2">
        <v>1</v>
      </c>
    </row>
    <row r="459" spans="1:37" x14ac:dyDescent="0.3">
      <c r="A459" s="11">
        <v>5.3712574850299397</v>
      </c>
      <c r="B459" s="11">
        <v>497.67441860465101</v>
      </c>
      <c r="C459" s="13" t="s">
        <v>33</v>
      </c>
      <c r="D459" s="13" t="s">
        <v>35</v>
      </c>
      <c r="E459" s="10" t="s">
        <v>170</v>
      </c>
      <c r="F459" s="10" t="s">
        <v>34</v>
      </c>
      <c r="G459" s="10">
        <v>0.51</v>
      </c>
      <c r="H459" s="10" t="s">
        <v>34</v>
      </c>
      <c r="I459" s="10" t="s">
        <v>34</v>
      </c>
      <c r="J459" s="10" t="s">
        <v>34</v>
      </c>
      <c r="K459" s="10" t="s">
        <v>34</v>
      </c>
      <c r="L459" s="10">
        <v>0</v>
      </c>
      <c r="M459" s="10">
        <v>62.47</v>
      </c>
      <c r="N459" s="10" t="s">
        <v>34</v>
      </c>
      <c r="O459" s="10">
        <v>1.2110000000000001</v>
      </c>
      <c r="P459" s="10">
        <v>0.69399999999999995</v>
      </c>
      <c r="Q459" s="10">
        <v>33.200000000000003</v>
      </c>
      <c r="R459" s="10">
        <v>2.56</v>
      </c>
      <c r="S459" s="10" t="s">
        <v>34</v>
      </c>
      <c r="T459" s="10" t="s">
        <v>49</v>
      </c>
      <c r="U459" s="10" t="s">
        <v>306</v>
      </c>
      <c r="V459" s="10" t="s">
        <v>38</v>
      </c>
      <c r="W459" s="10">
        <v>2</v>
      </c>
      <c r="X459" s="10">
        <v>1</v>
      </c>
      <c r="Y459" s="10">
        <v>1</v>
      </c>
      <c r="Z459" s="10" t="s">
        <v>307</v>
      </c>
      <c r="AA459" s="10">
        <v>1.1100000000000001</v>
      </c>
      <c r="AB459" s="10">
        <v>2.5</v>
      </c>
      <c r="AC459" s="10" t="s">
        <v>308</v>
      </c>
      <c r="AD459" s="10" t="s">
        <v>277</v>
      </c>
      <c r="AE459" s="10">
        <v>0.66300000000000003</v>
      </c>
      <c r="AF459" s="10" t="s">
        <v>309</v>
      </c>
      <c r="AG459" s="10">
        <v>2025</v>
      </c>
      <c r="AH459" s="10" t="s">
        <v>310</v>
      </c>
      <c r="AI459" s="2">
        <v>50</v>
      </c>
      <c r="AJ459" s="2">
        <v>2</v>
      </c>
      <c r="AK459" s="2">
        <v>1</v>
      </c>
    </row>
    <row r="460" spans="1:37" x14ac:dyDescent="0.3">
      <c r="A460" s="11">
        <v>5.9461077844311303</v>
      </c>
      <c r="B460" s="11">
        <v>590.69767441860404</v>
      </c>
      <c r="C460" s="13" t="s">
        <v>33</v>
      </c>
      <c r="D460" s="13" t="s">
        <v>35</v>
      </c>
      <c r="E460" s="10" t="s">
        <v>170</v>
      </c>
      <c r="F460" s="10" t="s">
        <v>34</v>
      </c>
      <c r="G460" s="10">
        <v>0.51</v>
      </c>
      <c r="H460" s="10" t="s">
        <v>34</v>
      </c>
      <c r="I460" s="10" t="s">
        <v>34</v>
      </c>
      <c r="J460" s="10" t="s">
        <v>34</v>
      </c>
      <c r="K460" s="10" t="s">
        <v>34</v>
      </c>
      <c r="L460" s="10">
        <v>0</v>
      </c>
      <c r="M460" s="10">
        <v>62.47</v>
      </c>
      <c r="N460" s="10" t="s">
        <v>34</v>
      </c>
      <c r="O460" s="10">
        <v>1.2110000000000001</v>
      </c>
      <c r="P460" s="10">
        <v>0.69399999999999995</v>
      </c>
      <c r="Q460" s="10">
        <v>33.200000000000003</v>
      </c>
      <c r="R460" s="10">
        <v>2.56</v>
      </c>
      <c r="S460" s="10" t="s">
        <v>34</v>
      </c>
      <c r="T460" s="10" t="s">
        <v>49</v>
      </c>
      <c r="U460" s="10" t="s">
        <v>306</v>
      </c>
      <c r="V460" s="10" t="s">
        <v>38</v>
      </c>
      <c r="W460" s="10">
        <v>2</v>
      </c>
      <c r="X460" s="10">
        <v>1</v>
      </c>
      <c r="Y460" s="10">
        <v>1</v>
      </c>
      <c r="Z460" s="10" t="s">
        <v>307</v>
      </c>
      <c r="AA460" s="10">
        <v>1.1100000000000001</v>
      </c>
      <c r="AB460" s="10">
        <v>2.5</v>
      </c>
      <c r="AC460" s="10" t="s">
        <v>308</v>
      </c>
      <c r="AD460" s="10" t="s">
        <v>277</v>
      </c>
      <c r="AE460" s="10">
        <v>0.66300000000000003</v>
      </c>
      <c r="AF460" s="10" t="s">
        <v>309</v>
      </c>
      <c r="AG460" s="10">
        <v>2025</v>
      </c>
      <c r="AH460" s="10" t="s">
        <v>310</v>
      </c>
      <c r="AI460" s="2">
        <v>50</v>
      </c>
      <c r="AJ460" s="2">
        <v>2</v>
      </c>
      <c r="AK460" s="2">
        <v>1</v>
      </c>
    </row>
    <row r="461" spans="1:37" x14ac:dyDescent="0.3">
      <c r="A461" s="11">
        <v>8.5778443113772394</v>
      </c>
      <c r="B461" s="11">
        <v>925.58139534883696</v>
      </c>
      <c r="C461" s="13" t="s">
        <v>33</v>
      </c>
      <c r="D461" s="13" t="s">
        <v>35</v>
      </c>
      <c r="E461" s="10" t="s">
        <v>170</v>
      </c>
      <c r="F461" s="10" t="s">
        <v>34</v>
      </c>
      <c r="G461" s="10">
        <v>0.51</v>
      </c>
      <c r="H461" s="10" t="s">
        <v>34</v>
      </c>
      <c r="I461" s="10" t="s">
        <v>34</v>
      </c>
      <c r="J461" s="10" t="s">
        <v>34</v>
      </c>
      <c r="K461" s="10" t="s">
        <v>34</v>
      </c>
      <c r="L461" s="10">
        <v>0</v>
      </c>
      <c r="M461" s="10">
        <v>62.47</v>
      </c>
      <c r="N461" s="10" t="s">
        <v>34</v>
      </c>
      <c r="O461" s="10">
        <v>1.2110000000000001</v>
      </c>
      <c r="P461" s="10">
        <v>0.69399999999999995</v>
      </c>
      <c r="Q461" s="10">
        <v>33.200000000000003</v>
      </c>
      <c r="R461" s="10">
        <v>2.56</v>
      </c>
      <c r="S461" s="10" t="s">
        <v>34</v>
      </c>
      <c r="T461" s="10" t="s">
        <v>49</v>
      </c>
      <c r="U461" s="10" t="s">
        <v>306</v>
      </c>
      <c r="V461" s="10" t="s">
        <v>38</v>
      </c>
      <c r="W461" s="10">
        <v>3</v>
      </c>
      <c r="X461" s="10">
        <v>1</v>
      </c>
      <c r="Y461" s="10">
        <v>1</v>
      </c>
      <c r="Z461" s="10" t="s">
        <v>307</v>
      </c>
      <c r="AA461" s="10">
        <v>1.1100000000000001</v>
      </c>
      <c r="AB461" s="10">
        <v>2.5</v>
      </c>
      <c r="AC461" s="10" t="s">
        <v>308</v>
      </c>
      <c r="AD461" s="10" t="s">
        <v>277</v>
      </c>
      <c r="AE461" s="10">
        <v>0.66300000000000003</v>
      </c>
      <c r="AF461" s="10" t="s">
        <v>309</v>
      </c>
      <c r="AG461" s="10">
        <v>2025</v>
      </c>
      <c r="AH461" s="10" t="s">
        <v>310</v>
      </c>
      <c r="AI461" s="2">
        <v>50</v>
      </c>
      <c r="AJ461" s="2">
        <v>2</v>
      </c>
      <c r="AK461" s="2">
        <v>1</v>
      </c>
    </row>
    <row r="462" spans="1:37" x14ac:dyDescent="0.3">
      <c r="A462" s="11">
        <v>8.8832335329341294</v>
      </c>
      <c r="B462" s="11">
        <v>1220.93023255813</v>
      </c>
      <c r="C462" s="13" t="s">
        <v>33</v>
      </c>
      <c r="D462" s="13" t="s">
        <v>35</v>
      </c>
      <c r="E462" s="10" t="s">
        <v>170</v>
      </c>
      <c r="F462" s="10" t="s">
        <v>34</v>
      </c>
      <c r="G462" s="10">
        <v>0.51</v>
      </c>
      <c r="H462" s="10" t="s">
        <v>34</v>
      </c>
      <c r="I462" s="10" t="s">
        <v>34</v>
      </c>
      <c r="J462" s="10" t="s">
        <v>34</v>
      </c>
      <c r="K462" s="10" t="s">
        <v>34</v>
      </c>
      <c r="L462" s="10">
        <v>0</v>
      </c>
      <c r="M462" s="10">
        <v>62.47</v>
      </c>
      <c r="N462" s="10" t="s">
        <v>34</v>
      </c>
      <c r="O462" s="10">
        <v>1.2110000000000001</v>
      </c>
      <c r="P462" s="10">
        <v>0.69399999999999995</v>
      </c>
      <c r="Q462" s="10">
        <v>33.200000000000003</v>
      </c>
      <c r="R462" s="10">
        <v>2.56</v>
      </c>
      <c r="S462" s="10" t="s">
        <v>34</v>
      </c>
      <c r="T462" s="10" t="s">
        <v>49</v>
      </c>
      <c r="U462" s="10" t="s">
        <v>306</v>
      </c>
      <c r="V462" s="10" t="s">
        <v>38</v>
      </c>
      <c r="W462" s="10">
        <v>3</v>
      </c>
      <c r="X462" s="10">
        <v>1</v>
      </c>
      <c r="Y462" s="10">
        <v>1</v>
      </c>
      <c r="Z462" s="10" t="s">
        <v>307</v>
      </c>
      <c r="AA462" s="10">
        <v>1.1100000000000001</v>
      </c>
      <c r="AB462" s="10">
        <v>2.5</v>
      </c>
      <c r="AC462" s="10" t="s">
        <v>308</v>
      </c>
      <c r="AD462" s="10" t="s">
        <v>277</v>
      </c>
      <c r="AE462" s="10">
        <v>0.66300000000000003</v>
      </c>
      <c r="AF462" s="10" t="s">
        <v>309</v>
      </c>
      <c r="AG462" s="10">
        <v>2025</v>
      </c>
      <c r="AH462" s="10" t="s">
        <v>310</v>
      </c>
      <c r="AI462" s="2">
        <v>50</v>
      </c>
      <c r="AJ462" s="2">
        <v>2</v>
      </c>
      <c r="AK462" s="2">
        <v>1</v>
      </c>
    </row>
    <row r="463" spans="1:37" x14ac:dyDescent="0.3">
      <c r="A463" s="11">
        <v>8.7485029940119698</v>
      </c>
      <c r="B463" s="11">
        <v>1253.48837209302</v>
      </c>
      <c r="C463" s="13" t="s">
        <v>33</v>
      </c>
      <c r="D463" s="13" t="s">
        <v>35</v>
      </c>
      <c r="E463" s="10" t="s">
        <v>170</v>
      </c>
      <c r="F463" s="10" t="s">
        <v>34</v>
      </c>
      <c r="G463" s="10">
        <v>0.51</v>
      </c>
      <c r="H463" s="10" t="s">
        <v>34</v>
      </c>
      <c r="I463" s="10" t="s">
        <v>34</v>
      </c>
      <c r="J463" s="10" t="s">
        <v>34</v>
      </c>
      <c r="K463" s="10" t="s">
        <v>34</v>
      </c>
      <c r="L463" s="10">
        <v>0</v>
      </c>
      <c r="M463" s="10">
        <v>62.47</v>
      </c>
      <c r="N463" s="10" t="s">
        <v>34</v>
      </c>
      <c r="O463" s="10">
        <v>1.2110000000000001</v>
      </c>
      <c r="P463" s="10">
        <v>0.69399999999999995</v>
      </c>
      <c r="Q463" s="10">
        <v>33.200000000000003</v>
      </c>
      <c r="R463" s="10">
        <v>2.56</v>
      </c>
      <c r="S463" s="10" t="s">
        <v>34</v>
      </c>
      <c r="T463" s="10" t="s">
        <v>49</v>
      </c>
      <c r="U463" s="10" t="s">
        <v>306</v>
      </c>
      <c r="V463" s="10" t="s">
        <v>38</v>
      </c>
      <c r="W463" s="10">
        <v>3</v>
      </c>
      <c r="X463" s="10">
        <v>1</v>
      </c>
      <c r="Y463" s="10">
        <v>1</v>
      </c>
      <c r="Z463" s="10" t="s">
        <v>307</v>
      </c>
      <c r="AA463" s="10">
        <v>1.1100000000000001</v>
      </c>
      <c r="AB463" s="10">
        <v>2.5</v>
      </c>
      <c r="AC463" s="10" t="s">
        <v>308</v>
      </c>
      <c r="AD463" s="10" t="s">
        <v>277</v>
      </c>
      <c r="AE463" s="10">
        <v>0.66300000000000003</v>
      </c>
      <c r="AF463" s="10" t="s">
        <v>309</v>
      </c>
      <c r="AG463" s="10">
        <v>2025</v>
      </c>
      <c r="AH463" s="10" t="s">
        <v>310</v>
      </c>
      <c r="AI463" s="2">
        <v>50</v>
      </c>
      <c r="AJ463" s="2">
        <v>2</v>
      </c>
      <c r="AK463" s="2">
        <v>1</v>
      </c>
    </row>
    <row r="464" spans="1:37" x14ac:dyDescent="0.3">
      <c r="A464" s="11">
        <v>10.3922155688622</v>
      </c>
      <c r="B464" s="11">
        <v>2320.9302325581398</v>
      </c>
      <c r="C464" s="13" t="s">
        <v>33</v>
      </c>
      <c r="D464" s="13" t="s">
        <v>35</v>
      </c>
      <c r="E464" s="10" t="s">
        <v>170</v>
      </c>
      <c r="F464" s="10" t="s">
        <v>34</v>
      </c>
      <c r="G464" s="10">
        <v>0.51</v>
      </c>
      <c r="H464" s="10" t="s">
        <v>34</v>
      </c>
      <c r="I464" s="10" t="s">
        <v>34</v>
      </c>
      <c r="J464" s="10" t="s">
        <v>34</v>
      </c>
      <c r="K464" s="10" t="s">
        <v>34</v>
      </c>
      <c r="L464" s="10">
        <v>0</v>
      </c>
      <c r="M464" s="10">
        <v>62.47</v>
      </c>
      <c r="N464" s="10" t="s">
        <v>34</v>
      </c>
      <c r="O464" s="10">
        <v>1.2110000000000001</v>
      </c>
      <c r="P464" s="10">
        <v>0.69399999999999995</v>
      </c>
      <c r="Q464" s="10">
        <v>33.200000000000003</v>
      </c>
      <c r="R464" s="10">
        <v>2.56</v>
      </c>
      <c r="S464" s="10" t="s">
        <v>34</v>
      </c>
      <c r="T464" s="10" t="s">
        <v>49</v>
      </c>
      <c r="U464" s="10" t="s">
        <v>306</v>
      </c>
      <c r="V464" s="10" t="s">
        <v>38</v>
      </c>
      <c r="W464" s="10">
        <v>4</v>
      </c>
      <c r="X464" s="10">
        <v>1</v>
      </c>
      <c r="Y464" s="10">
        <v>1</v>
      </c>
      <c r="Z464" s="10" t="s">
        <v>307</v>
      </c>
      <c r="AA464" s="10">
        <v>1.1100000000000001</v>
      </c>
      <c r="AB464" s="10">
        <v>2.5</v>
      </c>
      <c r="AC464" s="10" t="s">
        <v>308</v>
      </c>
      <c r="AD464" s="10" t="s">
        <v>277</v>
      </c>
      <c r="AE464" s="10">
        <v>0.66300000000000003</v>
      </c>
      <c r="AF464" s="10" t="s">
        <v>309</v>
      </c>
      <c r="AG464" s="10">
        <v>2025</v>
      </c>
      <c r="AH464" s="10" t="s">
        <v>310</v>
      </c>
      <c r="AI464" s="2">
        <v>50</v>
      </c>
      <c r="AJ464" s="2">
        <v>2</v>
      </c>
      <c r="AK464" s="2">
        <v>1</v>
      </c>
    </row>
    <row r="465" spans="1:37" x14ac:dyDescent="0.3">
      <c r="A465" s="11">
        <v>10.949101796407099</v>
      </c>
      <c r="B465" s="11">
        <v>2127.9069767441802</v>
      </c>
      <c r="C465" s="13" t="s">
        <v>33</v>
      </c>
      <c r="D465" s="13" t="s">
        <v>35</v>
      </c>
      <c r="E465" s="10" t="s">
        <v>170</v>
      </c>
      <c r="F465" s="10" t="s">
        <v>34</v>
      </c>
      <c r="G465" s="10">
        <v>0.51</v>
      </c>
      <c r="H465" s="10" t="s">
        <v>34</v>
      </c>
      <c r="I465" s="10" t="s">
        <v>34</v>
      </c>
      <c r="J465" s="10" t="s">
        <v>34</v>
      </c>
      <c r="K465" s="10" t="s">
        <v>34</v>
      </c>
      <c r="L465" s="10">
        <v>0</v>
      </c>
      <c r="M465" s="10">
        <v>62.47</v>
      </c>
      <c r="N465" s="10" t="s">
        <v>34</v>
      </c>
      <c r="O465" s="10">
        <v>1.2110000000000001</v>
      </c>
      <c r="P465" s="10">
        <v>0.69399999999999995</v>
      </c>
      <c r="Q465" s="10">
        <v>33.200000000000003</v>
      </c>
      <c r="R465" s="10">
        <v>2.56</v>
      </c>
      <c r="S465" s="10" t="s">
        <v>34</v>
      </c>
      <c r="T465" s="10" t="s">
        <v>49</v>
      </c>
      <c r="U465" s="10" t="s">
        <v>306</v>
      </c>
      <c r="V465" s="10" t="s">
        <v>38</v>
      </c>
      <c r="W465" s="10">
        <v>4</v>
      </c>
      <c r="X465" s="10">
        <v>1</v>
      </c>
      <c r="Y465" s="10">
        <v>1</v>
      </c>
      <c r="Z465" s="10" t="s">
        <v>307</v>
      </c>
      <c r="AA465" s="10">
        <v>1.1100000000000001</v>
      </c>
      <c r="AB465" s="10">
        <v>2.5</v>
      </c>
      <c r="AC465" s="10" t="s">
        <v>308</v>
      </c>
      <c r="AD465" s="10" t="s">
        <v>277</v>
      </c>
      <c r="AE465" s="10">
        <v>0.66300000000000003</v>
      </c>
      <c r="AF465" s="10" t="s">
        <v>309</v>
      </c>
      <c r="AG465" s="10">
        <v>2025</v>
      </c>
      <c r="AH465" s="10" t="s">
        <v>310</v>
      </c>
      <c r="AI465" s="2">
        <v>50</v>
      </c>
      <c r="AJ465" s="2">
        <v>2</v>
      </c>
      <c r="AK465" s="2">
        <v>1</v>
      </c>
    </row>
    <row r="466" spans="1:37" x14ac:dyDescent="0.3">
      <c r="A466" s="11">
        <v>11.182634730538901</v>
      </c>
      <c r="B466" s="11">
        <v>2006.9767441860399</v>
      </c>
      <c r="C466" s="13" t="s">
        <v>33</v>
      </c>
      <c r="D466" s="13" t="s">
        <v>35</v>
      </c>
      <c r="E466" s="10" t="s">
        <v>170</v>
      </c>
      <c r="F466" s="10" t="s">
        <v>34</v>
      </c>
      <c r="G466" s="10">
        <v>0.51</v>
      </c>
      <c r="H466" s="10" t="s">
        <v>34</v>
      </c>
      <c r="I466" s="10" t="s">
        <v>34</v>
      </c>
      <c r="J466" s="10" t="s">
        <v>34</v>
      </c>
      <c r="K466" s="10" t="s">
        <v>34</v>
      </c>
      <c r="L466" s="10">
        <v>0</v>
      </c>
      <c r="M466" s="10">
        <v>62.47</v>
      </c>
      <c r="N466" s="10" t="s">
        <v>34</v>
      </c>
      <c r="O466" s="10">
        <v>1.2110000000000001</v>
      </c>
      <c r="P466" s="10">
        <v>0.69399999999999995</v>
      </c>
      <c r="Q466" s="10">
        <v>33.200000000000003</v>
      </c>
      <c r="R466" s="10">
        <v>2.56</v>
      </c>
      <c r="S466" s="10" t="s">
        <v>34</v>
      </c>
      <c r="T466" s="10" t="s">
        <v>49</v>
      </c>
      <c r="U466" s="10" t="s">
        <v>306</v>
      </c>
      <c r="V466" s="10" t="s">
        <v>38</v>
      </c>
      <c r="W466" s="10">
        <v>4</v>
      </c>
      <c r="X466" s="10">
        <v>1</v>
      </c>
      <c r="Y466" s="10">
        <v>1</v>
      </c>
      <c r="Z466" s="10" t="s">
        <v>307</v>
      </c>
      <c r="AA466" s="10">
        <v>1.1100000000000001</v>
      </c>
      <c r="AB466" s="10">
        <v>2.5</v>
      </c>
      <c r="AC466" s="10" t="s">
        <v>308</v>
      </c>
      <c r="AD466" s="10" t="s">
        <v>277</v>
      </c>
      <c r="AE466" s="10">
        <v>0.66300000000000003</v>
      </c>
      <c r="AF466" s="10" t="s">
        <v>309</v>
      </c>
      <c r="AG466" s="10">
        <v>2025</v>
      </c>
      <c r="AH466" s="10" t="s">
        <v>310</v>
      </c>
      <c r="AI466" s="2">
        <v>50</v>
      </c>
      <c r="AJ466" s="2">
        <v>2</v>
      </c>
      <c r="AK466" s="2">
        <v>1</v>
      </c>
    </row>
    <row r="467" spans="1:37" x14ac:dyDescent="0.3">
      <c r="A467" s="11">
        <v>6.4792899408283997</v>
      </c>
      <c r="B467" s="11">
        <v>790.44117647058704</v>
      </c>
      <c r="C467" s="13" t="s">
        <v>33</v>
      </c>
      <c r="D467" s="13" t="s">
        <v>35</v>
      </c>
      <c r="E467" s="10" t="s">
        <v>170</v>
      </c>
      <c r="F467" s="10" t="s">
        <v>34</v>
      </c>
      <c r="G467" s="10">
        <v>0.51</v>
      </c>
      <c r="H467" s="10" t="s">
        <v>34</v>
      </c>
      <c r="I467" s="10" t="s">
        <v>34</v>
      </c>
      <c r="J467" s="10" t="s">
        <v>34</v>
      </c>
      <c r="K467" s="10" t="s">
        <v>34</v>
      </c>
      <c r="L467" s="10">
        <v>0</v>
      </c>
      <c r="M467" s="10">
        <v>62.47</v>
      </c>
      <c r="N467" s="10" t="s">
        <v>34</v>
      </c>
      <c r="O467" s="10">
        <v>1.2110000000000001</v>
      </c>
      <c r="P467" s="10">
        <v>0.69399999999999995</v>
      </c>
      <c r="Q467" s="10">
        <v>33.200000000000003</v>
      </c>
      <c r="R467" s="10">
        <v>2.56</v>
      </c>
      <c r="S467" s="10" t="s">
        <v>34</v>
      </c>
      <c r="T467" s="10" t="s">
        <v>49</v>
      </c>
      <c r="U467" s="10" t="s">
        <v>306</v>
      </c>
      <c r="V467" s="10" t="s">
        <v>38</v>
      </c>
      <c r="W467" s="10">
        <v>3</v>
      </c>
      <c r="X467" s="10">
        <v>1</v>
      </c>
      <c r="Y467" s="10">
        <v>1</v>
      </c>
      <c r="Z467" s="10" t="s">
        <v>307</v>
      </c>
      <c r="AA467" s="10">
        <v>1.1100000000000001</v>
      </c>
      <c r="AB467" s="10">
        <v>1.5</v>
      </c>
      <c r="AC467" s="10" t="s">
        <v>308</v>
      </c>
      <c r="AD467" s="10" t="s">
        <v>277</v>
      </c>
      <c r="AE467" s="10">
        <v>0.66300000000000003</v>
      </c>
      <c r="AF467" s="10" t="s">
        <v>309</v>
      </c>
      <c r="AG467" s="10">
        <v>2025</v>
      </c>
      <c r="AH467" s="10" t="s">
        <v>310</v>
      </c>
      <c r="AI467" s="2">
        <v>50</v>
      </c>
      <c r="AJ467" s="2">
        <v>2</v>
      </c>
      <c r="AK467" s="2">
        <v>1</v>
      </c>
    </row>
    <row r="468" spans="1:37" x14ac:dyDescent="0.3">
      <c r="A468" s="31">
        <v>6.7721893491124199</v>
      </c>
      <c r="B468" s="31">
        <v>631.89338235294099</v>
      </c>
      <c r="C468" s="32" t="s">
        <v>33</v>
      </c>
      <c r="D468" s="13" t="s">
        <v>35</v>
      </c>
      <c r="E468" s="33" t="s">
        <v>170</v>
      </c>
      <c r="F468" s="33" t="s">
        <v>34</v>
      </c>
      <c r="G468" s="33">
        <v>0.51</v>
      </c>
      <c r="H468" s="33" t="s">
        <v>34</v>
      </c>
      <c r="I468" s="33" t="s">
        <v>34</v>
      </c>
      <c r="J468" s="33" t="s">
        <v>34</v>
      </c>
      <c r="K468" s="33" t="s">
        <v>34</v>
      </c>
      <c r="L468" s="33">
        <v>0</v>
      </c>
      <c r="M468" s="33">
        <v>62.47</v>
      </c>
      <c r="N468" s="33" t="s">
        <v>34</v>
      </c>
      <c r="O468" s="33">
        <v>1.2110000000000001</v>
      </c>
      <c r="P468" s="33">
        <v>0.69399999999999995</v>
      </c>
      <c r="Q468" s="33">
        <v>33.200000000000003</v>
      </c>
      <c r="R468" s="33">
        <v>2.56</v>
      </c>
      <c r="S468" s="33" t="s">
        <v>34</v>
      </c>
      <c r="T468" s="33" t="s">
        <v>49</v>
      </c>
      <c r="U468" s="33" t="s">
        <v>306</v>
      </c>
      <c r="V468" s="33" t="s">
        <v>38</v>
      </c>
      <c r="W468" s="33">
        <v>3</v>
      </c>
      <c r="X468" s="33">
        <v>1</v>
      </c>
      <c r="Y468" s="33">
        <v>1</v>
      </c>
      <c r="Z468" s="33" t="s">
        <v>307</v>
      </c>
      <c r="AA468" s="33">
        <v>1.1100000000000001</v>
      </c>
      <c r="AB468" s="33">
        <v>1.5</v>
      </c>
      <c r="AC468" s="33" t="s">
        <v>308</v>
      </c>
      <c r="AD468" s="33" t="s">
        <v>277</v>
      </c>
      <c r="AE468" s="33">
        <v>0.66300000000000003</v>
      </c>
      <c r="AF468" s="33" t="s">
        <v>309</v>
      </c>
      <c r="AG468" s="33">
        <v>2025</v>
      </c>
      <c r="AH468" s="33" t="s">
        <v>310</v>
      </c>
      <c r="AI468" s="2">
        <v>50</v>
      </c>
      <c r="AJ468" s="2">
        <v>2</v>
      </c>
      <c r="AK468" s="2">
        <v>1</v>
      </c>
    </row>
    <row r="469" spans="1:37" s="34" customFormat="1" ht="16.2" thickBot="1" x14ac:dyDescent="0.35">
      <c r="A469" s="17">
        <v>6.5502958579881598</v>
      </c>
      <c r="B469" s="17">
        <v>546.87499999999898</v>
      </c>
      <c r="C469" s="14" t="s">
        <v>33</v>
      </c>
      <c r="D469" s="14" t="s">
        <v>35</v>
      </c>
      <c r="E469" s="14" t="s">
        <v>170</v>
      </c>
      <c r="F469" s="14" t="s">
        <v>34</v>
      </c>
      <c r="G469" s="14">
        <v>0.51</v>
      </c>
      <c r="H469" s="14" t="s">
        <v>34</v>
      </c>
      <c r="I469" s="14" t="s">
        <v>34</v>
      </c>
      <c r="J469" s="14" t="s">
        <v>34</v>
      </c>
      <c r="K469" s="14" t="s">
        <v>34</v>
      </c>
      <c r="L469" s="14">
        <v>0</v>
      </c>
      <c r="M469" s="14">
        <v>62.47</v>
      </c>
      <c r="N469" s="14" t="s">
        <v>34</v>
      </c>
      <c r="O469" s="14">
        <v>1.2110000000000001</v>
      </c>
      <c r="P469" s="14">
        <v>0.69399999999999995</v>
      </c>
      <c r="Q469" s="14">
        <v>33.200000000000003</v>
      </c>
      <c r="R469" s="14">
        <v>2.56</v>
      </c>
      <c r="S469" s="14" t="s">
        <v>34</v>
      </c>
      <c r="T469" s="14" t="s">
        <v>49</v>
      </c>
      <c r="U469" s="14" t="s">
        <v>306</v>
      </c>
      <c r="V469" s="14" t="s">
        <v>38</v>
      </c>
      <c r="W469" s="14">
        <v>3</v>
      </c>
      <c r="X469" s="14">
        <v>1</v>
      </c>
      <c r="Y469" s="14">
        <v>1</v>
      </c>
      <c r="Z469" s="14" t="s">
        <v>307</v>
      </c>
      <c r="AA469" s="14">
        <v>1.1100000000000001</v>
      </c>
      <c r="AB469" s="14">
        <v>1.5</v>
      </c>
      <c r="AC469" s="14" t="s">
        <v>308</v>
      </c>
      <c r="AD469" s="14" t="s">
        <v>277</v>
      </c>
      <c r="AE469" s="14">
        <v>0.66300000000000003</v>
      </c>
      <c r="AF469" s="14" t="s">
        <v>309</v>
      </c>
      <c r="AG469" s="14">
        <v>2025</v>
      </c>
      <c r="AH469" s="14" t="s">
        <v>310</v>
      </c>
      <c r="AI469" s="61">
        <v>50</v>
      </c>
      <c r="AJ469" s="15">
        <v>2</v>
      </c>
      <c r="AK469" s="15">
        <v>1</v>
      </c>
    </row>
    <row r="470" spans="1:37" x14ac:dyDescent="0.3">
      <c r="A470" s="12">
        <v>7.48</v>
      </c>
      <c r="B470" s="12">
        <v>1930</v>
      </c>
      <c r="C470" s="13" t="s">
        <v>311</v>
      </c>
      <c r="D470" s="13" t="s">
        <v>312</v>
      </c>
      <c r="E470" s="13" t="s">
        <v>170</v>
      </c>
      <c r="F470" s="13">
        <v>0.45</v>
      </c>
      <c r="G470" s="13">
        <v>5.65</v>
      </c>
      <c r="H470" s="13">
        <v>1.02</v>
      </c>
      <c r="I470" s="13">
        <v>6.29</v>
      </c>
      <c r="J470" s="13">
        <v>13.98</v>
      </c>
      <c r="K470" s="13">
        <v>0.42</v>
      </c>
      <c r="L470" s="13">
        <v>0.67</v>
      </c>
      <c r="M470" s="13" t="s">
        <v>34</v>
      </c>
      <c r="N470" s="13" t="s">
        <v>34</v>
      </c>
      <c r="O470" s="13" t="s">
        <v>34</v>
      </c>
      <c r="P470" s="13" t="s">
        <v>34</v>
      </c>
      <c r="Q470" s="13">
        <v>0</v>
      </c>
      <c r="R470" s="13" t="s">
        <v>34</v>
      </c>
      <c r="S470" s="13" t="s">
        <v>34</v>
      </c>
      <c r="T470" s="13" t="s">
        <v>49</v>
      </c>
      <c r="U470" s="13" t="s">
        <v>313</v>
      </c>
      <c r="V470" s="13" t="s">
        <v>162</v>
      </c>
      <c r="W470" s="13">
        <v>9</v>
      </c>
      <c r="X470" s="13">
        <v>1</v>
      </c>
      <c r="Y470" s="13">
        <v>1</v>
      </c>
      <c r="Z470" s="13" t="s">
        <v>314</v>
      </c>
      <c r="AA470" s="13">
        <v>0.106</v>
      </c>
      <c r="AB470" s="13" t="s">
        <v>34</v>
      </c>
      <c r="AC470" s="13" t="s">
        <v>40</v>
      </c>
      <c r="AD470" s="13" t="s">
        <v>277</v>
      </c>
      <c r="AE470" s="13">
        <v>0.63300000000000001</v>
      </c>
      <c r="AF470" s="13" t="s">
        <v>315</v>
      </c>
      <c r="AG470" s="13">
        <v>2025</v>
      </c>
      <c r="AH470" s="13" t="s">
        <v>316</v>
      </c>
      <c r="AI470" s="2">
        <v>50</v>
      </c>
      <c r="AJ470" s="2">
        <v>2</v>
      </c>
      <c r="AK470" s="2">
        <v>1</v>
      </c>
    </row>
    <row r="471" spans="1:37" x14ac:dyDescent="0.3">
      <c r="A471" s="11">
        <v>9.8699999999999992</v>
      </c>
      <c r="B471" s="11">
        <v>2390</v>
      </c>
      <c r="C471" s="10" t="s">
        <v>311</v>
      </c>
      <c r="D471" s="10" t="s">
        <v>312</v>
      </c>
      <c r="E471" s="10" t="s">
        <v>170</v>
      </c>
      <c r="F471" s="10">
        <v>0.45</v>
      </c>
      <c r="G471" s="10">
        <v>5.65</v>
      </c>
      <c r="H471" s="10">
        <v>1.02</v>
      </c>
      <c r="I471" s="10">
        <v>6.29</v>
      </c>
      <c r="J471" s="10">
        <v>13.98</v>
      </c>
      <c r="K471" s="10">
        <v>0.42</v>
      </c>
      <c r="L471" s="10">
        <v>0.67</v>
      </c>
      <c r="M471" s="10" t="s">
        <v>34</v>
      </c>
      <c r="N471" s="10" t="s">
        <v>34</v>
      </c>
      <c r="O471" s="10" t="s">
        <v>34</v>
      </c>
      <c r="P471" s="10" t="s">
        <v>34</v>
      </c>
      <c r="Q471" s="10">
        <v>0</v>
      </c>
      <c r="R471" s="10" t="s">
        <v>34</v>
      </c>
      <c r="S471" s="10" t="s">
        <v>34</v>
      </c>
      <c r="T471" s="10" t="s">
        <v>49</v>
      </c>
      <c r="U471" s="10" t="s">
        <v>313</v>
      </c>
      <c r="V471" s="10" t="s">
        <v>162</v>
      </c>
      <c r="W471" s="10">
        <v>12</v>
      </c>
      <c r="X471" s="10">
        <v>1</v>
      </c>
      <c r="Y471" s="10">
        <v>1</v>
      </c>
      <c r="Z471" s="10" t="s">
        <v>314</v>
      </c>
      <c r="AA471" s="10">
        <v>1.1060000000000001</v>
      </c>
      <c r="AB471" s="10" t="s">
        <v>34</v>
      </c>
      <c r="AC471" s="10" t="s">
        <v>40</v>
      </c>
      <c r="AD471" s="10" t="s">
        <v>277</v>
      </c>
      <c r="AE471" s="10">
        <v>0.63300000000000001</v>
      </c>
      <c r="AF471" s="10" t="s">
        <v>315</v>
      </c>
      <c r="AG471" s="10">
        <v>2025</v>
      </c>
      <c r="AH471" s="10" t="s">
        <v>316</v>
      </c>
      <c r="AI471" s="2">
        <v>50</v>
      </c>
      <c r="AJ471" s="2">
        <v>2</v>
      </c>
      <c r="AK471" s="2">
        <v>1</v>
      </c>
    </row>
    <row r="472" spans="1:37" x14ac:dyDescent="0.3">
      <c r="A472" s="11">
        <v>12.06</v>
      </c>
      <c r="B472" s="11">
        <v>4130</v>
      </c>
      <c r="C472" s="10" t="s">
        <v>311</v>
      </c>
      <c r="D472" s="10" t="s">
        <v>312</v>
      </c>
      <c r="E472" s="10" t="s">
        <v>170</v>
      </c>
      <c r="F472" s="10">
        <v>0.45</v>
      </c>
      <c r="G472" s="10">
        <v>5.65</v>
      </c>
      <c r="H472" s="10">
        <v>1.02</v>
      </c>
      <c r="I472" s="10">
        <v>6.29</v>
      </c>
      <c r="J472" s="10">
        <v>13.98</v>
      </c>
      <c r="K472" s="10">
        <v>0.42</v>
      </c>
      <c r="L472" s="10">
        <v>0.67</v>
      </c>
      <c r="M472" s="10" t="s">
        <v>34</v>
      </c>
      <c r="N472" s="10" t="s">
        <v>34</v>
      </c>
      <c r="O472" s="10" t="s">
        <v>34</v>
      </c>
      <c r="P472" s="10" t="s">
        <v>34</v>
      </c>
      <c r="Q472" s="10">
        <v>0</v>
      </c>
      <c r="R472" s="10" t="s">
        <v>34</v>
      </c>
      <c r="S472" s="10" t="s">
        <v>34</v>
      </c>
      <c r="T472" s="10" t="s">
        <v>49</v>
      </c>
      <c r="U472" s="10" t="s">
        <v>313</v>
      </c>
      <c r="V472" s="10" t="s">
        <v>162</v>
      </c>
      <c r="W472" s="10">
        <v>15</v>
      </c>
      <c r="X472" s="10">
        <v>1</v>
      </c>
      <c r="Y472" s="10">
        <v>1</v>
      </c>
      <c r="Z472" s="10" t="s">
        <v>314</v>
      </c>
      <c r="AA472" s="10">
        <v>2.1059999999999999</v>
      </c>
      <c r="AB472" s="10" t="s">
        <v>34</v>
      </c>
      <c r="AC472" s="10" t="s">
        <v>40</v>
      </c>
      <c r="AD472" s="10" t="s">
        <v>277</v>
      </c>
      <c r="AE472" s="10">
        <v>0.63300000000000001</v>
      </c>
      <c r="AF472" s="10" t="s">
        <v>315</v>
      </c>
      <c r="AG472" s="10">
        <v>2025</v>
      </c>
      <c r="AH472" s="10" t="s">
        <v>316</v>
      </c>
      <c r="AI472" s="2">
        <v>50</v>
      </c>
      <c r="AJ472" s="2">
        <v>2</v>
      </c>
      <c r="AK472" s="2">
        <v>1</v>
      </c>
    </row>
    <row r="473" spans="1:37" x14ac:dyDescent="0.3">
      <c r="A473" s="11">
        <v>7.57</v>
      </c>
      <c r="B473" s="11">
        <v>2040</v>
      </c>
      <c r="C473" s="10" t="s">
        <v>311</v>
      </c>
      <c r="D473" s="10" t="s">
        <v>312</v>
      </c>
      <c r="E473" s="10" t="s">
        <v>170</v>
      </c>
      <c r="F473" s="10">
        <v>0.41</v>
      </c>
      <c r="G473" s="10">
        <v>5.0999999999999996</v>
      </c>
      <c r="H473" s="10">
        <v>0.79</v>
      </c>
      <c r="I473" s="10">
        <v>5.84</v>
      </c>
      <c r="J473" s="10">
        <v>14.36</v>
      </c>
      <c r="K473" s="10">
        <v>0.26</v>
      </c>
      <c r="L473" s="10">
        <v>0.57999999999999996</v>
      </c>
      <c r="M473" s="10" t="s">
        <v>34</v>
      </c>
      <c r="N473" s="10" t="s">
        <v>34</v>
      </c>
      <c r="O473" s="10" t="s">
        <v>34</v>
      </c>
      <c r="P473" s="10" t="s">
        <v>34</v>
      </c>
      <c r="Q473" s="10">
        <v>0</v>
      </c>
      <c r="R473" s="10" t="s">
        <v>34</v>
      </c>
      <c r="S473" s="10" t="s">
        <v>34</v>
      </c>
      <c r="T473" s="10" t="s">
        <v>49</v>
      </c>
      <c r="U473" s="10" t="s">
        <v>313</v>
      </c>
      <c r="V473" s="10" t="s">
        <v>162</v>
      </c>
      <c r="W473" s="10">
        <v>9</v>
      </c>
      <c r="X473" s="10">
        <v>1</v>
      </c>
      <c r="Y473" s="10">
        <v>1</v>
      </c>
      <c r="Z473" s="10" t="s">
        <v>314</v>
      </c>
      <c r="AA473" s="10">
        <v>3.1059999999999999</v>
      </c>
      <c r="AB473" s="10" t="s">
        <v>34</v>
      </c>
      <c r="AC473" s="10" t="s">
        <v>40</v>
      </c>
      <c r="AD473" s="10" t="s">
        <v>277</v>
      </c>
      <c r="AE473" s="10">
        <v>0.63300000000000001</v>
      </c>
      <c r="AF473" s="10" t="s">
        <v>315</v>
      </c>
      <c r="AG473" s="10">
        <v>2025</v>
      </c>
      <c r="AH473" s="10" t="s">
        <v>316</v>
      </c>
      <c r="AI473" s="2">
        <v>50</v>
      </c>
      <c r="AJ473" s="2">
        <v>2</v>
      </c>
      <c r="AK473" s="2">
        <v>1</v>
      </c>
    </row>
    <row r="474" spans="1:37" x14ac:dyDescent="0.3">
      <c r="A474" s="11">
        <v>9.94</v>
      </c>
      <c r="B474" s="11">
        <v>3020</v>
      </c>
      <c r="C474" s="10" t="s">
        <v>311</v>
      </c>
      <c r="D474" s="10" t="s">
        <v>312</v>
      </c>
      <c r="E474" s="10" t="s">
        <v>170</v>
      </c>
      <c r="F474" s="10">
        <v>0.41</v>
      </c>
      <c r="G474" s="10">
        <v>5.0999999999999996</v>
      </c>
      <c r="H474" s="10">
        <v>0.79</v>
      </c>
      <c r="I474" s="10">
        <v>5.84</v>
      </c>
      <c r="J474" s="10">
        <v>14.36</v>
      </c>
      <c r="K474" s="10">
        <v>0.26</v>
      </c>
      <c r="L474" s="10">
        <v>0.57999999999999996</v>
      </c>
      <c r="M474" s="10" t="s">
        <v>34</v>
      </c>
      <c r="N474" s="10" t="s">
        <v>34</v>
      </c>
      <c r="O474" s="10" t="s">
        <v>34</v>
      </c>
      <c r="P474" s="10" t="s">
        <v>34</v>
      </c>
      <c r="Q474" s="10">
        <v>0</v>
      </c>
      <c r="R474" s="10" t="s">
        <v>34</v>
      </c>
      <c r="S474" s="10" t="s">
        <v>34</v>
      </c>
      <c r="T474" s="10" t="s">
        <v>49</v>
      </c>
      <c r="U474" s="10" t="s">
        <v>313</v>
      </c>
      <c r="V474" s="10" t="s">
        <v>162</v>
      </c>
      <c r="W474" s="10">
        <v>12</v>
      </c>
      <c r="X474" s="10">
        <v>1</v>
      </c>
      <c r="Y474" s="10">
        <v>1</v>
      </c>
      <c r="Z474" s="10" t="s">
        <v>314</v>
      </c>
      <c r="AA474" s="10">
        <v>4.1059999999999999</v>
      </c>
      <c r="AB474" s="10" t="s">
        <v>34</v>
      </c>
      <c r="AC474" s="10" t="s">
        <v>40</v>
      </c>
      <c r="AD474" s="10" t="s">
        <v>277</v>
      </c>
      <c r="AE474" s="10">
        <v>0.63300000000000001</v>
      </c>
      <c r="AF474" s="10" t="s">
        <v>315</v>
      </c>
      <c r="AG474" s="10">
        <v>2025</v>
      </c>
      <c r="AH474" s="10" t="s">
        <v>316</v>
      </c>
      <c r="AI474" s="2">
        <v>50</v>
      </c>
      <c r="AJ474" s="2">
        <v>2</v>
      </c>
      <c r="AK474" s="2">
        <v>1</v>
      </c>
    </row>
    <row r="475" spans="1:37" x14ac:dyDescent="0.3">
      <c r="A475" s="11">
        <v>11.59</v>
      </c>
      <c r="B475" s="11">
        <v>4180</v>
      </c>
      <c r="C475" s="10" t="s">
        <v>311</v>
      </c>
      <c r="D475" s="10" t="s">
        <v>312</v>
      </c>
      <c r="E475" s="10" t="s">
        <v>170</v>
      </c>
      <c r="F475" s="10">
        <v>0.41</v>
      </c>
      <c r="G475" s="10">
        <v>5.0999999999999996</v>
      </c>
      <c r="H475" s="10">
        <v>0.79</v>
      </c>
      <c r="I475" s="10">
        <v>5.84</v>
      </c>
      <c r="J475" s="10">
        <v>14.36</v>
      </c>
      <c r="K475" s="10">
        <v>0.26</v>
      </c>
      <c r="L475" s="10">
        <v>0.57999999999999996</v>
      </c>
      <c r="M475" s="10" t="s">
        <v>34</v>
      </c>
      <c r="N475" s="10" t="s">
        <v>34</v>
      </c>
      <c r="O475" s="10" t="s">
        <v>34</v>
      </c>
      <c r="P475" s="10" t="s">
        <v>34</v>
      </c>
      <c r="Q475" s="10">
        <v>0</v>
      </c>
      <c r="R475" s="10" t="s">
        <v>34</v>
      </c>
      <c r="S475" s="10" t="s">
        <v>34</v>
      </c>
      <c r="T475" s="10" t="s">
        <v>49</v>
      </c>
      <c r="U475" s="10" t="s">
        <v>313</v>
      </c>
      <c r="V475" s="10" t="s">
        <v>162</v>
      </c>
      <c r="W475" s="10">
        <v>15</v>
      </c>
      <c r="X475" s="10">
        <v>1</v>
      </c>
      <c r="Y475" s="10">
        <v>1</v>
      </c>
      <c r="Z475" s="10" t="s">
        <v>314</v>
      </c>
      <c r="AA475" s="10">
        <v>5.1059999999999999</v>
      </c>
      <c r="AB475" s="10" t="s">
        <v>34</v>
      </c>
      <c r="AC475" s="10" t="s">
        <v>40</v>
      </c>
      <c r="AD475" s="10" t="s">
        <v>277</v>
      </c>
      <c r="AE475" s="10">
        <v>0.63300000000000001</v>
      </c>
      <c r="AF475" s="10" t="s">
        <v>315</v>
      </c>
      <c r="AG475" s="10">
        <v>2025</v>
      </c>
      <c r="AH475" s="10" t="s">
        <v>316</v>
      </c>
      <c r="AI475" s="2">
        <v>50</v>
      </c>
      <c r="AJ475" s="2">
        <v>2</v>
      </c>
      <c r="AK475" s="2">
        <v>1</v>
      </c>
    </row>
    <row r="476" spans="1:37" x14ac:dyDescent="0.3">
      <c r="A476" s="11">
        <v>7.53</v>
      </c>
      <c r="B476" s="11">
        <v>2790</v>
      </c>
      <c r="C476" s="10" t="s">
        <v>33</v>
      </c>
      <c r="D476" s="10" t="s">
        <v>35</v>
      </c>
      <c r="E476" s="10" t="s">
        <v>170</v>
      </c>
      <c r="F476" s="10">
        <v>0.39</v>
      </c>
      <c r="G476" s="10">
        <v>1.2</v>
      </c>
      <c r="H476" s="10">
        <v>0.69</v>
      </c>
      <c r="I476" s="10">
        <v>5.43</v>
      </c>
      <c r="J476" s="10">
        <v>14.02</v>
      </c>
      <c r="K476" s="10">
        <v>0.23</v>
      </c>
      <c r="L476" s="10">
        <v>0.52</v>
      </c>
      <c r="M476" s="10" t="s">
        <v>34</v>
      </c>
      <c r="N476" s="10" t="s">
        <v>34</v>
      </c>
      <c r="O476" s="10" t="s">
        <v>34</v>
      </c>
      <c r="P476" s="10" t="s">
        <v>34</v>
      </c>
      <c r="Q476" s="10">
        <v>0</v>
      </c>
      <c r="R476" s="10" t="s">
        <v>34</v>
      </c>
      <c r="S476" s="10" t="s">
        <v>34</v>
      </c>
      <c r="T476" s="10" t="s">
        <v>49</v>
      </c>
      <c r="U476" s="10" t="s">
        <v>313</v>
      </c>
      <c r="V476" s="10" t="s">
        <v>162</v>
      </c>
      <c r="W476" s="10">
        <v>9</v>
      </c>
      <c r="X476" s="10">
        <v>1</v>
      </c>
      <c r="Y476" s="10">
        <v>1</v>
      </c>
      <c r="Z476" s="10" t="s">
        <v>314</v>
      </c>
      <c r="AA476" s="10">
        <v>6.1059999999999999</v>
      </c>
      <c r="AB476" s="10" t="s">
        <v>34</v>
      </c>
      <c r="AC476" s="10" t="s">
        <v>40</v>
      </c>
      <c r="AD476" s="10" t="s">
        <v>277</v>
      </c>
      <c r="AE476" s="10">
        <v>0.63300000000000001</v>
      </c>
      <c r="AF476" s="10" t="s">
        <v>315</v>
      </c>
      <c r="AG476" s="10">
        <v>2025</v>
      </c>
      <c r="AH476" s="10" t="s">
        <v>316</v>
      </c>
      <c r="AI476" s="2">
        <v>50</v>
      </c>
      <c r="AJ476" s="2">
        <v>2</v>
      </c>
      <c r="AK476" s="2">
        <v>1</v>
      </c>
    </row>
    <row r="477" spans="1:37" x14ac:dyDescent="0.3">
      <c r="A477" s="11">
        <v>9.83</v>
      </c>
      <c r="B477" s="11">
        <v>4080</v>
      </c>
      <c r="C477" s="10" t="s">
        <v>33</v>
      </c>
      <c r="D477" s="10" t="s">
        <v>35</v>
      </c>
      <c r="E477" s="10" t="s">
        <v>170</v>
      </c>
      <c r="F477" s="10">
        <v>0.39</v>
      </c>
      <c r="G477" s="10">
        <v>1.2</v>
      </c>
      <c r="H477" s="10">
        <v>0.69</v>
      </c>
      <c r="I477" s="10">
        <v>5.43</v>
      </c>
      <c r="J477" s="10">
        <v>14.02</v>
      </c>
      <c r="K477" s="10">
        <v>0.23</v>
      </c>
      <c r="L477" s="10">
        <v>0.52</v>
      </c>
      <c r="M477" s="10" t="s">
        <v>34</v>
      </c>
      <c r="N477" s="10" t="s">
        <v>34</v>
      </c>
      <c r="O477" s="10" t="s">
        <v>34</v>
      </c>
      <c r="P477" s="10" t="s">
        <v>34</v>
      </c>
      <c r="Q477" s="10">
        <v>0</v>
      </c>
      <c r="R477" s="10" t="s">
        <v>34</v>
      </c>
      <c r="S477" s="10" t="s">
        <v>34</v>
      </c>
      <c r="T477" s="10" t="s">
        <v>49</v>
      </c>
      <c r="U477" s="10" t="s">
        <v>313</v>
      </c>
      <c r="V477" s="10" t="s">
        <v>162</v>
      </c>
      <c r="W477" s="10">
        <v>12</v>
      </c>
      <c r="X477" s="10">
        <v>1</v>
      </c>
      <c r="Y477" s="10">
        <v>1</v>
      </c>
      <c r="Z477" s="10" t="s">
        <v>314</v>
      </c>
      <c r="AA477" s="10">
        <v>7.1059999999999999</v>
      </c>
      <c r="AB477" s="10" t="s">
        <v>34</v>
      </c>
      <c r="AC477" s="10" t="s">
        <v>40</v>
      </c>
      <c r="AD477" s="10" t="s">
        <v>277</v>
      </c>
      <c r="AE477" s="10">
        <v>0.63300000000000001</v>
      </c>
      <c r="AF477" s="10" t="s">
        <v>315</v>
      </c>
      <c r="AG477" s="10">
        <v>2025</v>
      </c>
      <c r="AH477" s="10" t="s">
        <v>316</v>
      </c>
      <c r="AI477" s="2">
        <v>50</v>
      </c>
      <c r="AJ477" s="2">
        <v>2</v>
      </c>
      <c r="AK477" s="2">
        <v>1</v>
      </c>
    </row>
    <row r="478" spans="1:37" x14ac:dyDescent="0.3">
      <c r="A478" s="11">
        <v>11.07</v>
      </c>
      <c r="B478" s="11">
        <v>4240</v>
      </c>
      <c r="C478" s="10" t="s">
        <v>33</v>
      </c>
      <c r="D478" s="10" t="s">
        <v>35</v>
      </c>
      <c r="E478" s="10" t="s">
        <v>170</v>
      </c>
      <c r="F478" s="10">
        <v>0.39</v>
      </c>
      <c r="G478" s="10">
        <v>1.2</v>
      </c>
      <c r="H478" s="10">
        <v>0.69</v>
      </c>
      <c r="I478" s="10">
        <v>5.43</v>
      </c>
      <c r="J478" s="10">
        <v>14.02</v>
      </c>
      <c r="K478" s="10">
        <v>0.23</v>
      </c>
      <c r="L478" s="10">
        <v>0.52</v>
      </c>
      <c r="M478" s="10" t="s">
        <v>34</v>
      </c>
      <c r="N478" s="10" t="s">
        <v>34</v>
      </c>
      <c r="O478" s="10" t="s">
        <v>34</v>
      </c>
      <c r="P478" s="10" t="s">
        <v>34</v>
      </c>
      <c r="Q478" s="10">
        <v>0</v>
      </c>
      <c r="R478" s="10" t="s">
        <v>34</v>
      </c>
      <c r="S478" s="10" t="s">
        <v>34</v>
      </c>
      <c r="T478" s="10" t="s">
        <v>49</v>
      </c>
      <c r="U478" s="10" t="s">
        <v>313</v>
      </c>
      <c r="V478" s="10" t="s">
        <v>162</v>
      </c>
      <c r="W478" s="10">
        <v>15</v>
      </c>
      <c r="X478" s="10">
        <v>1</v>
      </c>
      <c r="Y478" s="10">
        <v>1</v>
      </c>
      <c r="Z478" s="10" t="s">
        <v>314</v>
      </c>
      <c r="AA478" s="10">
        <v>8.1059999999999999</v>
      </c>
      <c r="AB478" s="10" t="s">
        <v>34</v>
      </c>
      <c r="AC478" s="10" t="s">
        <v>40</v>
      </c>
      <c r="AD478" s="10" t="s">
        <v>277</v>
      </c>
      <c r="AE478" s="10">
        <v>0.63300000000000001</v>
      </c>
      <c r="AF478" s="10" t="s">
        <v>315</v>
      </c>
      <c r="AG478" s="10">
        <v>2025</v>
      </c>
      <c r="AH478" s="10" t="s">
        <v>316</v>
      </c>
      <c r="AI478" s="2">
        <v>50</v>
      </c>
      <c r="AJ478" s="2">
        <v>2</v>
      </c>
      <c r="AK478" s="2">
        <v>1</v>
      </c>
    </row>
    <row r="479" spans="1:37" x14ac:dyDescent="0.3">
      <c r="A479" s="11">
        <v>7.56</v>
      </c>
      <c r="B479" s="11">
        <v>2940</v>
      </c>
      <c r="C479" s="10" t="s">
        <v>33</v>
      </c>
      <c r="D479" s="10" t="s">
        <v>35</v>
      </c>
      <c r="E479" s="10" t="s">
        <v>170</v>
      </c>
      <c r="F479" s="10">
        <v>0.37</v>
      </c>
      <c r="G479" s="10">
        <v>1.08</v>
      </c>
      <c r="H479" s="10">
        <v>0.62</v>
      </c>
      <c r="I479" s="10">
        <v>2.88</v>
      </c>
      <c r="J479" s="10">
        <v>7.68</v>
      </c>
      <c r="K479" s="10">
        <v>0.36</v>
      </c>
      <c r="L479" s="10">
        <v>0.4</v>
      </c>
      <c r="M479" s="10" t="s">
        <v>34</v>
      </c>
      <c r="N479" s="10" t="s">
        <v>34</v>
      </c>
      <c r="O479" s="10" t="s">
        <v>34</v>
      </c>
      <c r="P479" s="10" t="s">
        <v>34</v>
      </c>
      <c r="Q479" s="10">
        <v>0</v>
      </c>
      <c r="R479" s="10" t="s">
        <v>34</v>
      </c>
      <c r="S479" s="10" t="s">
        <v>34</v>
      </c>
      <c r="T479" s="10" t="s">
        <v>49</v>
      </c>
      <c r="U479" s="10" t="s">
        <v>313</v>
      </c>
      <c r="V479" s="10" t="s">
        <v>162</v>
      </c>
      <c r="W479" s="10">
        <v>9</v>
      </c>
      <c r="X479" s="10">
        <v>1</v>
      </c>
      <c r="Y479" s="10">
        <v>1</v>
      </c>
      <c r="Z479" s="10" t="s">
        <v>314</v>
      </c>
      <c r="AA479" s="10">
        <v>9.1059999999999999</v>
      </c>
      <c r="AB479" s="10" t="s">
        <v>34</v>
      </c>
      <c r="AC479" s="10" t="s">
        <v>40</v>
      </c>
      <c r="AD479" s="10" t="s">
        <v>277</v>
      </c>
      <c r="AE479" s="10">
        <v>0.63300000000000001</v>
      </c>
      <c r="AF479" s="10" t="s">
        <v>315</v>
      </c>
      <c r="AG479" s="10">
        <v>2025</v>
      </c>
      <c r="AH479" s="10" t="s">
        <v>316</v>
      </c>
      <c r="AI479" s="2">
        <v>50</v>
      </c>
      <c r="AJ479" s="2">
        <v>2</v>
      </c>
      <c r="AK479" s="2">
        <v>1</v>
      </c>
    </row>
    <row r="480" spans="1:37" x14ac:dyDescent="0.3">
      <c r="A480" s="11">
        <v>9.83</v>
      </c>
      <c r="B480" s="11">
        <v>4160</v>
      </c>
      <c r="C480" s="10" t="s">
        <v>33</v>
      </c>
      <c r="D480" s="10" t="s">
        <v>35</v>
      </c>
      <c r="E480" s="10" t="s">
        <v>170</v>
      </c>
      <c r="F480" s="10">
        <v>0.37</v>
      </c>
      <c r="G480" s="10">
        <v>1.08</v>
      </c>
      <c r="H480" s="10">
        <v>0.62</v>
      </c>
      <c r="I480" s="10">
        <v>2.88</v>
      </c>
      <c r="J480" s="10">
        <v>7.68</v>
      </c>
      <c r="K480" s="10">
        <v>0.36</v>
      </c>
      <c r="L480" s="10">
        <v>0.4</v>
      </c>
      <c r="M480" s="10" t="s">
        <v>34</v>
      </c>
      <c r="N480" s="10" t="s">
        <v>34</v>
      </c>
      <c r="O480" s="10" t="s">
        <v>34</v>
      </c>
      <c r="P480" s="10" t="s">
        <v>34</v>
      </c>
      <c r="Q480" s="10">
        <v>0</v>
      </c>
      <c r="R480" s="10" t="s">
        <v>34</v>
      </c>
      <c r="S480" s="10" t="s">
        <v>34</v>
      </c>
      <c r="T480" s="10" t="s">
        <v>49</v>
      </c>
      <c r="U480" s="10" t="s">
        <v>313</v>
      </c>
      <c r="V480" s="10" t="s">
        <v>162</v>
      </c>
      <c r="W480" s="10">
        <v>12</v>
      </c>
      <c r="X480" s="10">
        <v>1</v>
      </c>
      <c r="Y480" s="10">
        <v>1</v>
      </c>
      <c r="Z480" s="10" t="s">
        <v>314</v>
      </c>
      <c r="AA480" s="10">
        <v>10.106</v>
      </c>
      <c r="AB480" s="10" t="s">
        <v>34</v>
      </c>
      <c r="AC480" s="10" t="s">
        <v>40</v>
      </c>
      <c r="AD480" s="10" t="s">
        <v>277</v>
      </c>
      <c r="AE480" s="10">
        <v>0.63300000000000001</v>
      </c>
      <c r="AF480" s="10" t="s">
        <v>315</v>
      </c>
      <c r="AG480" s="10">
        <v>2025</v>
      </c>
      <c r="AH480" s="10" t="s">
        <v>316</v>
      </c>
      <c r="AI480" s="2">
        <v>50</v>
      </c>
      <c r="AJ480" s="2">
        <v>2</v>
      </c>
      <c r="AK480" s="2">
        <v>1</v>
      </c>
    </row>
    <row r="481" spans="1:37" x14ac:dyDescent="0.3">
      <c r="A481" s="11">
        <v>11.03</v>
      </c>
      <c r="B481" s="11">
        <v>4370</v>
      </c>
      <c r="C481" s="10" t="s">
        <v>33</v>
      </c>
      <c r="D481" s="10" t="s">
        <v>35</v>
      </c>
      <c r="E481" s="10" t="s">
        <v>170</v>
      </c>
      <c r="F481" s="10">
        <v>0.37</v>
      </c>
      <c r="G481" s="10">
        <v>1.08</v>
      </c>
      <c r="H481" s="10">
        <v>0.62</v>
      </c>
      <c r="I481" s="10">
        <v>2.88</v>
      </c>
      <c r="J481" s="10">
        <v>7.68</v>
      </c>
      <c r="K481" s="10">
        <v>0.36</v>
      </c>
      <c r="L481" s="10">
        <v>0.4</v>
      </c>
      <c r="M481" s="10" t="s">
        <v>34</v>
      </c>
      <c r="N481" s="10" t="s">
        <v>34</v>
      </c>
      <c r="O481" s="10" t="s">
        <v>34</v>
      </c>
      <c r="P481" s="10" t="s">
        <v>34</v>
      </c>
      <c r="Q481" s="10">
        <v>0</v>
      </c>
      <c r="R481" s="10" t="s">
        <v>34</v>
      </c>
      <c r="S481" s="10" t="s">
        <v>34</v>
      </c>
      <c r="T481" s="10" t="s">
        <v>49</v>
      </c>
      <c r="U481" s="10" t="s">
        <v>313</v>
      </c>
      <c r="V481" s="10" t="s">
        <v>162</v>
      </c>
      <c r="W481" s="10">
        <v>15</v>
      </c>
      <c r="X481" s="10">
        <v>1</v>
      </c>
      <c r="Y481" s="10">
        <v>1</v>
      </c>
      <c r="Z481" s="10" t="s">
        <v>314</v>
      </c>
      <c r="AA481" s="10">
        <v>11.106</v>
      </c>
      <c r="AB481" s="10" t="s">
        <v>34</v>
      </c>
      <c r="AC481" s="10" t="s">
        <v>40</v>
      </c>
      <c r="AD481" s="10" t="s">
        <v>277</v>
      </c>
      <c r="AE481" s="10">
        <v>0.63300000000000001</v>
      </c>
      <c r="AF481" s="10" t="s">
        <v>315</v>
      </c>
      <c r="AG481" s="10">
        <v>2025</v>
      </c>
      <c r="AH481" s="10" t="s">
        <v>316</v>
      </c>
      <c r="AI481" s="2">
        <v>50</v>
      </c>
      <c r="AJ481" s="2">
        <v>2</v>
      </c>
      <c r="AK481" s="2">
        <v>1</v>
      </c>
    </row>
    <row r="482" spans="1:37" x14ac:dyDescent="0.3">
      <c r="A482" s="11">
        <v>7.57</v>
      </c>
      <c r="B482" s="11">
        <v>3060</v>
      </c>
      <c r="C482" s="10" t="s">
        <v>33</v>
      </c>
      <c r="D482" s="10" t="s">
        <v>35</v>
      </c>
      <c r="E482" s="10" t="s">
        <v>170</v>
      </c>
      <c r="F482" s="10">
        <v>0.37</v>
      </c>
      <c r="G482" s="10">
        <v>0.98</v>
      </c>
      <c r="H482" s="10">
        <v>0.59</v>
      </c>
      <c r="I482" s="10">
        <v>1.2</v>
      </c>
      <c r="J482" s="10">
        <v>3.27</v>
      </c>
      <c r="K482" s="10">
        <v>0.79</v>
      </c>
      <c r="L482" s="10">
        <v>0.43</v>
      </c>
      <c r="M482" s="10" t="s">
        <v>34</v>
      </c>
      <c r="N482" s="10" t="s">
        <v>34</v>
      </c>
      <c r="O482" s="10" t="s">
        <v>34</v>
      </c>
      <c r="P482" s="10" t="s">
        <v>34</v>
      </c>
      <c r="Q482" s="10">
        <v>0</v>
      </c>
      <c r="R482" s="10" t="s">
        <v>34</v>
      </c>
      <c r="S482" s="10" t="s">
        <v>34</v>
      </c>
      <c r="T482" s="10" t="s">
        <v>49</v>
      </c>
      <c r="U482" s="10" t="s">
        <v>313</v>
      </c>
      <c r="V482" s="10" t="s">
        <v>162</v>
      </c>
      <c r="W482" s="10">
        <v>9</v>
      </c>
      <c r="X482" s="10">
        <v>1</v>
      </c>
      <c r="Y482" s="10">
        <v>1</v>
      </c>
      <c r="Z482" s="10" t="s">
        <v>314</v>
      </c>
      <c r="AA482" s="10">
        <v>12.106</v>
      </c>
      <c r="AB482" s="10" t="s">
        <v>34</v>
      </c>
      <c r="AC482" s="10" t="s">
        <v>40</v>
      </c>
      <c r="AD482" s="10" t="s">
        <v>277</v>
      </c>
      <c r="AE482" s="10">
        <v>0.63300000000000001</v>
      </c>
      <c r="AF482" s="10" t="s">
        <v>315</v>
      </c>
      <c r="AG482" s="10">
        <v>2025</v>
      </c>
      <c r="AH482" s="10" t="s">
        <v>316</v>
      </c>
      <c r="AI482" s="2">
        <v>50</v>
      </c>
      <c r="AJ482" s="2">
        <v>2</v>
      </c>
      <c r="AK482" s="2">
        <v>1</v>
      </c>
    </row>
    <row r="483" spans="1:37" x14ac:dyDescent="0.3">
      <c r="A483" s="31">
        <v>10.050000000000001</v>
      </c>
      <c r="B483" s="31">
        <v>4180</v>
      </c>
      <c r="C483" s="33" t="s">
        <v>33</v>
      </c>
      <c r="D483" s="33" t="s">
        <v>35</v>
      </c>
      <c r="E483" s="33" t="s">
        <v>170</v>
      </c>
      <c r="F483" s="33">
        <v>0.37</v>
      </c>
      <c r="G483" s="33">
        <v>0.98</v>
      </c>
      <c r="H483" s="33">
        <v>0.59</v>
      </c>
      <c r="I483" s="33">
        <v>1.2</v>
      </c>
      <c r="J483" s="33">
        <v>3.27</v>
      </c>
      <c r="K483" s="33">
        <v>0.79</v>
      </c>
      <c r="L483" s="33">
        <v>0.43</v>
      </c>
      <c r="M483" s="33" t="s">
        <v>34</v>
      </c>
      <c r="N483" s="33" t="s">
        <v>34</v>
      </c>
      <c r="O483" s="33" t="s">
        <v>34</v>
      </c>
      <c r="P483" s="33" t="s">
        <v>34</v>
      </c>
      <c r="Q483" s="33">
        <v>0</v>
      </c>
      <c r="R483" s="33" t="s">
        <v>34</v>
      </c>
      <c r="S483" s="33" t="s">
        <v>34</v>
      </c>
      <c r="T483" s="33" t="s">
        <v>49</v>
      </c>
      <c r="U483" s="33" t="s">
        <v>313</v>
      </c>
      <c r="V483" s="33" t="s">
        <v>162</v>
      </c>
      <c r="W483" s="33">
        <v>12</v>
      </c>
      <c r="X483" s="33">
        <v>1</v>
      </c>
      <c r="Y483" s="33">
        <v>1</v>
      </c>
      <c r="Z483" s="33" t="s">
        <v>314</v>
      </c>
      <c r="AA483" s="33">
        <v>13.106</v>
      </c>
      <c r="AB483" s="33" t="s">
        <v>34</v>
      </c>
      <c r="AC483" s="33" t="s">
        <v>40</v>
      </c>
      <c r="AD483" s="33" t="s">
        <v>277</v>
      </c>
      <c r="AE483" s="33">
        <v>0.63300000000000001</v>
      </c>
      <c r="AF483" s="33" t="s">
        <v>315</v>
      </c>
      <c r="AG483" s="33">
        <v>2025</v>
      </c>
      <c r="AH483" s="33" t="s">
        <v>316</v>
      </c>
      <c r="AI483" s="2">
        <v>50</v>
      </c>
      <c r="AJ483" s="2">
        <v>2</v>
      </c>
      <c r="AK483" s="2">
        <v>1</v>
      </c>
    </row>
    <row r="484" spans="1:37" s="34" customFormat="1" ht="16.2" thickBot="1" x14ac:dyDescent="0.35">
      <c r="A484" s="17">
        <v>11.06</v>
      </c>
      <c r="B484" s="17">
        <v>4440</v>
      </c>
      <c r="C484" s="14" t="s">
        <v>33</v>
      </c>
      <c r="D484" s="14" t="s">
        <v>35</v>
      </c>
      <c r="E484" s="14" t="s">
        <v>170</v>
      </c>
      <c r="F484" s="14">
        <v>0.37</v>
      </c>
      <c r="G484" s="14">
        <v>0.98</v>
      </c>
      <c r="H484" s="14">
        <v>0.59</v>
      </c>
      <c r="I484" s="14">
        <v>1.2</v>
      </c>
      <c r="J484" s="14">
        <v>3.27</v>
      </c>
      <c r="K484" s="14">
        <v>0.79</v>
      </c>
      <c r="L484" s="14">
        <v>0.43</v>
      </c>
      <c r="M484" s="14" t="s">
        <v>34</v>
      </c>
      <c r="N484" s="14" t="s">
        <v>34</v>
      </c>
      <c r="O484" s="14" t="s">
        <v>34</v>
      </c>
      <c r="P484" s="14" t="s">
        <v>34</v>
      </c>
      <c r="Q484" s="14">
        <v>0</v>
      </c>
      <c r="R484" s="14" t="s">
        <v>34</v>
      </c>
      <c r="S484" s="14" t="s">
        <v>34</v>
      </c>
      <c r="T484" s="14" t="s">
        <v>49</v>
      </c>
      <c r="U484" s="14" t="s">
        <v>313</v>
      </c>
      <c r="V484" s="14" t="s">
        <v>162</v>
      </c>
      <c r="W484" s="14">
        <v>15</v>
      </c>
      <c r="X484" s="14">
        <v>1</v>
      </c>
      <c r="Y484" s="14">
        <v>1</v>
      </c>
      <c r="Z484" s="14" t="s">
        <v>314</v>
      </c>
      <c r="AA484" s="14">
        <v>14.106</v>
      </c>
      <c r="AB484" s="14" t="s">
        <v>34</v>
      </c>
      <c r="AC484" s="14" t="s">
        <v>40</v>
      </c>
      <c r="AD484" s="14" t="s">
        <v>277</v>
      </c>
      <c r="AE484" s="14">
        <v>0.63300000000000001</v>
      </c>
      <c r="AF484" s="14" t="s">
        <v>315</v>
      </c>
      <c r="AG484" s="14">
        <v>2025</v>
      </c>
      <c r="AH484" s="14" t="s">
        <v>316</v>
      </c>
      <c r="AI484" s="61">
        <v>50</v>
      </c>
      <c r="AJ484" s="15">
        <v>2</v>
      </c>
      <c r="AK484" s="15">
        <v>1</v>
      </c>
    </row>
    <row r="485" spans="1:37" x14ac:dyDescent="0.3">
      <c r="A485" s="12">
        <v>0.5</v>
      </c>
      <c r="B485" s="12">
        <v>77.2</v>
      </c>
      <c r="C485" s="13" t="s">
        <v>33</v>
      </c>
      <c r="D485" s="13" t="s">
        <v>341</v>
      </c>
      <c r="E485" s="13" t="s">
        <v>170</v>
      </c>
      <c r="F485" s="13">
        <v>0.23</v>
      </c>
      <c r="G485" s="13">
        <v>0.36</v>
      </c>
      <c r="H485" s="13">
        <v>0.31900000000000001</v>
      </c>
      <c r="I485" s="13">
        <v>0.4</v>
      </c>
      <c r="J485" s="13">
        <v>1.74</v>
      </c>
      <c r="K485" s="13">
        <v>1.1100000000000001</v>
      </c>
      <c r="L485" s="13">
        <v>0</v>
      </c>
      <c r="M485" s="13">
        <v>45</v>
      </c>
      <c r="N485" s="13">
        <v>1632</v>
      </c>
      <c r="O485" s="13">
        <v>0.753</v>
      </c>
      <c r="P485" s="13">
        <v>0.46700000000000003</v>
      </c>
      <c r="Q485" s="13">
        <v>0</v>
      </c>
      <c r="R485" s="13">
        <v>2.65</v>
      </c>
      <c r="S485" s="13">
        <v>8.3300000000000008E-4</v>
      </c>
      <c r="T485" s="13" t="s">
        <v>49</v>
      </c>
      <c r="U485" s="13" t="s">
        <v>262</v>
      </c>
      <c r="V485" s="13" t="s">
        <v>162</v>
      </c>
      <c r="W485" s="13">
        <v>1</v>
      </c>
      <c r="X485" s="13">
        <v>0.5</v>
      </c>
      <c r="Y485" s="13">
        <v>1</v>
      </c>
      <c r="Z485" s="13" t="s">
        <v>262</v>
      </c>
      <c r="AA485" s="13">
        <v>0.45419999999999999</v>
      </c>
      <c r="AB485" s="13" t="s">
        <v>34</v>
      </c>
      <c r="AC485" s="13" t="s">
        <v>40</v>
      </c>
      <c r="AD485" s="13" t="s">
        <v>32</v>
      </c>
      <c r="AE485" s="13">
        <v>0.95209999999999995</v>
      </c>
      <c r="AF485" s="13" t="s">
        <v>342</v>
      </c>
      <c r="AG485" s="13">
        <v>2024</v>
      </c>
      <c r="AH485" s="13" t="s">
        <v>343</v>
      </c>
      <c r="AI485" s="2">
        <v>50</v>
      </c>
      <c r="AJ485" s="2">
        <v>2</v>
      </c>
      <c r="AK485" s="2" t="s">
        <v>34</v>
      </c>
    </row>
    <row r="486" spans="1:37" x14ac:dyDescent="0.3">
      <c r="A486" s="11">
        <v>1</v>
      </c>
      <c r="B486" s="11">
        <v>380.2</v>
      </c>
      <c r="C486" s="10" t="s">
        <v>33</v>
      </c>
      <c r="D486" s="10" t="s">
        <v>341</v>
      </c>
      <c r="E486" s="10" t="s">
        <v>170</v>
      </c>
      <c r="F486" s="10">
        <v>0.23</v>
      </c>
      <c r="G486" s="10">
        <v>0.36</v>
      </c>
      <c r="H486" s="10">
        <v>0.31900000000000001</v>
      </c>
      <c r="I486" s="10">
        <v>0.4</v>
      </c>
      <c r="J486" s="10">
        <v>1.74</v>
      </c>
      <c r="K486" s="10">
        <v>1.1100000000000001</v>
      </c>
      <c r="L486" s="10">
        <v>0</v>
      </c>
      <c r="M486" s="10">
        <v>45</v>
      </c>
      <c r="N486" s="10">
        <v>1632</v>
      </c>
      <c r="O486" s="10">
        <v>0.753</v>
      </c>
      <c r="P486" s="10">
        <v>0.46700000000000003</v>
      </c>
      <c r="Q486" s="10">
        <v>0</v>
      </c>
      <c r="R486" s="10">
        <v>2.65</v>
      </c>
      <c r="S486" s="10">
        <v>8.3300000000000008E-4</v>
      </c>
      <c r="T486" s="10" t="s">
        <v>49</v>
      </c>
      <c r="U486" s="10" t="s">
        <v>262</v>
      </c>
      <c r="V486" s="10" t="s">
        <v>162</v>
      </c>
      <c r="W486" s="10">
        <v>1</v>
      </c>
      <c r="X486" s="10">
        <v>1</v>
      </c>
      <c r="Y486" s="10">
        <v>1</v>
      </c>
      <c r="Z486" s="10" t="s">
        <v>262</v>
      </c>
      <c r="AA486" s="10">
        <v>0.90839999999999999</v>
      </c>
      <c r="AB486" s="10" t="s">
        <v>34</v>
      </c>
      <c r="AC486" s="10" t="s">
        <v>40</v>
      </c>
      <c r="AD486" s="10" t="s">
        <v>32</v>
      </c>
      <c r="AE486" s="10">
        <v>1.9520999999999999</v>
      </c>
      <c r="AF486" s="10" t="s">
        <v>342</v>
      </c>
      <c r="AG486" s="10">
        <v>2024</v>
      </c>
      <c r="AH486" s="10" t="s">
        <v>343</v>
      </c>
      <c r="AI486" s="2">
        <v>50</v>
      </c>
      <c r="AJ486" s="2">
        <v>2</v>
      </c>
      <c r="AK486" s="2" t="s">
        <v>34</v>
      </c>
    </row>
    <row r="487" spans="1:37" x14ac:dyDescent="0.3">
      <c r="A487" s="11">
        <v>1.5</v>
      </c>
      <c r="B487" s="11">
        <v>561.1</v>
      </c>
      <c r="C487" s="10" t="s">
        <v>33</v>
      </c>
      <c r="D487" s="10" t="s">
        <v>341</v>
      </c>
      <c r="E487" s="10" t="s">
        <v>170</v>
      </c>
      <c r="F487" s="10">
        <v>0.23</v>
      </c>
      <c r="G487" s="10">
        <v>0.36</v>
      </c>
      <c r="H487" s="10">
        <v>0.31900000000000001</v>
      </c>
      <c r="I487" s="10">
        <v>0.4</v>
      </c>
      <c r="J487" s="10">
        <v>1.74</v>
      </c>
      <c r="K487" s="10">
        <v>1.1100000000000001</v>
      </c>
      <c r="L487" s="10">
        <v>0</v>
      </c>
      <c r="M487" s="10">
        <v>45</v>
      </c>
      <c r="N487" s="10">
        <v>1632</v>
      </c>
      <c r="O487" s="10">
        <v>0.753</v>
      </c>
      <c r="P487" s="10">
        <v>0.46700000000000003</v>
      </c>
      <c r="Q487" s="10">
        <v>0</v>
      </c>
      <c r="R487" s="10">
        <v>2.65</v>
      </c>
      <c r="S487" s="10">
        <v>8.3300000000000008E-4</v>
      </c>
      <c r="T487" s="10" t="s">
        <v>49</v>
      </c>
      <c r="U487" s="10" t="s">
        <v>262</v>
      </c>
      <c r="V487" s="10" t="s">
        <v>162</v>
      </c>
      <c r="W487" s="10">
        <v>1</v>
      </c>
      <c r="X487" s="10">
        <v>1.5</v>
      </c>
      <c r="Y487" s="10">
        <v>1</v>
      </c>
      <c r="Z487" s="10" t="s">
        <v>262</v>
      </c>
      <c r="AA487" s="10">
        <v>1.3632</v>
      </c>
      <c r="AB487" s="10" t="s">
        <v>34</v>
      </c>
      <c r="AC487" s="10" t="s">
        <v>40</v>
      </c>
      <c r="AD487" s="10" t="s">
        <v>32</v>
      </c>
      <c r="AE487" s="10">
        <v>2.9521000000000002</v>
      </c>
      <c r="AF487" s="10" t="s">
        <v>342</v>
      </c>
      <c r="AG487" s="10">
        <v>2024</v>
      </c>
      <c r="AH487" s="10" t="s">
        <v>343</v>
      </c>
      <c r="AI487" s="2">
        <v>50</v>
      </c>
      <c r="AJ487" s="2">
        <v>2</v>
      </c>
      <c r="AK487" s="2" t="s">
        <v>34</v>
      </c>
    </row>
    <row r="488" spans="1:37" x14ac:dyDescent="0.3">
      <c r="A488" s="11">
        <v>2</v>
      </c>
      <c r="B488" s="11">
        <v>699.2</v>
      </c>
      <c r="C488" s="10" t="s">
        <v>33</v>
      </c>
      <c r="D488" s="10" t="s">
        <v>341</v>
      </c>
      <c r="E488" s="10" t="s">
        <v>170</v>
      </c>
      <c r="F488" s="10">
        <v>0.23</v>
      </c>
      <c r="G488" s="10">
        <v>0.36</v>
      </c>
      <c r="H488" s="10">
        <v>0.31900000000000001</v>
      </c>
      <c r="I488" s="10">
        <v>0.4</v>
      </c>
      <c r="J488" s="10">
        <v>1.74</v>
      </c>
      <c r="K488" s="10">
        <v>1.1100000000000001</v>
      </c>
      <c r="L488" s="10">
        <v>0</v>
      </c>
      <c r="M488" s="10">
        <v>45</v>
      </c>
      <c r="N488" s="10">
        <v>1632</v>
      </c>
      <c r="O488" s="10">
        <v>0.753</v>
      </c>
      <c r="P488" s="10">
        <v>0.46700000000000003</v>
      </c>
      <c r="Q488" s="10">
        <v>0</v>
      </c>
      <c r="R488" s="10">
        <v>2.65</v>
      </c>
      <c r="S488" s="10">
        <v>8.3300000000000008E-4</v>
      </c>
      <c r="T488" s="10" t="s">
        <v>49</v>
      </c>
      <c r="U488" s="10" t="s">
        <v>262</v>
      </c>
      <c r="V488" s="10" t="s">
        <v>162</v>
      </c>
      <c r="W488" s="10">
        <v>1</v>
      </c>
      <c r="X488" s="10">
        <v>2</v>
      </c>
      <c r="Y488" s="10">
        <v>1</v>
      </c>
      <c r="Z488" s="10" t="s">
        <v>262</v>
      </c>
      <c r="AA488" s="10">
        <v>1.8168</v>
      </c>
      <c r="AB488" s="10" t="s">
        <v>34</v>
      </c>
      <c r="AC488" s="10" t="s">
        <v>40</v>
      </c>
      <c r="AD488" s="10" t="s">
        <v>32</v>
      </c>
      <c r="AE488" s="10">
        <v>3.9521000000000002</v>
      </c>
      <c r="AF488" s="10" t="s">
        <v>342</v>
      </c>
      <c r="AG488" s="10">
        <v>2024</v>
      </c>
      <c r="AH488" s="10" t="s">
        <v>343</v>
      </c>
      <c r="AI488" s="2">
        <v>50</v>
      </c>
      <c r="AJ488" s="2">
        <v>2</v>
      </c>
      <c r="AK488" s="2" t="s">
        <v>34</v>
      </c>
    </row>
    <row r="489" spans="1:37" x14ac:dyDescent="0.3">
      <c r="A489" s="11">
        <v>2.5</v>
      </c>
      <c r="B489" s="11">
        <v>1071.7</v>
      </c>
      <c r="C489" s="10" t="s">
        <v>33</v>
      </c>
      <c r="D489" s="10" t="s">
        <v>341</v>
      </c>
      <c r="E489" s="10" t="s">
        <v>170</v>
      </c>
      <c r="F489" s="10">
        <v>0.23</v>
      </c>
      <c r="G489" s="10">
        <v>0.36</v>
      </c>
      <c r="H489" s="10">
        <v>0.31900000000000001</v>
      </c>
      <c r="I489" s="10">
        <v>0.4</v>
      </c>
      <c r="J489" s="10">
        <v>1.74</v>
      </c>
      <c r="K489" s="10">
        <v>1.1100000000000001</v>
      </c>
      <c r="L489" s="10">
        <v>0</v>
      </c>
      <c r="M489" s="10">
        <v>45</v>
      </c>
      <c r="N489" s="10">
        <v>1632</v>
      </c>
      <c r="O489" s="10">
        <v>0.753</v>
      </c>
      <c r="P489" s="10">
        <v>0.46700000000000003</v>
      </c>
      <c r="Q489" s="10">
        <v>0</v>
      </c>
      <c r="R489" s="10">
        <v>2.65</v>
      </c>
      <c r="S489" s="10">
        <v>8.3300000000000008E-4</v>
      </c>
      <c r="T489" s="10" t="s">
        <v>49</v>
      </c>
      <c r="U489" s="10" t="s">
        <v>262</v>
      </c>
      <c r="V489" s="10" t="s">
        <v>162</v>
      </c>
      <c r="W489" s="10">
        <v>1</v>
      </c>
      <c r="X489" s="10">
        <v>2.5</v>
      </c>
      <c r="Y489" s="10">
        <v>1</v>
      </c>
      <c r="Z489" s="10" t="s">
        <v>262</v>
      </c>
      <c r="AA489" s="10">
        <v>2.2709999999999999</v>
      </c>
      <c r="AB489" s="10" t="s">
        <v>34</v>
      </c>
      <c r="AC489" s="10" t="s">
        <v>40</v>
      </c>
      <c r="AD489" s="10" t="s">
        <v>32</v>
      </c>
      <c r="AE489" s="10">
        <v>4.9520999999999997</v>
      </c>
      <c r="AF489" s="10" t="s">
        <v>342</v>
      </c>
      <c r="AG489" s="10">
        <v>2024</v>
      </c>
      <c r="AH489" s="10" t="s">
        <v>343</v>
      </c>
      <c r="AI489" s="2">
        <v>50</v>
      </c>
      <c r="AJ489" s="2">
        <v>2</v>
      </c>
      <c r="AK489" s="2" t="s">
        <v>34</v>
      </c>
    </row>
    <row r="490" spans="1:37" s="15" customFormat="1" ht="16.2" thickBot="1" x14ac:dyDescent="0.35">
      <c r="A490" s="17">
        <v>3</v>
      </c>
      <c r="B490" s="17">
        <v>1823.7</v>
      </c>
      <c r="C490" s="14" t="s">
        <v>33</v>
      </c>
      <c r="D490" s="14" t="s">
        <v>341</v>
      </c>
      <c r="E490" s="14" t="s">
        <v>170</v>
      </c>
      <c r="F490" s="14">
        <v>0.23</v>
      </c>
      <c r="G490" s="14">
        <v>0.36</v>
      </c>
      <c r="H490" s="14">
        <v>0.31900000000000001</v>
      </c>
      <c r="I490" s="14">
        <v>0.4</v>
      </c>
      <c r="J490" s="14">
        <v>1.74</v>
      </c>
      <c r="K490" s="14">
        <v>1.1100000000000001</v>
      </c>
      <c r="L490" s="14">
        <v>0</v>
      </c>
      <c r="M490" s="14">
        <v>45</v>
      </c>
      <c r="N490" s="14">
        <v>1632</v>
      </c>
      <c r="O490" s="14">
        <v>0.753</v>
      </c>
      <c r="P490" s="14">
        <v>0.46700000000000003</v>
      </c>
      <c r="Q490" s="14">
        <v>0</v>
      </c>
      <c r="R490" s="14">
        <v>2.65</v>
      </c>
      <c r="S490" s="14">
        <v>8.3300000000000008E-4</v>
      </c>
      <c r="T490" s="14" t="s">
        <v>49</v>
      </c>
      <c r="U490" s="14" t="s">
        <v>262</v>
      </c>
      <c r="V490" s="14" t="s">
        <v>162</v>
      </c>
      <c r="W490" s="14">
        <v>1</v>
      </c>
      <c r="X490" s="14">
        <v>3</v>
      </c>
      <c r="Y490" s="14">
        <v>1</v>
      </c>
      <c r="Z490" s="14" t="s">
        <v>262</v>
      </c>
      <c r="AA490" s="14">
        <v>2.7252000000000001</v>
      </c>
      <c r="AB490" s="14" t="s">
        <v>34</v>
      </c>
      <c r="AC490" s="14" t="s">
        <v>40</v>
      </c>
      <c r="AD490" s="14" t="s">
        <v>32</v>
      </c>
      <c r="AE490" s="14">
        <v>5.9520999999999997</v>
      </c>
      <c r="AF490" s="14" t="s">
        <v>342</v>
      </c>
      <c r="AG490" s="14">
        <v>2024</v>
      </c>
      <c r="AH490" s="14" t="s">
        <v>343</v>
      </c>
      <c r="AI490" s="61">
        <v>50</v>
      </c>
      <c r="AJ490" s="15">
        <v>2</v>
      </c>
      <c r="AK490" s="15" t="s">
        <v>34</v>
      </c>
    </row>
    <row r="491" spans="1:37" x14ac:dyDescent="0.3">
      <c r="A491" s="12">
        <v>1E-4</v>
      </c>
      <c r="B491" s="12">
        <v>170</v>
      </c>
      <c r="C491" s="13" t="s">
        <v>344</v>
      </c>
      <c r="D491" s="13" t="s">
        <v>345</v>
      </c>
      <c r="E491" s="13" t="s">
        <v>34</v>
      </c>
      <c r="F491" s="13">
        <v>2.5000000000000001E-3</v>
      </c>
      <c r="G491" s="13">
        <v>8.9999999999999993E-3</v>
      </c>
      <c r="H491" s="13">
        <v>8.0000000000000002E-3</v>
      </c>
      <c r="I491" s="13">
        <v>0.03</v>
      </c>
      <c r="J491" s="13">
        <v>12</v>
      </c>
      <c r="K491" s="13">
        <v>0.85</v>
      </c>
      <c r="L491" s="13">
        <v>91</v>
      </c>
      <c r="M491" s="13" t="s">
        <v>34</v>
      </c>
      <c r="N491" s="13" t="s">
        <v>34</v>
      </c>
      <c r="O491" s="13" t="s">
        <v>34</v>
      </c>
      <c r="P491" s="13" t="s">
        <v>34</v>
      </c>
      <c r="Q491" s="13" t="s">
        <v>34</v>
      </c>
      <c r="R491" s="13">
        <v>2.77</v>
      </c>
      <c r="S491" s="13">
        <v>1.5499999999999998E-11</v>
      </c>
      <c r="T491" s="13" t="s">
        <v>49</v>
      </c>
      <c r="U491" s="13" t="s">
        <v>339</v>
      </c>
      <c r="V491" s="13" t="s">
        <v>207</v>
      </c>
      <c r="W491" s="13" t="s">
        <v>34</v>
      </c>
      <c r="X491" s="13">
        <v>0</v>
      </c>
      <c r="Y491" s="13">
        <v>1</v>
      </c>
      <c r="Z491" s="13" t="s">
        <v>339</v>
      </c>
      <c r="AA491" s="13">
        <v>0.9</v>
      </c>
      <c r="AB491" s="13" t="s">
        <v>34</v>
      </c>
      <c r="AC491" s="13" t="s">
        <v>40</v>
      </c>
      <c r="AD491" s="13" t="s">
        <v>32</v>
      </c>
      <c r="AE491" s="13">
        <v>0.99180000000000001</v>
      </c>
      <c r="AF491" s="13" t="s">
        <v>346</v>
      </c>
      <c r="AG491" s="13">
        <v>2025</v>
      </c>
      <c r="AH491" s="13" t="s">
        <v>347</v>
      </c>
      <c r="AI491" s="2">
        <v>38</v>
      </c>
      <c r="AJ491" s="2">
        <v>2</v>
      </c>
      <c r="AK491" s="2">
        <v>1.3149999999999999</v>
      </c>
    </row>
    <row r="492" spans="1:37" x14ac:dyDescent="0.3">
      <c r="A492" s="11">
        <v>4.0999999999999996</v>
      </c>
      <c r="B492" s="11">
        <v>192</v>
      </c>
      <c r="C492" s="10" t="s">
        <v>344</v>
      </c>
      <c r="D492" s="10" t="s">
        <v>345</v>
      </c>
      <c r="E492" s="10" t="s">
        <v>34</v>
      </c>
      <c r="F492" s="10">
        <v>2.5000000000000001E-3</v>
      </c>
      <c r="G492" s="10">
        <v>8.9999999999999993E-3</v>
      </c>
      <c r="H492" s="10">
        <v>8.0000000000000002E-3</v>
      </c>
      <c r="I492" s="10">
        <v>0.03</v>
      </c>
      <c r="J492" s="10">
        <v>12</v>
      </c>
      <c r="K492" s="10">
        <v>0.85</v>
      </c>
      <c r="L492" s="10">
        <v>91</v>
      </c>
      <c r="M492" s="10" t="s">
        <v>34</v>
      </c>
      <c r="N492" s="10" t="s">
        <v>34</v>
      </c>
      <c r="O492" s="10" t="s">
        <v>34</v>
      </c>
      <c r="P492" s="10" t="s">
        <v>34</v>
      </c>
      <c r="Q492" s="10" t="s">
        <v>34</v>
      </c>
      <c r="R492" s="10">
        <v>2.77</v>
      </c>
      <c r="S492" s="10">
        <v>1.5499999999999998E-11</v>
      </c>
      <c r="T492" s="10" t="s">
        <v>49</v>
      </c>
      <c r="U492" s="10" t="s">
        <v>339</v>
      </c>
      <c r="V492" s="10" t="s">
        <v>207</v>
      </c>
      <c r="W492" s="10" t="s">
        <v>34</v>
      </c>
      <c r="X492" s="10">
        <v>0.5</v>
      </c>
      <c r="Y492" s="10">
        <v>1</v>
      </c>
      <c r="Z492" s="10" t="s">
        <v>339</v>
      </c>
      <c r="AA492" s="10">
        <v>0.9</v>
      </c>
      <c r="AB492" s="10" t="s">
        <v>34</v>
      </c>
      <c r="AC492" s="10" t="s">
        <v>40</v>
      </c>
      <c r="AD492" s="10" t="s">
        <v>32</v>
      </c>
      <c r="AE492" s="10">
        <v>1.9918</v>
      </c>
      <c r="AF492" s="10" t="s">
        <v>346</v>
      </c>
      <c r="AG492" s="13">
        <v>2025</v>
      </c>
      <c r="AH492" s="10" t="s">
        <v>347</v>
      </c>
      <c r="AI492" s="2">
        <v>38</v>
      </c>
      <c r="AJ492" s="2">
        <v>2</v>
      </c>
      <c r="AK492" s="2">
        <v>1.3149999999999999</v>
      </c>
    </row>
    <row r="493" spans="1:37" x14ac:dyDescent="0.3">
      <c r="A493" s="11">
        <v>5.19</v>
      </c>
      <c r="B493" s="11">
        <v>193.97</v>
      </c>
      <c r="C493" s="10" t="s">
        <v>344</v>
      </c>
      <c r="D493" s="10" t="s">
        <v>345</v>
      </c>
      <c r="E493" s="10" t="s">
        <v>34</v>
      </c>
      <c r="F493" s="10">
        <v>2.5000000000000001E-3</v>
      </c>
      <c r="G493" s="10">
        <v>8.9999999999999993E-3</v>
      </c>
      <c r="H493" s="10">
        <v>8.0000000000000002E-3</v>
      </c>
      <c r="I493" s="10">
        <v>0.03</v>
      </c>
      <c r="J493" s="10">
        <v>12</v>
      </c>
      <c r="K493" s="10">
        <v>0.85</v>
      </c>
      <c r="L493" s="10">
        <v>91</v>
      </c>
      <c r="M493" s="10" t="s">
        <v>34</v>
      </c>
      <c r="N493" s="10" t="s">
        <v>34</v>
      </c>
      <c r="O493" s="10" t="s">
        <v>34</v>
      </c>
      <c r="P493" s="10" t="s">
        <v>34</v>
      </c>
      <c r="Q493" s="10" t="s">
        <v>34</v>
      </c>
      <c r="R493" s="10">
        <v>2.77</v>
      </c>
      <c r="S493" s="10">
        <v>1.5499999999999998E-11</v>
      </c>
      <c r="T493" s="10" t="s">
        <v>49</v>
      </c>
      <c r="U493" s="10" t="s">
        <v>339</v>
      </c>
      <c r="V493" s="10" t="s">
        <v>207</v>
      </c>
      <c r="W493" s="10" t="s">
        <v>34</v>
      </c>
      <c r="X493" s="10">
        <v>0.75</v>
      </c>
      <c r="Y493" s="10">
        <v>1</v>
      </c>
      <c r="Z493" s="10" t="s">
        <v>339</v>
      </c>
      <c r="AA493" s="10">
        <v>0.9</v>
      </c>
      <c r="AB493" s="10" t="s">
        <v>34</v>
      </c>
      <c r="AC493" s="10" t="s">
        <v>40</v>
      </c>
      <c r="AD493" s="10" t="s">
        <v>32</v>
      </c>
      <c r="AE493" s="10">
        <v>2.9918</v>
      </c>
      <c r="AF493" s="10" t="s">
        <v>346</v>
      </c>
      <c r="AG493" s="13">
        <v>2025</v>
      </c>
      <c r="AH493" s="10" t="s">
        <v>347</v>
      </c>
      <c r="AI493" s="2">
        <v>38</v>
      </c>
      <c r="AJ493" s="2">
        <v>2</v>
      </c>
      <c r="AK493" s="2">
        <v>1.3149999999999999</v>
      </c>
    </row>
    <row r="494" spans="1:37" x14ac:dyDescent="0.3">
      <c r="A494" s="11">
        <v>5.69</v>
      </c>
      <c r="B494" s="11">
        <v>195</v>
      </c>
      <c r="C494" s="10" t="s">
        <v>344</v>
      </c>
      <c r="D494" s="10" t="s">
        <v>345</v>
      </c>
      <c r="E494" s="10" t="s">
        <v>34</v>
      </c>
      <c r="F494" s="10">
        <v>2.5000000000000001E-3</v>
      </c>
      <c r="G494" s="10">
        <v>8.9999999999999993E-3</v>
      </c>
      <c r="H494" s="10">
        <v>8.0000000000000002E-3</v>
      </c>
      <c r="I494" s="10">
        <v>0.03</v>
      </c>
      <c r="J494" s="10">
        <v>12</v>
      </c>
      <c r="K494" s="10">
        <v>0.85</v>
      </c>
      <c r="L494" s="10">
        <v>91</v>
      </c>
      <c r="M494" s="10" t="s">
        <v>34</v>
      </c>
      <c r="N494" s="10" t="s">
        <v>34</v>
      </c>
      <c r="O494" s="10" t="s">
        <v>34</v>
      </c>
      <c r="P494" s="10" t="s">
        <v>34</v>
      </c>
      <c r="Q494" s="10" t="s">
        <v>34</v>
      </c>
      <c r="R494" s="10">
        <v>2.77</v>
      </c>
      <c r="S494" s="10">
        <v>1.5499999999999998E-11</v>
      </c>
      <c r="T494" s="10" t="s">
        <v>49</v>
      </c>
      <c r="U494" s="10" t="s">
        <v>339</v>
      </c>
      <c r="V494" s="10" t="s">
        <v>207</v>
      </c>
      <c r="W494" s="10" t="s">
        <v>34</v>
      </c>
      <c r="X494" s="10">
        <v>1</v>
      </c>
      <c r="Y494" s="10">
        <v>1</v>
      </c>
      <c r="Z494" s="10" t="s">
        <v>339</v>
      </c>
      <c r="AA494" s="10">
        <v>0.9</v>
      </c>
      <c r="AB494" s="10" t="s">
        <v>34</v>
      </c>
      <c r="AC494" s="10" t="s">
        <v>40</v>
      </c>
      <c r="AD494" s="10" t="s">
        <v>32</v>
      </c>
      <c r="AE494" s="10">
        <v>3.9918</v>
      </c>
      <c r="AF494" s="10" t="s">
        <v>346</v>
      </c>
      <c r="AG494" s="13">
        <v>2025</v>
      </c>
      <c r="AH494" s="10" t="s">
        <v>347</v>
      </c>
      <c r="AI494" s="57">
        <v>38</v>
      </c>
      <c r="AJ494" s="2">
        <v>2</v>
      </c>
      <c r="AK494" s="2">
        <v>1.3149999999999999</v>
      </c>
    </row>
    <row r="495" spans="1:37" s="15" customFormat="1" ht="16.2" thickBot="1" x14ac:dyDescent="0.35">
      <c r="A495" s="17">
        <v>6.1</v>
      </c>
      <c r="B495" s="17">
        <v>195.5</v>
      </c>
      <c r="C495" s="14" t="s">
        <v>344</v>
      </c>
      <c r="D495" s="14" t="s">
        <v>345</v>
      </c>
      <c r="E495" s="14" t="s">
        <v>34</v>
      </c>
      <c r="F495" s="14">
        <v>2.5000000000000001E-3</v>
      </c>
      <c r="G495" s="14">
        <v>8.9999999999999993E-3</v>
      </c>
      <c r="H495" s="14">
        <v>8.0000000000000002E-3</v>
      </c>
      <c r="I495" s="14">
        <v>0.03</v>
      </c>
      <c r="J495" s="14">
        <v>12</v>
      </c>
      <c r="K495" s="14">
        <v>0.85</v>
      </c>
      <c r="L495" s="14">
        <v>91</v>
      </c>
      <c r="M495" s="14" t="s">
        <v>34</v>
      </c>
      <c r="N495" s="14" t="s">
        <v>34</v>
      </c>
      <c r="O495" s="14" t="s">
        <v>34</v>
      </c>
      <c r="P495" s="14" t="s">
        <v>34</v>
      </c>
      <c r="Q495" s="14" t="s">
        <v>34</v>
      </c>
      <c r="R495" s="14">
        <v>2.77</v>
      </c>
      <c r="S495" s="14">
        <v>1.5499999999999998E-11</v>
      </c>
      <c r="T495" s="14" t="s">
        <v>49</v>
      </c>
      <c r="U495" s="14" t="s">
        <v>339</v>
      </c>
      <c r="V495" s="14" t="s">
        <v>207</v>
      </c>
      <c r="W495" s="14" t="s">
        <v>34</v>
      </c>
      <c r="X495" s="14">
        <v>1.5</v>
      </c>
      <c r="Y495" s="14">
        <v>1</v>
      </c>
      <c r="Z495" s="14" t="s">
        <v>339</v>
      </c>
      <c r="AA495" s="14">
        <v>0.9</v>
      </c>
      <c r="AB495" s="14" t="s">
        <v>34</v>
      </c>
      <c r="AC495" s="14" t="s">
        <v>40</v>
      </c>
      <c r="AD495" s="14" t="s">
        <v>32</v>
      </c>
      <c r="AE495" s="14">
        <v>4.9917999999999996</v>
      </c>
      <c r="AF495" s="14" t="s">
        <v>346</v>
      </c>
      <c r="AG495" s="14">
        <v>2025</v>
      </c>
      <c r="AH495" s="14" t="s">
        <v>347</v>
      </c>
      <c r="AI495" s="61">
        <v>38</v>
      </c>
      <c r="AJ495" s="15">
        <v>2</v>
      </c>
      <c r="AK495" s="15">
        <v>1.3149999999999999</v>
      </c>
    </row>
    <row r="496" spans="1:37" x14ac:dyDescent="0.3">
      <c r="A496" s="12">
        <v>1.4271653543306999</v>
      </c>
      <c r="B496" s="12">
        <v>127.854330708661</v>
      </c>
      <c r="C496" s="13" t="s">
        <v>33</v>
      </c>
      <c r="D496" s="13" t="s">
        <v>348</v>
      </c>
      <c r="E496" s="13" t="s">
        <v>34</v>
      </c>
      <c r="F496" s="13">
        <v>0.123</v>
      </c>
      <c r="G496" s="13">
        <v>0.16700000000000001</v>
      </c>
      <c r="H496" s="13">
        <v>0.15</v>
      </c>
      <c r="I496" s="13">
        <v>0.17499999999999999</v>
      </c>
      <c r="J496" s="13">
        <v>1.73</v>
      </c>
      <c r="K496" s="13">
        <v>1.04</v>
      </c>
      <c r="L496" s="13">
        <v>0</v>
      </c>
      <c r="M496" s="13">
        <v>45</v>
      </c>
      <c r="N496" s="13">
        <v>1554.15</v>
      </c>
      <c r="O496" s="13">
        <v>0.84699999999999998</v>
      </c>
      <c r="P496" s="13">
        <v>0.54600000000000004</v>
      </c>
      <c r="Q496" s="13">
        <v>0</v>
      </c>
      <c r="R496" s="13">
        <v>2.66</v>
      </c>
      <c r="S496" s="13" t="s">
        <v>34</v>
      </c>
      <c r="T496" s="13" t="s">
        <v>49</v>
      </c>
      <c r="U496" s="13" t="s">
        <v>339</v>
      </c>
      <c r="V496" s="13" t="s">
        <v>162</v>
      </c>
      <c r="W496" s="13">
        <v>1</v>
      </c>
      <c r="X496" s="13">
        <v>0.6</v>
      </c>
      <c r="Y496" s="13">
        <v>1</v>
      </c>
      <c r="Z496" s="13" t="s">
        <v>339</v>
      </c>
      <c r="AA496" s="13">
        <v>0.33179999999999998</v>
      </c>
      <c r="AB496" s="13" t="s">
        <v>34</v>
      </c>
      <c r="AC496" s="13" t="s">
        <v>40</v>
      </c>
      <c r="AD496" s="13" t="s">
        <v>32</v>
      </c>
      <c r="AE496" s="13">
        <v>0.98870000000000002</v>
      </c>
      <c r="AF496" s="13" t="s">
        <v>342</v>
      </c>
      <c r="AG496" s="13">
        <v>2023</v>
      </c>
      <c r="AH496" s="13" t="s">
        <v>349</v>
      </c>
      <c r="AI496" s="2">
        <v>50</v>
      </c>
      <c r="AJ496" s="63">
        <v>1.75</v>
      </c>
      <c r="AK496" s="2">
        <v>1.45</v>
      </c>
    </row>
    <row r="497" spans="1:37" x14ac:dyDescent="0.3">
      <c r="A497" s="11">
        <v>1.7962598425196801</v>
      </c>
      <c r="B497" s="11">
        <v>183.07086614173201</v>
      </c>
      <c r="C497" s="10" t="s">
        <v>33</v>
      </c>
      <c r="D497" s="10" t="s">
        <v>348</v>
      </c>
      <c r="E497" s="10" t="s">
        <v>34</v>
      </c>
      <c r="F497" s="10">
        <v>0.123</v>
      </c>
      <c r="G497" s="10">
        <v>0.16700000000000001</v>
      </c>
      <c r="H497" s="10">
        <v>0.15</v>
      </c>
      <c r="I497" s="10">
        <v>0.17499999999999999</v>
      </c>
      <c r="J497" s="10">
        <v>1.73</v>
      </c>
      <c r="K497" s="10">
        <v>1.04</v>
      </c>
      <c r="L497" s="10">
        <v>0</v>
      </c>
      <c r="M497" s="10">
        <v>45</v>
      </c>
      <c r="N497" s="10">
        <v>1554.15</v>
      </c>
      <c r="O497" s="10">
        <v>0.84699999999999998</v>
      </c>
      <c r="P497" s="10">
        <v>0.54600000000000004</v>
      </c>
      <c r="Q497" s="10">
        <v>0</v>
      </c>
      <c r="R497" s="10">
        <v>2.66</v>
      </c>
      <c r="S497" s="10" t="s">
        <v>34</v>
      </c>
      <c r="T497" s="10" t="s">
        <v>49</v>
      </c>
      <c r="U497" s="10" t="s">
        <v>339</v>
      </c>
      <c r="V497" s="10" t="s">
        <v>162</v>
      </c>
      <c r="W497" s="10">
        <v>1</v>
      </c>
      <c r="X497" s="10">
        <v>1</v>
      </c>
      <c r="Y497" s="10">
        <v>1</v>
      </c>
      <c r="Z497" s="10" t="s">
        <v>339</v>
      </c>
      <c r="AA497" s="10">
        <v>0.33179999999999998</v>
      </c>
      <c r="AB497" s="10" t="s">
        <v>34</v>
      </c>
      <c r="AC497" s="10" t="s">
        <v>40</v>
      </c>
      <c r="AD497" s="10" t="s">
        <v>32</v>
      </c>
      <c r="AE497" s="10">
        <v>1.9886999999999999</v>
      </c>
      <c r="AF497" s="10" t="s">
        <v>342</v>
      </c>
      <c r="AG497" s="10">
        <v>2023</v>
      </c>
      <c r="AH497" s="10" t="s">
        <v>349</v>
      </c>
      <c r="AI497" s="2">
        <v>50</v>
      </c>
      <c r="AJ497" s="63">
        <v>1.75</v>
      </c>
      <c r="AK497" s="2">
        <v>1.45</v>
      </c>
    </row>
    <row r="498" spans="1:37" s="15" customFormat="1" ht="16.2" thickBot="1" x14ac:dyDescent="0.35">
      <c r="A498" s="17">
        <v>1.8700787401574701</v>
      </c>
      <c r="B498" s="17">
        <v>186.909448818897</v>
      </c>
      <c r="C498" s="14" t="s">
        <v>33</v>
      </c>
      <c r="D498" s="14" t="s">
        <v>348</v>
      </c>
      <c r="E498" s="14" t="s">
        <v>34</v>
      </c>
      <c r="F498" s="14">
        <v>0.123</v>
      </c>
      <c r="G498" s="14">
        <v>0.16700000000000001</v>
      </c>
      <c r="H498" s="14">
        <v>0.15</v>
      </c>
      <c r="I498" s="14">
        <v>0.17499999999999999</v>
      </c>
      <c r="J498" s="14">
        <v>1.73</v>
      </c>
      <c r="K498" s="14">
        <v>1.04</v>
      </c>
      <c r="L498" s="14">
        <v>0</v>
      </c>
      <c r="M498" s="14">
        <v>45</v>
      </c>
      <c r="N498" s="14">
        <v>1554.15</v>
      </c>
      <c r="O498" s="14">
        <v>0.84699999999999998</v>
      </c>
      <c r="P498" s="14">
        <v>0.54600000000000004</v>
      </c>
      <c r="Q498" s="14">
        <v>0</v>
      </c>
      <c r="R498" s="14">
        <v>2.66</v>
      </c>
      <c r="S498" s="14" t="s">
        <v>34</v>
      </c>
      <c r="T498" s="14" t="s">
        <v>49</v>
      </c>
      <c r="U498" s="14" t="s">
        <v>339</v>
      </c>
      <c r="V498" s="14" t="s">
        <v>162</v>
      </c>
      <c r="W498" s="14">
        <v>1</v>
      </c>
      <c r="X498" s="14">
        <v>1.4</v>
      </c>
      <c r="Y498" s="14">
        <v>1</v>
      </c>
      <c r="Z498" s="14" t="s">
        <v>339</v>
      </c>
      <c r="AA498" s="14">
        <v>0.33179999999999998</v>
      </c>
      <c r="AB498" s="14" t="s">
        <v>34</v>
      </c>
      <c r="AC498" s="14" t="s">
        <v>40</v>
      </c>
      <c r="AD498" s="14" t="s">
        <v>32</v>
      </c>
      <c r="AE498" s="14">
        <v>2.9887000000000001</v>
      </c>
      <c r="AF498" s="14" t="s">
        <v>342</v>
      </c>
      <c r="AG498" s="14">
        <v>2023</v>
      </c>
      <c r="AH498" s="14" t="s">
        <v>349</v>
      </c>
      <c r="AI498" s="61">
        <v>50</v>
      </c>
      <c r="AJ498" s="64">
        <v>1.75</v>
      </c>
      <c r="AK498" s="15">
        <v>1.45</v>
      </c>
    </row>
    <row r="499" spans="1:37" x14ac:dyDescent="0.3">
      <c r="A499" s="12">
        <v>4.26</v>
      </c>
      <c r="B499" s="12">
        <v>679.287853857193</v>
      </c>
      <c r="C499" s="13" t="s">
        <v>255</v>
      </c>
      <c r="D499" s="13" t="s">
        <v>381</v>
      </c>
      <c r="E499" s="13" t="s">
        <v>382</v>
      </c>
      <c r="F499" s="13" t="s">
        <v>34</v>
      </c>
      <c r="G499" s="13">
        <v>0.11</v>
      </c>
      <c r="H499" s="13" t="s">
        <v>34</v>
      </c>
      <c r="I499" s="13" t="s">
        <v>34</v>
      </c>
      <c r="J499" s="13">
        <v>6</v>
      </c>
      <c r="K499" s="13">
        <v>2</v>
      </c>
      <c r="L499" s="13">
        <v>29.73</v>
      </c>
      <c r="M499" s="13"/>
      <c r="N499" s="13"/>
      <c r="O499" s="13">
        <v>0.93</v>
      </c>
      <c r="P499" s="13">
        <v>0.67</v>
      </c>
      <c r="Q499" s="13">
        <v>0</v>
      </c>
      <c r="R499" s="13">
        <v>2.68</v>
      </c>
      <c r="S499" s="13" t="s">
        <v>34</v>
      </c>
      <c r="T499" s="13" t="s">
        <v>36</v>
      </c>
      <c r="U499" s="13" t="s">
        <v>383</v>
      </c>
      <c r="V499" s="13" t="s">
        <v>38</v>
      </c>
      <c r="W499" s="13">
        <v>10</v>
      </c>
      <c r="X499" s="13">
        <v>0.35</v>
      </c>
      <c r="Y499" s="13">
        <v>1.4</v>
      </c>
      <c r="Z499" s="13" t="s">
        <v>34</v>
      </c>
      <c r="AA499" s="13" t="s">
        <v>34</v>
      </c>
      <c r="AB499" s="13" t="s">
        <v>34</v>
      </c>
      <c r="AC499" s="13" t="s">
        <v>34</v>
      </c>
      <c r="AD499" s="13" t="s">
        <v>277</v>
      </c>
      <c r="AE499" s="13">
        <v>1.6E-2</v>
      </c>
      <c r="AF499" s="13" t="s">
        <v>384</v>
      </c>
      <c r="AG499" s="13">
        <v>2025</v>
      </c>
      <c r="AH499" s="13" t="s">
        <v>385</v>
      </c>
      <c r="AI499" s="2">
        <v>76.2</v>
      </c>
      <c r="AJ499" s="2">
        <v>2</v>
      </c>
      <c r="AK499" s="2">
        <v>1</v>
      </c>
    </row>
    <row r="500" spans="1:37" x14ac:dyDescent="0.3">
      <c r="A500" s="11">
        <v>5.1999999999999966</v>
      </c>
      <c r="B500" s="11">
        <v>577.49906835680997</v>
      </c>
      <c r="C500" s="10" t="s">
        <v>255</v>
      </c>
      <c r="D500" s="10" t="s">
        <v>381</v>
      </c>
      <c r="E500" s="10" t="s">
        <v>382</v>
      </c>
      <c r="F500" s="10" t="s">
        <v>34</v>
      </c>
      <c r="G500" s="10">
        <v>0.11</v>
      </c>
      <c r="H500" s="10" t="s">
        <v>34</v>
      </c>
      <c r="I500" s="10" t="s">
        <v>34</v>
      </c>
      <c r="J500" s="10">
        <v>6</v>
      </c>
      <c r="K500" s="10">
        <v>2</v>
      </c>
      <c r="L500" s="10">
        <v>29.73</v>
      </c>
      <c r="O500" s="10">
        <v>0.93</v>
      </c>
      <c r="P500" s="10">
        <v>0.67</v>
      </c>
      <c r="Q500" s="10">
        <v>0</v>
      </c>
      <c r="R500" s="10">
        <v>2.68</v>
      </c>
      <c r="S500" s="10" t="s">
        <v>34</v>
      </c>
      <c r="T500" s="10" t="s">
        <v>36</v>
      </c>
      <c r="U500" s="10" t="s">
        <v>383</v>
      </c>
      <c r="V500" s="10" t="s">
        <v>38</v>
      </c>
      <c r="W500" s="10">
        <v>10</v>
      </c>
      <c r="X500" s="10">
        <v>0.35</v>
      </c>
      <c r="Y500" s="10">
        <v>1.4</v>
      </c>
      <c r="Z500" s="10" t="s">
        <v>34</v>
      </c>
      <c r="AA500" s="10" t="s">
        <v>34</v>
      </c>
      <c r="AB500" s="10" t="s">
        <v>34</v>
      </c>
      <c r="AC500" s="10" t="s">
        <v>34</v>
      </c>
      <c r="AD500" s="10" t="s">
        <v>277</v>
      </c>
      <c r="AE500" s="10">
        <v>1.6E-2</v>
      </c>
      <c r="AF500" s="10" t="s">
        <v>384</v>
      </c>
      <c r="AG500" s="10">
        <v>2025</v>
      </c>
      <c r="AH500" s="10" t="s">
        <v>385</v>
      </c>
      <c r="AI500" s="2">
        <v>76.2</v>
      </c>
      <c r="AJ500" s="2">
        <v>2</v>
      </c>
      <c r="AK500" s="2">
        <v>1</v>
      </c>
    </row>
    <row r="501" spans="1:37" s="15" customFormat="1" ht="16.2" thickBot="1" x14ac:dyDescent="0.35">
      <c r="A501" s="17">
        <v>4.2851485148514801</v>
      </c>
      <c r="B501" s="17">
        <v>402.485807121101</v>
      </c>
      <c r="C501" s="14" t="s">
        <v>255</v>
      </c>
      <c r="D501" s="14" t="s">
        <v>381</v>
      </c>
      <c r="E501" s="14" t="s">
        <v>382</v>
      </c>
      <c r="F501" s="14" t="s">
        <v>34</v>
      </c>
      <c r="G501" s="14">
        <v>0.11</v>
      </c>
      <c r="H501" s="14" t="s">
        <v>34</v>
      </c>
      <c r="I501" s="14" t="s">
        <v>34</v>
      </c>
      <c r="J501" s="14">
        <v>6</v>
      </c>
      <c r="K501" s="14">
        <v>2</v>
      </c>
      <c r="L501" s="14">
        <v>29.73</v>
      </c>
      <c r="M501" s="14"/>
      <c r="N501" s="14"/>
      <c r="O501" s="14">
        <v>0.93</v>
      </c>
      <c r="P501" s="14">
        <v>0.67</v>
      </c>
      <c r="Q501" s="14">
        <v>0</v>
      </c>
      <c r="R501" s="14">
        <v>2.68</v>
      </c>
      <c r="S501" s="14" t="s">
        <v>34</v>
      </c>
      <c r="T501" s="14" t="s">
        <v>36</v>
      </c>
      <c r="U501" s="14" t="s">
        <v>383</v>
      </c>
      <c r="V501" s="14" t="s">
        <v>38</v>
      </c>
      <c r="W501" s="14">
        <v>10</v>
      </c>
      <c r="X501" s="14">
        <v>0.25</v>
      </c>
      <c r="Y501" s="14">
        <v>1</v>
      </c>
      <c r="Z501" s="14" t="s">
        <v>34</v>
      </c>
      <c r="AA501" s="14" t="s">
        <v>34</v>
      </c>
      <c r="AB501" s="14" t="s">
        <v>34</v>
      </c>
      <c r="AC501" s="14" t="s">
        <v>34</v>
      </c>
      <c r="AD501" s="14" t="s">
        <v>277</v>
      </c>
      <c r="AE501" s="14">
        <v>1.6E-2</v>
      </c>
      <c r="AF501" s="14" t="s">
        <v>384</v>
      </c>
      <c r="AG501" s="14">
        <v>2025</v>
      </c>
      <c r="AH501" s="14" t="s">
        <v>385</v>
      </c>
      <c r="AI501" s="15">
        <v>76.2</v>
      </c>
      <c r="AJ501" s="15">
        <v>2</v>
      </c>
      <c r="AK501" s="15">
        <v>1</v>
      </c>
    </row>
    <row r="502" spans="1:37" x14ac:dyDescent="0.3">
      <c r="A502" s="65">
        <v>15.226793770897515</v>
      </c>
      <c r="B502" s="65">
        <v>211.83206106870099</v>
      </c>
      <c r="C502" s="66" t="s">
        <v>33</v>
      </c>
      <c r="D502" s="66" t="s">
        <v>386</v>
      </c>
      <c r="E502" s="66" t="s">
        <v>387</v>
      </c>
      <c r="F502" s="66">
        <v>0.13800000000000001</v>
      </c>
      <c r="G502" s="66">
        <v>0.30199999999999999</v>
      </c>
      <c r="H502" s="66">
        <v>0.215</v>
      </c>
      <c r="I502" s="66">
        <v>0.34399999999999997</v>
      </c>
      <c r="J502" s="66">
        <v>2.1800000000000002</v>
      </c>
      <c r="K502" s="66">
        <v>0.92</v>
      </c>
      <c r="L502" s="66">
        <v>0</v>
      </c>
      <c r="M502" s="66">
        <v>40</v>
      </c>
      <c r="N502" s="66">
        <v>1075.05</v>
      </c>
      <c r="O502" s="66">
        <v>1.75</v>
      </c>
      <c r="P502" s="66">
        <v>1.27</v>
      </c>
      <c r="Q502" s="66">
        <v>0</v>
      </c>
      <c r="R502" s="66">
        <v>2.75</v>
      </c>
      <c r="S502" s="66">
        <v>4.4500000000000003E-4</v>
      </c>
      <c r="T502" s="66" t="s">
        <v>36</v>
      </c>
      <c r="U502" s="66" t="s">
        <v>388</v>
      </c>
      <c r="V502" s="66" t="s">
        <v>38</v>
      </c>
      <c r="W502" s="66">
        <v>3</v>
      </c>
      <c r="X502" s="66">
        <v>1</v>
      </c>
      <c r="Y502" s="66">
        <v>1</v>
      </c>
      <c r="Z502" s="66" t="s">
        <v>33</v>
      </c>
      <c r="AA502" s="66">
        <v>9.6000000000000002E-2</v>
      </c>
      <c r="AB502" s="66" t="s">
        <v>34</v>
      </c>
      <c r="AC502" s="66" t="s">
        <v>40</v>
      </c>
      <c r="AD502" s="66" t="s">
        <v>277</v>
      </c>
      <c r="AE502" s="66">
        <v>0.96779999999999999</v>
      </c>
      <c r="AF502" s="66" t="s">
        <v>342</v>
      </c>
      <c r="AG502" s="13">
        <v>2017</v>
      </c>
      <c r="AH502" s="66" t="s">
        <v>389</v>
      </c>
      <c r="AI502" s="67">
        <v>40</v>
      </c>
      <c r="AJ502" s="67">
        <v>2</v>
      </c>
      <c r="AK502" s="67">
        <v>1.25</v>
      </c>
    </row>
    <row r="503" spans="1:37" x14ac:dyDescent="0.3">
      <c r="A503" s="11">
        <v>21.396037787715557</v>
      </c>
      <c r="B503" s="11">
        <v>563.931297709923</v>
      </c>
      <c r="C503" s="10" t="s">
        <v>33</v>
      </c>
      <c r="D503" s="10" t="s">
        <v>386</v>
      </c>
      <c r="E503" s="10" t="s">
        <v>387</v>
      </c>
      <c r="F503" s="10">
        <v>0.13800000000000001</v>
      </c>
      <c r="G503" s="10">
        <v>0.30199999999999999</v>
      </c>
      <c r="H503" s="10">
        <v>0.215</v>
      </c>
      <c r="I503" s="10">
        <v>0.34399999999999997</v>
      </c>
      <c r="J503" s="10">
        <v>2.1800000000000002</v>
      </c>
      <c r="K503" s="10">
        <v>0.92</v>
      </c>
      <c r="L503" s="10">
        <v>0</v>
      </c>
      <c r="M503" s="10">
        <v>40</v>
      </c>
      <c r="N503" s="10">
        <v>1075.05</v>
      </c>
      <c r="O503" s="10">
        <v>1.75</v>
      </c>
      <c r="P503" s="10">
        <v>1.27</v>
      </c>
      <c r="Q503" s="10">
        <v>0</v>
      </c>
      <c r="R503" s="10">
        <v>2.75</v>
      </c>
      <c r="S503" s="10">
        <v>4.4500000000000003E-4</v>
      </c>
      <c r="T503" s="10" t="s">
        <v>36</v>
      </c>
      <c r="U503" s="10" t="s">
        <v>388</v>
      </c>
      <c r="V503" s="10" t="s">
        <v>38</v>
      </c>
      <c r="W503" s="10">
        <v>3</v>
      </c>
      <c r="X503" s="10">
        <v>1</v>
      </c>
      <c r="Y503" s="10">
        <v>1</v>
      </c>
      <c r="Z503" s="10" t="s">
        <v>33</v>
      </c>
      <c r="AA503" s="10">
        <v>9.6000000000000002E-2</v>
      </c>
      <c r="AB503" s="10" t="s">
        <v>34</v>
      </c>
      <c r="AC503" s="10" t="s">
        <v>40</v>
      </c>
      <c r="AD503" s="10" t="s">
        <v>277</v>
      </c>
      <c r="AE503" s="10">
        <v>0.96779999999999999</v>
      </c>
      <c r="AF503" s="10" t="s">
        <v>342</v>
      </c>
      <c r="AG503" s="10">
        <v>2017</v>
      </c>
      <c r="AH503" s="10" t="s">
        <v>389</v>
      </c>
      <c r="AI503" s="2">
        <v>40</v>
      </c>
      <c r="AJ503" s="2">
        <v>2</v>
      </c>
      <c r="AK503" s="2">
        <v>1.25</v>
      </c>
    </row>
    <row r="504" spans="1:37" x14ac:dyDescent="0.3">
      <c r="A504" s="11">
        <v>27.851099810925518</v>
      </c>
      <c r="B504" s="11">
        <v>1067.7480916030499</v>
      </c>
      <c r="C504" s="10" t="s">
        <v>33</v>
      </c>
      <c r="D504" s="10" t="s">
        <v>386</v>
      </c>
      <c r="E504" s="10" t="s">
        <v>387</v>
      </c>
      <c r="F504" s="10">
        <v>0.13800000000000001</v>
      </c>
      <c r="G504" s="10">
        <v>0.30199999999999999</v>
      </c>
      <c r="H504" s="10">
        <v>0.215</v>
      </c>
      <c r="I504" s="10">
        <v>0.34399999999999997</v>
      </c>
      <c r="J504" s="10">
        <v>2.1800000000000002</v>
      </c>
      <c r="K504" s="10">
        <v>0.92</v>
      </c>
      <c r="L504" s="10">
        <v>0</v>
      </c>
      <c r="M504" s="10">
        <v>40</v>
      </c>
      <c r="N504" s="10">
        <v>1075.05</v>
      </c>
      <c r="O504" s="10">
        <v>1.75</v>
      </c>
      <c r="P504" s="10">
        <v>1.27</v>
      </c>
      <c r="Q504" s="10">
        <v>0</v>
      </c>
      <c r="R504" s="10">
        <v>2.75</v>
      </c>
      <c r="S504" s="10">
        <v>4.4500000000000003E-4</v>
      </c>
      <c r="T504" s="10" t="s">
        <v>36</v>
      </c>
      <c r="U504" s="10" t="s">
        <v>388</v>
      </c>
      <c r="V504" s="10" t="s">
        <v>38</v>
      </c>
      <c r="W504" s="10">
        <v>3</v>
      </c>
      <c r="X504" s="10">
        <v>1</v>
      </c>
      <c r="Y504" s="10">
        <v>1</v>
      </c>
      <c r="Z504" s="10" t="s">
        <v>33</v>
      </c>
      <c r="AA504" s="10">
        <v>9.6000000000000002E-2</v>
      </c>
      <c r="AB504" s="10" t="s">
        <v>34</v>
      </c>
      <c r="AC504" s="10" t="s">
        <v>40</v>
      </c>
      <c r="AD504" s="10" t="s">
        <v>277</v>
      </c>
      <c r="AE504" s="10">
        <v>0.96779999999999999</v>
      </c>
      <c r="AF504" s="10" t="s">
        <v>342</v>
      </c>
      <c r="AG504" s="10">
        <v>2017</v>
      </c>
      <c r="AH504" s="10" t="s">
        <v>389</v>
      </c>
      <c r="AI504" s="2">
        <v>40</v>
      </c>
      <c r="AJ504" s="2">
        <v>2</v>
      </c>
      <c r="AK504" s="2">
        <v>1.25</v>
      </c>
    </row>
    <row r="505" spans="1:37" x14ac:dyDescent="0.3">
      <c r="A505" s="11">
        <v>32.268898498016881</v>
      </c>
      <c r="B505" s="11">
        <v>2301.5267175572499</v>
      </c>
      <c r="C505" s="10" t="s">
        <v>33</v>
      </c>
      <c r="D505" s="10" t="s">
        <v>386</v>
      </c>
      <c r="E505" s="10" t="s">
        <v>387</v>
      </c>
      <c r="F505" s="10">
        <v>0.13800000000000001</v>
      </c>
      <c r="G505" s="10">
        <v>0.30199999999999999</v>
      </c>
      <c r="H505" s="10">
        <v>0.215</v>
      </c>
      <c r="I505" s="10">
        <v>0.34399999999999997</v>
      </c>
      <c r="J505" s="10">
        <v>2.1800000000000002</v>
      </c>
      <c r="K505" s="10">
        <v>0.92</v>
      </c>
      <c r="L505" s="10">
        <v>0</v>
      </c>
      <c r="M505" s="10">
        <v>40</v>
      </c>
      <c r="N505" s="10">
        <v>1075.05</v>
      </c>
      <c r="O505" s="10">
        <v>1.75</v>
      </c>
      <c r="P505" s="10">
        <v>1.27</v>
      </c>
      <c r="Q505" s="10">
        <v>0</v>
      </c>
      <c r="R505" s="10">
        <v>2.75</v>
      </c>
      <c r="S505" s="10">
        <v>4.4500000000000003E-4</v>
      </c>
      <c r="T505" s="10" t="s">
        <v>36</v>
      </c>
      <c r="U505" s="10" t="s">
        <v>388</v>
      </c>
      <c r="V505" s="10" t="s">
        <v>38</v>
      </c>
      <c r="W505" s="10">
        <v>3</v>
      </c>
      <c r="X505" s="10">
        <v>1</v>
      </c>
      <c r="Y505" s="10">
        <v>1</v>
      </c>
      <c r="Z505" s="10" t="s">
        <v>33</v>
      </c>
      <c r="AA505" s="10">
        <v>9.6000000000000002E-2</v>
      </c>
      <c r="AB505" s="10" t="s">
        <v>34</v>
      </c>
      <c r="AC505" s="10" t="s">
        <v>40</v>
      </c>
      <c r="AD505" s="10" t="s">
        <v>277</v>
      </c>
      <c r="AE505" s="10">
        <v>0.96779999999999999</v>
      </c>
      <c r="AF505" s="10" t="s">
        <v>342</v>
      </c>
      <c r="AG505" s="10">
        <v>2017</v>
      </c>
      <c r="AH505" s="10" t="s">
        <v>389</v>
      </c>
      <c r="AI505" s="2">
        <v>40</v>
      </c>
      <c r="AJ505" s="2">
        <v>2</v>
      </c>
      <c r="AK505" s="2">
        <v>1.25</v>
      </c>
    </row>
    <row r="506" spans="1:37" x14ac:dyDescent="0.3">
      <c r="A506" s="11">
        <v>17.139533882066328</v>
      </c>
      <c r="B506" s="11">
        <v>312.02290076335902</v>
      </c>
      <c r="C506" s="10" t="s">
        <v>33</v>
      </c>
      <c r="D506" s="10" t="s">
        <v>386</v>
      </c>
      <c r="E506" s="10" t="s">
        <v>387</v>
      </c>
      <c r="F506" s="10">
        <v>0.13800000000000001</v>
      </c>
      <c r="G506" s="10">
        <v>0.30199999999999999</v>
      </c>
      <c r="H506" s="10">
        <v>0.215</v>
      </c>
      <c r="I506" s="10">
        <v>0.34399999999999997</v>
      </c>
      <c r="J506" s="10">
        <v>2.1800000000000002</v>
      </c>
      <c r="K506" s="10">
        <v>0.92</v>
      </c>
      <c r="L506" s="10">
        <v>0</v>
      </c>
      <c r="M506" s="10">
        <v>40</v>
      </c>
      <c r="N506" s="10">
        <v>1075.05</v>
      </c>
      <c r="O506" s="10">
        <v>1.75</v>
      </c>
      <c r="P506" s="10">
        <v>1.27</v>
      </c>
      <c r="Q506" s="10">
        <v>0</v>
      </c>
      <c r="R506" s="10">
        <v>2.75</v>
      </c>
      <c r="S506" s="10">
        <v>4.4500000000000003E-4</v>
      </c>
      <c r="T506" s="10" t="s">
        <v>36</v>
      </c>
      <c r="U506" s="10" t="s">
        <v>388</v>
      </c>
      <c r="V506" s="10" t="s">
        <v>38</v>
      </c>
      <c r="W506" s="10">
        <v>3</v>
      </c>
      <c r="X506" s="10">
        <v>1</v>
      </c>
      <c r="Y506" s="10">
        <v>1</v>
      </c>
      <c r="Z506" s="10" t="s">
        <v>33</v>
      </c>
      <c r="AA506" s="10">
        <v>9.6000000000000002E-2</v>
      </c>
      <c r="AB506" s="10" t="s">
        <v>34</v>
      </c>
      <c r="AC506" s="10" t="s">
        <v>390</v>
      </c>
      <c r="AD506" s="10" t="s">
        <v>277</v>
      </c>
      <c r="AE506" s="10">
        <v>0.96779999999999999</v>
      </c>
      <c r="AF506" s="10" t="s">
        <v>342</v>
      </c>
      <c r="AG506" s="10">
        <v>2017</v>
      </c>
      <c r="AH506" s="10" t="s">
        <v>389</v>
      </c>
      <c r="AI506" s="2">
        <v>40</v>
      </c>
      <c r="AJ506" s="2">
        <v>2</v>
      </c>
      <c r="AK506" s="2">
        <v>1.25</v>
      </c>
    </row>
    <row r="507" spans="1:37" x14ac:dyDescent="0.3">
      <c r="A507" s="11">
        <v>24.030246338742874</v>
      </c>
      <c r="B507" s="11">
        <v>941.79389312977105</v>
      </c>
      <c r="C507" s="10" t="s">
        <v>33</v>
      </c>
      <c r="D507" s="10" t="s">
        <v>386</v>
      </c>
      <c r="E507" s="10" t="s">
        <v>387</v>
      </c>
      <c r="F507" s="10">
        <v>0.13800000000000001</v>
      </c>
      <c r="G507" s="10">
        <v>0.30199999999999999</v>
      </c>
      <c r="H507" s="10">
        <v>0.215</v>
      </c>
      <c r="I507" s="10">
        <v>0.34399999999999997</v>
      </c>
      <c r="J507" s="10">
        <v>2.1800000000000002</v>
      </c>
      <c r="K507" s="10">
        <v>0.92</v>
      </c>
      <c r="L507" s="10">
        <v>0</v>
      </c>
      <c r="M507" s="10">
        <v>40</v>
      </c>
      <c r="N507" s="10">
        <v>1075.05</v>
      </c>
      <c r="O507" s="10">
        <v>1.75</v>
      </c>
      <c r="P507" s="10">
        <v>1.27</v>
      </c>
      <c r="Q507" s="10">
        <v>0</v>
      </c>
      <c r="R507" s="10">
        <v>2.75</v>
      </c>
      <c r="S507" s="10">
        <v>4.4500000000000003E-4</v>
      </c>
      <c r="T507" s="10" t="s">
        <v>36</v>
      </c>
      <c r="U507" s="10" t="s">
        <v>388</v>
      </c>
      <c r="V507" s="10" t="s">
        <v>38</v>
      </c>
      <c r="W507" s="10">
        <v>3</v>
      </c>
      <c r="X507" s="10">
        <v>1</v>
      </c>
      <c r="Y507" s="10">
        <v>1</v>
      </c>
      <c r="Z507" s="10" t="s">
        <v>33</v>
      </c>
      <c r="AA507" s="10">
        <v>9.6000000000000002E-2</v>
      </c>
      <c r="AB507" s="10" t="s">
        <v>34</v>
      </c>
      <c r="AC507" s="10" t="s">
        <v>390</v>
      </c>
      <c r="AD507" s="10" t="s">
        <v>277</v>
      </c>
      <c r="AE507" s="10">
        <v>0.96779999999999999</v>
      </c>
      <c r="AF507" s="10" t="s">
        <v>342</v>
      </c>
      <c r="AG507" s="10">
        <v>2017</v>
      </c>
      <c r="AH507" s="10" t="s">
        <v>389</v>
      </c>
      <c r="AI507" s="2">
        <v>40</v>
      </c>
      <c r="AJ507" s="2">
        <v>2</v>
      </c>
      <c r="AK507" s="2">
        <v>1.25</v>
      </c>
    </row>
    <row r="508" spans="1:37" x14ac:dyDescent="0.3">
      <c r="A508" s="11">
        <v>29.295736504123308</v>
      </c>
      <c r="B508" s="11">
        <v>1468.5114503816701</v>
      </c>
      <c r="C508" s="10" t="s">
        <v>33</v>
      </c>
      <c r="D508" s="10" t="s">
        <v>386</v>
      </c>
      <c r="E508" s="10" t="s">
        <v>387</v>
      </c>
      <c r="F508" s="10">
        <v>0.13800000000000001</v>
      </c>
      <c r="G508" s="10">
        <v>0.30199999999999999</v>
      </c>
      <c r="H508" s="10">
        <v>0.215</v>
      </c>
      <c r="I508" s="10">
        <v>0.34399999999999997</v>
      </c>
      <c r="J508" s="10">
        <v>2.1800000000000002</v>
      </c>
      <c r="K508" s="10">
        <v>0.92</v>
      </c>
      <c r="L508" s="10">
        <v>0</v>
      </c>
      <c r="M508" s="10">
        <v>40</v>
      </c>
      <c r="N508" s="10">
        <v>1075.05</v>
      </c>
      <c r="O508" s="10">
        <v>1.75</v>
      </c>
      <c r="P508" s="10">
        <v>1.27</v>
      </c>
      <c r="Q508" s="10">
        <v>0</v>
      </c>
      <c r="R508" s="10">
        <v>2.75</v>
      </c>
      <c r="S508" s="10">
        <v>4.4500000000000003E-4</v>
      </c>
      <c r="T508" s="10" t="s">
        <v>36</v>
      </c>
      <c r="U508" s="10" t="s">
        <v>388</v>
      </c>
      <c r="V508" s="10" t="s">
        <v>38</v>
      </c>
      <c r="W508" s="10">
        <v>3</v>
      </c>
      <c r="X508" s="10">
        <v>1</v>
      </c>
      <c r="Y508" s="10">
        <v>1</v>
      </c>
      <c r="Z508" s="10" t="s">
        <v>33</v>
      </c>
      <c r="AA508" s="10">
        <v>9.6000000000000002E-2</v>
      </c>
      <c r="AB508" s="10" t="s">
        <v>34</v>
      </c>
      <c r="AC508" s="10" t="s">
        <v>390</v>
      </c>
      <c r="AD508" s="10" t="s">
        <v>277</v>
      </c>
      <c r="AE508" s="10">
        <v>0.96779999999999999</v>
      </c>
      <c r="AF508" s="10" t="s">
        <v>342</v>
      </c>
      <c r="AG508" s="10">
        <v>2017</v>
      </c>
      <c r="AH508" s="10" t="s">
        <v>389</v>
      </c>
      <c r="AI508" s="2">
        <v>40</v>
      </c>
      <c r="AJ508" s="2">
        <v>2</v>
      </c>
      <c r="AK508" s="2">
        <v>1.25</v>
      </c>
    </row>
    <row r="509" spans="1:37" ht="16.2" thickBot="1" x14ac:dyDescent="0.35">
      <c r="A509" s="17">
        <v>32.740284568562458</v>
      </c>
      <c r="B509" s="17">
        <v>2458.96946564885</v>
      </c>
      <c r="C509" s="14" t="s">
        <v>33</v>
      </c>
      <c r="D509" s="14" t="s">
        <v>386</v>
      </c>
      <c r="E509" s="14" t="s">
        <v>387</v>
      </c>
      <c r="F509" s="14">
        <v>0.13800000000000001</v>
      </c>
      <c r="G509" s="14">
        <v>0.30199999999999999</v>
      </c>
      <c r="H509" s="14">
        <v>0.215</v>
      </c>
      <c r="I509" s="14">
        <v>0.34399999999999997</v>
      </c>
      <c r="J509" s="14">
        <v>2.1800000000000002</v>
      </c>
      <c r="K509" s="14">
        <v>0.92</v>
      </c>
      <c r="L509" s="14">
        <v>0</v>
      </c>
      <c r="M509" s="14">
        <v>40</v>
      </c>
      <c r="N509" s="14">
        <v>1075.05</v>
      </c>
      <c r="O509" s="14">
        <v>1.75</v>
      </c>
      <c r="P509" s="14">
        <v>1.27</v>
      </c>
      <c r="Q509" s="14">
        <v>0</v>
      </c>
      <c r="R509" s="14">
        <v>2.75</v>
      </c>
      <c r="S509" s="14">
        <v>4.4500000000000003E-4</v>
      </c>
      <c r="T509" s="14" t="s">
        <v>36</v>
      </c>
      <c r="U509" s="14" t="s">
        <v>388</v>
      </c>
      <c r="V509" s="14" t="s">
        <v>38</v>
      </c>
      <c r="W509" s="14">
        <v>3</v>
      </c>
      <c r="X509" s="14">
        <v>1</v>
      </c>
      <c r="Y509" s="14">
        <v>1</v>
      </c>
      <c r="Z509" s="14" t="s">
        <v>33</v>
      </c>
      <c r="AA509" s="14">
        <v>9.6000000000000002E-2</v>
      </c>
      <c r="AB509" s="14" t="s">
        <v>34</v>
      </c>
      <c r="AC509" s="14" t="s">
        <v>390</v>
      </c>
      <c r="AD509" s="14" t="s">
        <v>277</v>
      </c>
      <c r="AE509" s="14">
        <v>0.96779999999999999</v>
      </c>
      <c r="AF509" s="14" t="s">
        <v>342</v>
      </c>
      <c r="AG509" s="14">
        <v>2017</v>
      </c>
      <c r="AH509" s="14" t="s">
        <v>389</v>
      </c>
      <c r="AI509" s="15">
        <v>40</v>
      </c>
      <c r="AJ509" s="15">
        <v>2</v>
      </c>
      <c r="AK509" s="15">
        <v>1.25</v>
      </c>
    </row>
    <row r="510" spans="1:37" ht="16.2" thickBot="1" x14ac:dyDescent="0.35">
      <c r="A510" s="19">
        <v>15.98</v>
      </c>
      <c r="B510" s="19">
        <v>1343</v>
      </c>
      <c r="C510" s="18" t="s">
        <v>33</v>
      </c>
      <c r="D510" s="18" t="s">
        <v>35</v>
      </c>
      <c r="E510" s="18" t="s">
        <v>387</v>
      </c>
      <c r="F510" s="18">
        <v>0.26</v>
      </c>
      <c r="G510" s="18">
        <v>0.54400000000000004</v>
      </c>
      <c r="H510" s="29">
        <v>0.42</v>
      </c>
      <c r="I510" s="18">
        <v>0.57999999999999996</v>
      </c>
      <c r="J510" s="18">
        <v>2.2309999999999999</v>
      </c>
      <c r="K510" s="18">
        <v>1.17</v>
      </c>
      <c r="L510" s="18">
        <v>0</v>
      </c>
      <c r="M510" s="18">
        <v>48</v>
      </c>
      <c r="N510" s="18">
        <v>1355</v>
      </c>
      <c r="O510" s="18">
        <v>1.244</v>
      </c>
      <c r="P510" s="18">
        <v>0.81100000000000005</v>
      </c>
      <c r="Q510" s="18">
        <v>0</v>
      </c>
      <c r="R510" s="18">
        <v>2.76</v>
      </c>
      <c r="S510" s="18" t="s">
        <v>34</v>
      </c>
      <c r="T510" s="18" t="s">
        <v>36</v>
      </c>
      <c r="U510" s="18" t="s">
        <v>388</v>
      </c>
      <c r="V510" s="18" t="s">
        <v>38</v>
      </c>
      <c r="W510" s="18">
        <v>4</v>
      </c>
      <c r="X510" s="18">
        <v>0.5</v>
      </c>
      <c r="Y510" s="18">
        <v>1</v>
      </c>
      <c r="Z510" s="18" t="s">
        <v>33</v>
      </c>
      <c r="AA510" s="18">
        <v>0.28499999999999998</v>
      </c>
      <c r="AB510" s="18" t="s">
        <v>34</v>
      </c>
      <c r="AC510" s="18" t="s">
        <v>391</v>
      </c>
      <c r="AD510" s="18" t="s">
        <v>34</v>
      </c>
      <c r="AE510" s="18" t="s">
        <v>34</v>
      </c>
      <c r="AF510" s="18" t="s">
        <v>125</v>
      </c>
      <c r="AG510" s="18">
        <v>2021</v>
      </c>
      <c r="AH510" s="18" t="s">
        <v>392</v>
      </c>
      <c r="AI510" s="15">
        <v>39.1</v>
      </c>
      <c r="AJ510" s="15">
        <v>2.0499999999999998</v>
      </c>
      <c r="AK510" s="15">
        <v>1.25</v>
      </c>
    </row>
    <row r="511" spans="1:37" ht="16.2" thickBot="1" x14ac:dyDescent="0.35">
      <c r="A511" s="65">
        <v>11.386639676113299</v>
      </c>
      <c r="B511" s="65">
        <v>3515.70415400202</v>
      </c>
      <c r="C511" s="66" t="s">
        <v>33</v>
      </c>
      <c r="D511" s="66" t="s">
        <v>35</v>
      </c>
      <c r="E511" s="66" t="s">
        <v>387</v>
      </c>
      <c r="F511" s="66">
        <v>0.23</v>
      </c>
      <c r="G511" s="66">
        <v>0.4</v>
      </c>
      <c r="H511" s="13">
        <v>0.32</v>
      </c>
      <c r="I511" s="66">
        <v>0.42</v>
      </c>
      <c r="J511" s="66">
        <v>1.83</v>
      </c>
      <c r="K511" s="66">
        <v>1.06</v>
      </c>
      <c r="L511" s="66">
        <v>0</v>
      </c>
      <c r="M511" s="66">
        <v>30</v>
      </c>
      <c r="N511" s="66">
        <v>1311.1888111888113</v>
      </c>
      <c r="O511" s="66">
        <v>1.1599999999999999</v>
      </c>
      <c r="P511" s="66">
        <v>0.82399999999999995</v>
      </c>
      <c r="Q511" s="66">
        <v>39.229629629629628</v>
      </c>
      <c r="R511" s="66">
        <v>2.7</v>
      </c>
      <c r="S511" s="66" t="s">
        <v>34</v>
      </c>
      <c r="T511" s="66" t="s">
        <v>36</v>
      </c>
      <c r="U511" s="66" t="s">
        <v>388</v>
      </c>
      <c r="V511" s="66" t="s">
        <v>38</v>
      </c>
      <c r="W511" s="66">
        <v>6</v>
      </c>
      <c r="X511" s="66">
        <v>1</v>
      </c>
      <c r="Y511" s="66">
        <v>1</v>
      </c>
      <c r="Z511" s="66" t="s">
        <v>33</v>
      </c>
      <c r="AA511" s="66">
        <v>0.38219999999999998</v>
      </c>
      <c r="AB511" s="66" t="s">
        <v>34</v>
      </c>
      <c r="AC511" s="66" t="s">
        <v>40</v>
      </c>
      <c r="AD511" s="66" t="s">
        <v>277</v>
      </c>
      <c r="AE511" s="66">
        <v>0.67649999999999999</v>
      </c>
      <c r="AF511" s="66" t="s">
        <v>309</v>
      </c>
      <c r="AG511" s="66">
        <v>2023</v>
      </c>
      <c r="AH511" s="66" t="s">
        <v>393</v>
      </c>
      <c r="AI511" s="67">
        <v>40</v>
      </c>
      <c r="AJ511" s="67">
        <v>2</v>
      </c>
      <c r="AK511" s="67">
        <v>1.25</v>
      </c>
    </row>
    <row r="512" spans="1:37" ht="16.2" thickBot="1" x14ac:dyDescent="0.35">
      <c r="A512" s="11">
        <v>13.486842105263101</v>
      </c>
      <c r="B512" s="11">
        <v>6433.6372847011098</v>
      </c>
      <c r="C512" s="10" t="s">
        <v>33</v>
      </c>
      <c r="D512" s="10" t="s">
        <v>35</v>
      </c>
      <c r="E512" s="10" t="s">
        <v>387</v>
      </c>
      <c r="F512" s="10">
        <v>0.23</v>
      </c>
      <c r="G512" s="10">
        <v>0.4</v>
      </c>
      <c r="H512" s="10">
        <v>0.32</v>
      </c>
      <c r="I512" s="10">
        <v>0.42</v>
      </c>
      <c r="J512" s="10">
        <v>1.83</v>
      </c>
      <c r="K512" s="10">
        <v>1.06</v>
      </c>
      <c r="L512" s="10">
        <v>0</v>
      </c>
      <c r="M512" s="10">
        <v>40</v>
      </c>
      <c r="N512" s="10">
        <v>1332.9383886255923</v>
      </c>
      <c r="O512" s="10">
        <v>1.1599999999999999</v>
      </c>
      <c r="P512" s="10">
        <v>0.82399999999999995</v>
      </c>
      <c r="Q512" s="10">
        <v>37.985185185185181</v>
      </c>
      <c r="R512" s="10">
        <v>2.7</v>
      </c>
      <c r="S512" s="10" t="s">
        <v>34</v>
      </c>
      <c r="T512" s="10" t="s">
        <v>36</v>
      </c>
      <c r="U512" s="10" t="s">
        <v>388</v>
      </c>
      <c r="V512" s="10" t="s">
        <v>38</v>
      </c>
      <c r="W512" s="10">
        <v>6</v>
      </c>
      <c r="X512" s="10">
        <v>1</v>
      </c>
      <c r="Y512" s="10">
        <v>1</v>
      </c>
      <c r="Z512" s="10" t="s">
        <v>33</v>
      </c>
      <c r="AA512" s="10">
        <v>0.38219999999999998</v>
      </c>
      <c r="AB512" s="10" t="s">
        <v>34</v>
      </c>
      <c r="AC512" s="10" t="s">
        <v>40</v>
      </c>
      <c r="AD512" s="10" t="s">
        <v>277</v>
      </c>
      <c r="AE512" s="10">
        <v>1.6765000000000001</v>
      </c>
      <c r="AF512" s="10" t="s">
        <v>309</v>
      </c>
      <c r="AG512" s="66">
        <v>2023</v>
      </c>
      <c r="AH512" s="10" t="s">
        <v>393</v>
      </c>
      <c r="AI512" s="2">
        <v>40</v>
      </c>
      <c r="AJ512" s="2">
        <v>2</v>
      </c>
      <c r="AK512" s="2">
        <v>1.25</v>
      </c>
    </row>
    <row r="513" spans="1:37" ht="16.2" thickBot="1" x14ac:dyDescent="0.35">
      <c r="A513" s="11">
        <v>16.523279352226702</v>
      </c>
      <c r="B513" s="11">
        <v>8581.5602836879407</v>
      </c>
      <c r="C513" s="10" t="s">
        <v>33</v>
      </c>
      <c r="D513" s="10" t="s">
        <v>35</v>
      </c>
      <c r="E513" s="10" t="s">
        <v>387</v>
      </c>
      <c r="F513" s="10">
        <v>0.23</v>
      </c>
      <c r="G513" s="10">
        <v>0.4</v>
      </c>
      <c r="H513" s="10">
        <v>0.32</v>
      </c>
      <c r="I513" s="10">
        <v>0.42</v>
      </c>
      <c r="J513" s="10">
        <v>1.83</v>
      </c>
      <c r="K513" s="10">
        <v>1.06</v>
      </c>
      <c r="L513" s="10">
        <v>0</v>
      </c>
      <c r="M513" s="10">
        <v>50</v>
      </c>
      <c r="N513" s="10">
        <v>1355.4216867469879</v>
      </c>
      <c r="O513" s="10">
        <v>1.1599999999999999</v>
      </c>
      <c r="P513" s="10">
        <v>0.82399999999999995</v>
      </c>
      <c r="Q513" s="10">
        <v>36.74074074074074</v>
      </c>
      <c r="R513" s="10">
        <v>2.7</v>
      </c>
      <c r="S513" s="10" t="s">
        <v>34</v>
      </c>
      <c r="T513" s="10" t="s">
        <v>36</v>
      </c>
      <c r="U513" s="10" t="s">
        <v>388</v>
      </c>
      <c r="V513" s="10" t="s">
        <v>38</v>
      </c>
      <c r="W513" s="10">
        <v>6</v>
      </c>
      <c r="X513" s="10">
        <v>1</v>
      </c>
      <c r="Y513" s="10">
        <v>1</v>
      </c>
      <c r="Z513" s="10" t="s">
        <v>33</v>
      </c>
      <c r="AA513" s="10">
        <v>0.38219999999999998</v>
      </c>
      <c r="AB513" s="10" t="s">
        <v>34</v>
      </c>
      <c r="AC513" s="10" t="s">
        <v>40</v>
      </c>
      <c r="AD513" s="10" t="s">
        <v>277</v>
      </c>
      <c r="AE513" s="10">
        <v>2.6764999999999999</v>
      </c>
      <c r="AF513" s="10" t="s">
        <v>309</v>
      </c>
      <c r="AG513" s="66">
        <v>2023</v>
      </c>
      <c r="AH513" s="10" t="s">
        <v>393</v>
      </c>
      <c r="AI513" s="2">
        <v>40</v>
      </c>
      <c r="AJ513" s="2">
        <v>2</v>
      </c>
      <c r="AK513" s="2">
        <v>1.25</v>
      </c>
    </row>
    <row r="514" spans="1:37" ht="16.2" thickBot="1" x14ac:dyDescent="0.35">
      <c r="A514" s="11">
        <v>17.484817813765101</v>
      </c>
      <c r="B514" s="11">
        <v>9027.3556231003004</v>
      </c>
      <c r="C514" s="10" t="s">
        <v>33</v>
      </c>
      <c r="D514" s="10" t="s">
        <v>35</v>
      </c>
      <c r="E514" s="10" t="s">
        <v>387</v>
      </c>
      <c r="F514" s="10">
        <v>0.23</v>
      </c>
      <c r="G514" s="10">
        <v>0.4</v>
      </c>
      <c r="H514" s="10">
        <v>0.32</v>
      </c>
      <c r="I514" s="10">
        <v>0.42</v>
      </c>
      <c r="J514" s="10">
        <v>1.83</v>
      </c>
      <c r="K514" s="10">
        <v>1.06</v>
      </c>
      <c r="L514" s="10">
        <v>0</v>
      </c>
      <c r="M514" s="10">
        <v>60</v>
      </c>
      <c r="N514" s="10">
        <v>1378.6764705882354</v>
      </c>
      <c r="O514" s="10">
        <v>1.1599999999999999</v>
      </c>
      <c r="P514" s="10">
        <v>0.82399999999999995</v>
      </c>
      <c r="Q514" s="10">
        <v>35.496296296296293</v>
      </c>
      <c r="R514" s="10">
        <v>2.7</v>
      </c>
      <c r="S514" s="10" t="s">
        <v>34</v>
      </c>
      <c r="T514" s="10" t="s">
        <v>36</v>
      </c>
      <c r="U514" s="10" t="s">
        <v>388</v>
      </c>
      <c r="V514" s="10" t="s">
        <v>38</v>
      </c>
      <c r="W514" s="10">
        <v>6</v>
      </c>
      <c r="X514" s="10">
        <v>1</v>
      </c>
      <c r="Y514" s="10">
        <v>1</v>
      </c>
      <c r="Z514" s="10" t="s">
        <v>33</v>
      </c>
      <c r="AA514" s="10">
        <v>0.38219999999999998</v>
      </c>
      <c r="AB514" s="10" t="s">
        <v>34</v>
      </c>
      <c r="AC514" s="10" t="s">
        <v>40</v>
      </c>
      <c r="AD514" s="10" t="s">
        <v>277</v>
      </c>
      <c r="AE514" s="10">
        <v>3.6764999999999999</v>
      </c>
      <c r="AF514" s="10" t="s">
        <v>309</v>
      </c>
      <c r="AG514" s="66">
        <v>2023</v>
      </c>
      <c r="AH514" s="10" t="s">
        <v>393</v>
      </c>
      <c r="AI514" s="2">
        <v>40</v>
      </c>
      <c r="AJ514" s="2">
        <v>2</v>
      </c>
      <c r="AK514" s="2">
        <v>1.25</v>
      </c>
    </row>
    <row r="515" spans="1:37" ht="16.2" thickBot="1" x14ac:dyDescent="0.35">
      <c r="A515" s="11">
        <v>19.1295546558704</v>
      </c>
      <c r="B515" s="11">
        <v>5643.3637284701099</v>
      </c>
      <c r="C515" s="10" t="s">
        <v>33</v>
      </c>
      <c r="D515" s="10" t="s">
        <v>35</v>
      </c>
      <c r="E515" s="10" t="s">
        <v>387</v>
      </c>
      <c r="F515" s="10">
        <v>0.23</v>
      </c>
      <c r="G515" s="10">
        <v>0.4</v>
      </c>
      <c r="H515" s="10">
        <v>0.32</v>
      </c>
      <c r="I515" s="10">
        <v>0.42</v>
      </c>
      <c r="J515" s="10">
        <v>1.83</v>
      </c>
      <c r="K515" s="10">
        <v>1.06</v>
      </c>
      <c r="L515" s="10">
        <v>0</v>
      </c>
      <c r="M515" s="10">
        <v>70</v>
      </c>
      <c r="N515" s="10">
        <v>1402.7431421446383</v>
      </c>
      <c r="O515" s="10">
        <v>1.1599999999999999</v>
      </c>
      <c r="P515" s="10">
        <v>0.82399999999999995</v>
      </c>
      <c r="Q515" s="10">
        <v>34.251851851851853</v>
      </c>
      <c r="R515" s="10">
        <v>2.7</v>
      </c>
      <c r="S515" s="10" t="s">
        <v>34</v>
      </c>
      <c r="T515" s="10" t="s">
        <v>36</v>
      </c>
      <c r="U515" s="10" t="s">
        <v>388</v>
      </c>
      <c r="V515" s="10" t="s">
        <v>38</v>
      </c>
      <c r="W515" s="10">
        <v>6</v>
      </c>
      <c r="X515" s="10">
        <v>1</v>
      </c>
      <c r="Y515" s="10">
        <v>1</v>
      </c>
      <c r="Z515" s="10" t="s">
        <v>33</v>
      </c>
      <c r="AA515" s="10">
        <v>0.38219999999999998</v>
      </c>
      <c r="AB515" s="10" t="s">
        <v>34</v>
      </c>
      <c r="AC515" s="10" t="s">
        <v>40</v>
      </c>
      <c r="AD515" s="10" t="s">
        <v>277</v>
      </c>
      <c r="AE515" s="10">
        <v>4.6764999999999999</v>
      </c>
      <c r="AF515" s="10" t="s">
        <v>309</v>
      </c>
      <c r="AG515" s="66">
        <v>2023</v>
      </c>
      <c r="AH515" s="10" t="s">
        <v>393</v>
      </c>
      <c r="AI515" s="2">
        <v>40</v>
      </c>
      <c r="AJ515" s="2">
        <v>2</v>
      </c>
      <c r="AK515" s="2">
        <v>1.25</v>
      </c>
    </row>
    <row r="516" spans="1:37" ht="16.2" thickBot="1" x14ac:dyDescent="0.35">
      <c r="A516" s="11">
        <v>20.799595141700401</v>
      </c>
      <c r="B516" s="11">
        <v>4083.0800405268501</v>
      </c>
      <c r="C516" s="10" t="s">
        <v>33</v>
      </c>
      <c r="D516" s="10" t="s">
        <v>35</v>
      </c>
      <c r="E516" s="10" t="s">
        <v>387</v>
      </c>
      <c r="F516" s="10">
        <v>0.23</v>
      </c>
      <c r="G516" s="10">
        <v>0.4</v>
      </c>
      <c r="H516" s="10">
        <v>0.32</v>
      </c>
      <c r="I516" s="10">
        <v>0.42</v>
      </c>
      <c r="J516" s="10">
        <v>1.83</v>
      </c>
      <c r="K516" s="10">
        <v>1.06</v>
      </c>
      <c r="L516" s="10">
        <v>0</v>
      </c>
      <c r="M516" s="10">
        <v>80</v>
      </c>
      <c r="N516" s="10">
        <v>1427.6649746192893</v>
      </c>
      <c r="O516" s="10">
        <v>1.1599999999999999</v>
      </c>
      <c r="P516" s="10">
        <v>0.82399999999999995</v>
      </c>
      <c r="Q516" s="10">
        <v>33.007407407407406</v>
      </c>
      <c r="R516" s="10">
        <v>2.7</v>
      </c>
      <c r="S516" s="10" t="s">
        <v>34</v>
      </c>
      <c r="T516" s="10" t="s">
        <v>36</v>
      </c>
      <c r="U516" s="10" t="s">
        <v>388</v>
      </c>
      <c r="V516" s="10" t="s">
        <v>38</v>
      </c>
      <c r="W516" s="10">
        <v>6</v>
      </c>
      <c r="X516" s="10">
        <v>1</v>
      </c>
      <c r="Y516" s="10">
        <v>1</v>
      </c>
      <c r="Z516" s="10" t="s">
        <v>33</v>
      </c>
      <c r="AA516" s="10">
        <v>0.38219999999999998</v>
      </c>
      <c r="AB516" s="10" t="s">
        <v>34</v>
      </c>
      <c r="AC516" s="10" t="s">
        <v>40</v>
      </c>
      <c r="AD516" s="10" t="s">
        <v>277</v>
      </c>
      <c r="AE516" s="10">
        <v>5.6764999999999999</v>
      </c>
      <c r="AF516" s="10" t="s">
        <v>309</v>
      </c>
      <c r="AG516" s="66">
        <v>2023</v>
      </c>
      <c r="AH516" s="10" t="s">
        <v>393</v>
      </c>
      <c r="AI516" s="2">
        <v>40</v>
      </c>
      <c r="AJ516" s="2">
        <v>2</v>
      </c>
      <c r="AK516" s="2">
        <v>1.25</v>
      </c>
    </row>
    <row r="517" spans="1:37" ht="16.2" thickBot="1" x14ac:dyDescent="0.35">
      <c r="A517" s="11">
        <v>6.4832535885167397</v>
      </c>
      <c r="B517" s="11">
        <v>736.84210526315997</v>
      </c>
      <c r="C517" s="10" t="s">
        <v>33</v>
      </c>
      <c r="D517" s="10" t="s">
        <v>35</v>
      </c>
      <c r="E517" s="10" t="s">
        <v>387</v>
      </c>
      <c r="F517" s="10">
        <v>0.23</v>
      </c>
      <c r="G517" s="10">
        <v>0.4</v>
      </c>
      <c r="H517" s="10">
        <v>0.32</v>
      </c>
      <c r="I517" s="10">
        <v>0.42</v>
      </c>
      <c r="J517" s="10">
        <v>1.83</v>
      </c>
      <c r="K517" s="10">
        <v>1.06</v>
      </c>
      <c r="L517" s="10">
        <v>0</v>
      </c>
      <c r="M517" s="10">
        <v>50</v>
      </c>
      <c r="N517" s="10">
        <v>1355.4216867469879</v>
      </c>
      <c r="O517" s="10">
        <v>1.1599999999999999</v>
      </c>
      <c r="P517" s="10">
        <v>0.82399999999999995</v>
      </c>
      <c r="Q517" s="10">
        <v>36.74074074074074</v>
      </c>
      <c r="R517" s="10">
        <v>2.7</v>
      </c>
      <c r="S517" s="10" t="s">
        <v>34</v>
      </c>
      <c r="T517" s="10" t="s">
        <v>36</v>
      </c>
      <c r="U517" s="10" t="s">
        <v>388</v>
      </c>
      <c r="V517" s="10" t="s">
        <v>38</v>
      </c>
      <c r="W517" s="10">
        <v>6</v>
      </c>
      <c r="X517" s="10">
        <v>0.25</v>
      </c>
      <c r="Y517" s="10">
        <v>1</v>
      </c>
      <c r="Z517" s="10" t="s">
        <v>33</v>
      </c>
      <c r="AA517" s="10">
        <v>0.38219999999999998</v>
      </c>
      <c r="AB517" s="10" t="s">
        <v>34</v>
      </c>
      <c r="AC517" s="10" t="s">
        <v>40</v>
      </c>
      <c r="AD517" s="10" t="s">
        <v>277</v>
      </c>
      <c r="AE517" s="10">
        <v>6.6764999999999999</v>
      </c>
      <c r="AF517" s="10" t="s">
        <v>309</v>
      </c>
      <c r="AG517" s="66">
        <v>2023</v>
      </c>
      <c r="AH517" s="10" t="s">
        <v>393</v>
      </c>
      <c r="AI517" s="2">
        <v>40</v>
      </c>
      <c r="AJ517" s="2">
        <v>2</v>
      </c>
      <c r="AK517" s="2">
        <v>1.25</v>
      </c>
    </row>
    <row r="518" spans="1:37" ht="16.2" thickBot="1" x14ac:dyDescent="0.35">
      <c r="A518" s="11">
        <v>9.0909090909090899</v>
      </c>
      <c r="B518" s="11">
        <v>1492.8229665071699</v>
      </c>
      <c r="C518" s="10" t="s">
        <v>33</v>
      </c>
      <c r="D518" s="10" t="s">
        <v>35</v>
      </c>
      <c r="E518" s="10" t="s">
        <v>387</v>
      </c>
      <c r="F518" s="10">
        <v>0.23</v>
      </c>
      <c r="G518" s="10">
        <v>0.4</v>
      </c>
      <c r="H518" s="10">
        <v>0.32</v>
      </c>
      <c r="I518" s="10">
        <v>0.42</v>
      </c>
      <c r="J518" s="10">
        <v>1.83</v>
      </c>
      <c r="K518" s="10">
        <v>1.06</v>
      </c>
      <c r="L518" s="10">
        <v>0</v>
      </c>
      <c r="M518" s="10">
        <v>50</v>
      </c>
      <c r="N518" s="10">
        <v>1355.4216867469879</v>
      </c>
      <c r="O518" s="10">
        <v>1.1599999999999999</v>
      </c>
      <c r="P518" s="10">
        <v>0.82399999999999995</v>
      </c>
      <c r="Q518" s="10">
        <v>36.74074074074074</v>
      </c>
      <c r="R518" s="10">
        <v>2.7</v>
      </c>
      <c r="S518" s="10" t="s">
        <v>34</v>
      </c>
      <c r="T518" s="10" t="s">
        <v>36</v>
      </c>
      <c r="U518" s="10" t="s">
        <v>388</v>
      </c>
      <c r="V518" s="10" t="s">
        <v>38</v>
      </c>
      <c r="W518" s="10">
        <v>6</v>
      </c>
      <c r="X518" s="10">
        <v>0.5</v>
      </c>
      <c r="Y518" s="10">
        <v>1</v>
      </c>
      <c r="Z518" s="10" t="s">
        <v>33</v>
      </c>
      <c r="AA518" s="10">
        <v>0.38219999999999998</v>
      </c>
      <c r="AB518" s="10" t="s">
        <v>34</v>
      </c>
      <c r="AC518" s="10" t="s">
        <v>40</v>
      </c>
      <c r="AD518" s="10" t="s">
        <v>277</v>
      </c>
      <c r="AE518" s="10">
        <v>7.6764999999999999</v>
      </c>
      <c r="AF518" s="10" t="s">
        <v>309</v>
      </c>
      <c r="AG518" s="66">
        <v>2023</v>
      </c>
      <c r="AH518" s="10" t="s">
        <v>393</v>
      </c>
      <c r="AI518" s="2">
        <v>40</v>
      </c>
      <c r="AJ518" s="2">
        <v>2</v>
      </c>
      <c r="AK518" s="2">
        <v>1.25</v>
      </c>
    </row>
    <row r="519" spans="1:37" ht="16.2" thickBot="1" x14ac:dyDescent="0.35">
      <c r="A519" s="11">
        <v>12.511961722488</v>
      </c>
      <c r="B519" s="11">
        <v>5732.0574162679404</v>
      </c>
      <c r="C519" s="10" t="s">
        <v>33</v>
      </c>
      <c r="D519" s="10" t="s">
        <v>35</v>
      </c>
      <c r="E519" s="10" t="s">
        <v>387</v>
      </c>
      <c r="F519" s="10">
        <v>0.23</v>
      </c>
      <c r="G519" s="10">
        <v>0.4</v>
      </c>
      <c r="H519" s="10">
        <v>0.32</v>
      </c>
      <c r="I519" s="10">
        <v>0.42</v>
      </c>
      <c r="J519" s="10">
        <v>1.83</v>
      </c>
      <c r="K519" s="10">
        <v>1.06</v>
      </c>
      <c r="L519" s="10">
        <v>0</v>
      </c>
      <c r="M519" s="10">
        <v>50</v>
      </c>
      <c r="N519" s="10">
        <v>1355.4216867469879</v>
      </c>
      <c r="O519" s="10">
        <v>1.1599999999999999</v>
      </c>
      <c r="P519" s="10">
        <v>0.82399999999999995</v>
      </c>
      <c r="Q519" s="10">
        <v>36.74074074074074</v>
      </c>
      <c r="R519" s="10">
        <v>2.7</v>
      </c>
      <c r="S519" s="10" t="s">
        <v>34</v>
      </c>
      <c r="T519" s="10" t="s">
        <v>36</v>
      </c>
      <c r="U519" s="10" t="s">
        <v>388</v>
      </c>
      <c r="V519" s="10" t="s">
        <v>38</v>
      </c>
      <c r="W519" s="10">
        <v>6</v>
      </c>
      <c r="X519" s="10">
        <v>0.75</v>
      </c>
      <c r="Y519" s="10">
        <v>1</v>
      </c>
      <c r="Z519" s="10" t="s">
        <v>33</v>
      </c>
      <c r="AA519" s="10">
        <v>0.38219999999999998</v>
      </c>
      <c r="AB519" s="10" t="s">
        <v>34</v>
      </c>
      <c r="AC519" s="10" t="s">
        <v>40</v>
      </c>
      <c r="AD519" s="10" t="s">
        <v>277</v>
      </c>
      <c r="AE519" s="10">
        <v>8.6765000000000008</v>
      </c>
      <c r="AF519" s="10" t="s">
        <v>309</v>
      </c>
      <c r="AG519" s="66">
        <v>2023</v>
      </c>
      <c r="AH519" s="10" t="s">
        <v>393</v>
      </c>
      <c r="AI519" s="2">
        <v>40</v>
      </c>
      <c r="AJ519" s="2">
        <v>2</v>
      </c>
      <c r="AK519" s="2">
        <v>1.25</v>
      </c>
    </row>
    <row r="520" spans="1:37" ht="16.2" thickBot="1" x14ac:dyDescent="0.35">
      <c r="A520" s="11">
        <v>16.507177033492798</v>
      </c>
      <c r="B520" s="11">
        <v>8593.3014354067</v>
      </c>
      <c r="C520" s="10" t="s">
        <v>33</v>
      </c>
      <c r="D520" s="10" t="s">
        <v>35</v>
      </c>
      <c r="E520" s="10" t="s">
        <v>387</v>
      </c>
      <c r="F520" s="10">
        <v>0.23</v>
      </c>
      <c r="G520" s="10">
        <v>0.4</v>
      </c>
      <c r="H520" s="10">
        <v>0.32</v>
      </c>
      <c r="I520" s="10">
        <v>0.42</v>
      </c>
      <c r="J520" s="10">
        <v>1.83</v>
      </c>
      <c r="K520" s="10">
        <v>1.06</v>
      </c>
      <c r="L520" s="10">
        <v>0</v>
      </c>
      <c r="M520" s="10">
        <v>50</v>
      </c>
      <c r="N520" s="10">
        <v>1355.4216867469879</v>
      </c>
      <c r="O520" s="10">
        <v>1.1599999999999999</v>
      </c>
      <c r="P520" s="10">
        <v>0.82399999999999995</v>
      </c>
      <c r="Q520" s="10">
        <v>36.74074074074074</v>
      </c>
      <c r="R520" s="10">
        <v>2.7</v>
      </c>
      <c r="S520" s="10" t="s">
        <v>34</v>
      </c>
      <c r="T520" s="10" t="s">
        <v>36</v>
      </c>
      <c r="U520" s="10" t="s">
        <v>388</v>
      </c>
      <c r="V520" s="10" t="s">
        <v>38</v>
      </c>
      <c r="W520" s="10">
        <v>6</v>
      </c>
      <c r="X520" s="10">
        <v>1</v>
      </c>
      <c r="Y520" s="10">
        <v>1</v>
      </c>
      <c r="Z520" s="10" t="s">
        <v>33</v>
      </c>
      <c r="AA520" s="10">
        <v>0.38219999999999998</v>
      </c>
      <c r="AB520" s="10" t="s">
        <v>34</v>
      </c>
      <c r="AC520" s="10" t="s">
        <v>40</v>
      </c>
      <c r="AD520" s="10" t="s">
        <v>277</v>
      </c>
      <c r="AE520" s="10">
        <v>9.6765000000000008</v>
      </c>
      <c r="AF520" s="10" t="s">
        <v>309</v>
      </c>
      <c r="AG520" s="66">
        <v>2023</v>
      </c>
      <c r="AH520" s="10" t="s">
        <v>393</v>
      </c>
      <c r="AI520" s="2">
        <v>40</v>
      </c>
      <c r="AJ520" s="2">
        <v>2</v>
      </c>
      <c r="AK520" s="2">
        <v>1.25</v>
      </c>
    </row>
    <row r="521" spans="1:37" ht="16.2" thickBot="1" x14ac:dyDescent="0.35">
      <c r="A521" s="11">
        <v>17.511961722488</v>
      </c>
      <c r="B521" s="11">
        <v>6220.0956937799001</v>
      </c>
      <c r="C521" s="10" t="s">
        <v>33</v>
      </c>
      <c r="D521" s="10" t="s">
        <v>35</v>
      </c>
      <c r="E521" s="10" t="s">
        <v>387</v>
      </c>
      <c r="F521" s="10">
        <v>0.23</v>
      </c>
      <c r="G521" s="10">
        <v>0.4</v>
      </c>
      <c r="H521" s="10">
        <v>0.32</v>
      </c>
      <c r="I521" s="10">
        <v>0.42</v>
      </c>
      <c r="J521" s="10">
        <v>1.83</v>
      </c>
      <c r="K521" s="10">
        <v>1.06</v>
      </c>
      <c r="L521" s="10">
        <v>0</v>
      </c>
      <c r="M521" s="10">
        <v>50</v>
      </c>
      <c r="N521" s="10">
        <v>1355.4216867469879</v>
      </c>
      <c r="O521" s="10">
        <v>1.1599999999999999</v>
      </c>
      <c r="P521" s="10">
        <v>0.82399999999999995</v>
      </c>
      <c r="Q521" s="10">
        <v>36.74074074074074</v>
      </c>
      <c r="R521" s="10">
        <v>2.7</v>
      </c>
      <c r="S521" s="10" t="s">
        <v>34</v>
      </c>
      <c r="T521" s="10" t="s">
        <v>36</v>
      </c>
      <c r="U521" s="10" t="s">
        <v>388</v>
      </c>
      <c r="V521" s="10" t="s">
        <v>38</v>
      </c>
      <c r="W521" s="10">
        <v>6</v>
      </c>
      <c r="X521" s="10">
        <v>1.25</v>
      </c>
      <c r="Y521" s="10">
        <v>1</v>
      </c>
      <c r="Z521" s="10" t="s">
        <v>33</v>
      </c>
      <c r="AA521" s="10">
        <v>0.38219999999999998</v>
      </c>
      <c r="AB521" s="10" t="s">
        <v>34</v>
      </c>
      <c r="AC521" s="10" t="s">
        <v>40</v>
      </c>
      <c r="AD521" s="10" t="s">
        <v>277</v>
      </c>
      <c r="AE521" s="10">
        <v>10.676500000000001</v>
      </c>
      <c r="AF521" s="10" t="s">
        <v>309</v>
      </c>
      <c r="AG521" s="66">
        <v>2023</v>
      </c>
      <c r="AH521" s="10" t="s">
        <v>393</v>
      </c>
      <c r="AI521" s="2">
        <v>40</v>
      </c>
      <c r="AJ521" s="2">
        <v>2</v>
      </c>
      <c r="AK521" s="2">
        <v>1.25</v>
      </c>
    </row>
    <row r="522" spans="1:37" ht="16.2" thickBot="1" x14ac:dyDescent="0.35">
      <c r="A522" s="11">
        <v>15.2392344497607</v>
      </c>
      <c r="B522" s="11">
        <v>4755.9808612440202</v>
      </c>
      <c r="C522" s="10" t="s">
        <v>33</v>
      </c>
      <c r="D522" s="10" t="s">
        <v>35</v>
      </c>
      <c r="E522" s="10" t="s">
        <v>387</v>
      </c>
      <c r="F522" s="10">
        <v>0.23</v>
      </c>
      <c r="G522" s="10">
        <v>0.4</v>
      </c>
      <c r="H522" s="10">
        <v>0.32</v>
      </c>
      <c r="I522" s="10">
        <v>0.42</v>
      </c>
      <c r="J522" s="10">
        <v>1.83</v>
      </c>
      <c r="K522" s="10">
        <v>1.06</v>
      </c>
      <c r="L522" s="10">
        <v>0</v>
      </c>
      <c r="M522" s="10">
        <v>50</v>
      </c>
      <c r="N522" s="10">
        <v>1355.4216867469879</v>
      </c>
      <c r="O522" s="10">
        <v>1.1599999999999999</v>
      </c>
      <c r="P522" s="10">
        <v>0.82399999999999995</v>
      </c>
      <c r="Q522" s="10">
        <v>36.74074074074074</v>
      </c>
      <c r="R522" s="10">
        <v>2.7</v>
      </c>
      <c r="S522" s="10" t="s">
        <v>34</v>
      </c>
      <c r="T522" s="10" t="s">
        <v>36</v>
      </c>
      <c r="U522" s="10" t="s">
        <v>388</v>
      </c>
      <c r="V522" s="10" t="s">
        <v>38</v>
      </c>
      <c r="W522" s="10">
        <v>6</v>
      </c>
      <c r="X522" s="10">
        <v>1.5</v>
      </c>
      <c r="Y522" s="10">
        <v>1</v>
      </c>
      <c r="Z522" s="10" t="s">
        <v>33</v>
      </c>
      <c r="AA522" s="10">
        <v>0.38219999999999998</v>
      </c>
      <c r="AB522" s="10" t="s">
        <v>34</v>
      </c>
      <c r="AC522" s="10" t="s">
        <v>40</v>
      </c>
      <c r="AD522" s="10" t="s">
        <v>277</v>
      </c>
      <c r="AE522" s="10">
        <v>11.676500000000001</v>
      </c>
      <c r="AF522" s="10" t="s">
        <v>309</v>
      </c>
      <c r="AG522" s="66">
        <v>2023</v>
      </c>
      <c r="AH522" s="10" t="s">
        <v>393</v>
      </c>
      <c r="AI522" s="2">
        <v>40</v>
      </c>
      <c r="AJ522" s="2">
        <v>2</v>
      </c>
      <c r="AK522" s="2">
        <v>1.25</v>
      </c>
    </row>
    <row r="523" spans="1:37" ht="16.2" thickBot="1" x14ac:dyDescent="0.35">
      <c r="A523" s="11">
        <v>13.1100478468899</v>
      </c>
      <c r="B523" s="11">
        <v>2516.7464114832501</v>
      </c>
      <c r="C523" s="10" t="s">
        <v>33</v>
      </c>
      <c r="D523" s="10" t="s">
        <v>35</v>
      </c>
      <c r="E523" s="10" t="s">
        <v>387</v>
      </c>
      <c r="F523" s="10">
        <v>0.23</v>
      </c>
      <c r="G523" s="10">
        <v>0.4</v>
      </c>
      <c r="H523" s="10">
        <v>0.32</v>
      </c>
      <c r="I523" s="10">
        <v>0.42</v>
      </c>
      <c r="J523" s="10">
        <v>1.83</v>
      </c>
      <c r="K523" s="10">
        <v>1.06</v>
      </c>
      <c r="L523" s="10">
        <v>0</v>
      </c>
      <c r="M523" s="10">
        <v>50</v>
      </c>
      <c r="N523" s="10">
        <v>1355.4216867469879</v>
      </c>
      <c r="O523" s="10">
        <v>1.1599999999999999</v>
      </c>
      <c r="P523" s="10">
        <v>0.82399999999999995</v>
      </c>
      <c r="Q523" s="10">
        <v>36.74074074074074</v>
      </c>
      <c r="R523" s="10">
        <v>2.7</v>
      </c>
      <c r="S523" s="10" t="s">
        <v>34</v>
      </c>
      <c r="T523" s="10" t="s">
        <v>36</v>
      </c>
      <c r="U523" s="10" t="s">
        <v>388</v>
      </c>
      <c r="V523" s="10" t="s">
        <v>38</v>
      </c>
      <c r="W523" s="10">
        <v>6</v>
      </c>
      <c r="X523" s="10">
        <v>1.75</v>
      </c>
      <c r="Y523" s="10">
        <v>1</v>
      </c>
      <c r="Z523" s="10" t="s">
        <v>33</v>
      </c>
      <c r="AA523" s="10">
        <v>0.38219999999999998</v>
      </c>
      <c r="AB523" s="10" t="s">
        <v>34</v>
      </c>
      <c r="AC523" s="10" t="s">
        <v>40</v>
      </c>
      <c r="AD523" s="10" t="s">
        <v>277</v>
      </c>
      <c r="AE523" s="10">
        <v>12.676500000000001</v>
      </c>
      <c r="AF523" s="10" t="s">
        <v>309</v>
      </c>
      <c r="AG523" s="66">
        <v>2023</v>
      </c>
      <c r="AH523" s="10" t="s">
        <v>393</v>
      </c>
      <c r="AI523" s="2">
        <v>40</v>
      </c>
      <c r="AJ523" s="2">
        <v>2</v>
      </c>
      <c r="AK523" s="2">
        <v>1.25</v>
      </c>
    </row>
    <row r="524" spans="1:37" ht="16.2" thickBot="1" x14ac:dyDescent="0.35">
      <c r="A524" s="11">
        <v>6.2862669245647904</v>
      </c>
      <c r="B524" s="11">
        <v>560.92843326883303</v>
      </c>
      <c r="C524" s="10" t="s">
        <v>33</v>
      </c>
      <c r="D524" s="10" t="s">
        <v>35</v>
      </c>
      <c r="E524" s="10" t="s">
        <v>387</v>
      </c>
      <c r="F524" s="10">
        <v>0.23</v>
      </c>
      <c r="G524" s="10">
        <v>0.4</v>
      </c>
      <c r="H524" s="10">
        <v>0.32</v>
      </c>
      <c r="I524" s="10">
        <v>0.42</v>
      </c>
      <c r="J524" s="10">
        <v>1.83</v>
      </c>
      <c r="K524" s="10">
        <v>1.06</v>
      </c>
      <c r="L524" s="10">
        <v>0</v>
      </c>
      <c r="M524" s="10">
        <v>50</v>
      </c>
      <c r="N524" s="10">
        <v>1355.4216867469879</v>
      </c>
      <c r="O524" s="10">
        <v>1.1599999999999999</v>
      </c>
      <c r="P524" s="10">
        <v>0.82399999999999995</v>
      </c>
      <c r="Q524" s="10">
        <v>36.74074074074074</v>
      </c>
      <c r="R524" s="10">
        <v>2.7</v>
      </c>
      <c r="S524" s="10" t="s">
        <v>34</v>
      </c>
      <c r="T524" s="10" t="s">
        <v>36</v>
      </c>
      <c r="U524" s="10" t="s">
        <v>388</v>
      </c>
      <c r="V524" s="10" t="s">
        <v>38</v>
      </c>
      <c r="W524" s="10">
        <v>3</v>
      </c>
      <c r="X524" s="10">
        <v>1</v>
      </c>
      <c r="Y524" s="10">
        <v>1</v>
      </c>
      <c r="Z524" s="10" t="s">
        <v>33</v>
      </c>
      <c r="AA524" s="10">
        <v>0.38219999999999998</v>
      </c>
      <c r="AB524" s="10" t="s">
        <v>34</v>
      </c>
      <c r="AC524" s="10" t="s">
        <v>40</v>
      </c>
      <c r="AD524" s="10" t="s">
        <v>277</v>
      </c>
      <c r="AE524" s="10">
        <v>13.676500000000001</v>
      </c>
      <c r="AF524" s="10" t="s">
        <v>309</v>
      </c>
      <c r="AG524" s="66">
        <v>2023</v>
      </c>
      <c r="AH524" s="10" t="s">
        <v>393</v>
      </c>
      <c r="AI524" s="2">
        <v>40</v>
      </c>
      <c r="AJ524" s="2">
        <v>2</v>
      </c>
      <c r="AK524" s="2">
        <v>1.25</v>
      </c>
    </row>
    <row r="525" spans="1:37" ht="16.2" thickBot="1" x14ac:dyDescent="0.35">
      <c r="A525" s="11">
        <v>9.3810444874274594</v>
      </c>
      <c r="B525" s="11">
        <v>1199.2263056092499</v>
      </c>
      <c r="C525" s="10" t="s">
        <v>33</v>
      </c>
      <c r="D525" s="10" t="s">
        <v>35</v>
      </c>
      <c r="E525" s="10" t="s">
        <v>387</v>
      </c>
      <c r="F525" s="10">
        <v>0.23</v>
      </c>
      <c r="G525" s="10">
        <v>0.4</v>
      </c>
      <c r="H525" s="10">
        <v>0.32</v>
      </c>
      <c r="I525" s="10">
        <v>0.42</v>
      </c>
      <c r="J525" s="10">
        <v>1.83</v>
      </c>
      <c r="K525" s="10">
        <v>1.06</v>
      </c>
      <c r="L525" s="10">
        <v>0</v>
      </c>
      <c r="M525" s="10">
        <v>50</v>
      </c>
      <c r="N525" s="10">
        <v>1355.4216867469879</v>
      </c>
      <c r="O525" s="10">
        <v>1.1599999999999999</v>
      </c>
      <c r="P525" s="10">
        <v>0.82399999999999995</v>
      </c>
      <c r="Q525" s="10">
        <v>36.74074074074074</v>
      </c>
      <c r="R525" s="10">
        <v>2.7</v>
      </c>
      <c r="S525" s="10" t="s">
        <v>34</v>
      </c>
      <c r="T525" s="10" t="s">
        <v>36</v>
      </c>
      <c r="U525" s="10" t="s">
        <v>388</v>
      </c>
      <c r="V525" s="10" t="s">
        <v>38</v>
      </c>
      <c r="W525" s="10">
        <v>5</v>
      </c>
      <c r="X525" s="10">
        <v>1</v>
      </c>
      <c r="Y525" s="10">
        <v>1</v>
      </c>
      <c r="Z525" s="10" t="s">
        <v>33</v>
      </c>
      <c r="AA525" s="10">
        <v>0.38219999999999998</v>
      </c>
      <c r="AB525" s="10" t="s">
        <v>34</v>
      </c>
      <c r="AC525" s="10" t="s">
        <v>40</v>
      </c>
      <c r="AD525" s="10" t="s">
        <v>277</v>
      </c>
      <c r="AE525" s="10">
        <v>14.676500000000001</v>
      </c>
      <c r="AF525" s="10" t="s">
        <v>309</v>
      </c>
      <c r="AG525" s="66">
        <v>2023</v>
      </c>
      <c r="AH525" s="10" t="s">
        <v>393</v>
      </c>
      <c r="AI525" s="2">
        <v>40</v>
      </c>
      <c r="AJ525" s="2">
        <v>2</v>
      </c>
      <c r="AK525" s="2">
        <v>1.25</v>
      </c>
    </row>
    <row r="526" spans="1:37" ht="16.2" thickBot="1" x14ac:dyDescent="0.35">
      <c r="A526" s="11">
        <v>12.693423597678899</v>
      </c>
      <c r="B526" s="11">
        <v>6402.3210831721299</v>
      </c>
      <c r="C526" s="10" t="s">
        <v>33</v>
      </c>
      <c r="D526" s="10" t="s">
        <v>35</v>
      </c>
      <c r="E526" s="10" t="s">
        <v>387</v>
      </c>
      <c r="F526" s="10">
        <v>0.23</v>
      </c>
      <c r="G526" s="10">
        <v>0.4</v>
      </c>
      <c r="H526" s="10">
        <v>0.32</v>
      </c>
      <c r="I526" s="10">
        <v>0.42</v>
      </c>
      <c r="J526" s="10">
        <v>1.83</v>
      </c>
      <c r="K526" s="10">
        <v>1.06</v>
      </c>
      <c r="L526" s="10">
        <v>0</v>
      </c>
      <c r="M526" s="10">
        <v>50</v>
      </c>
      <c r="N526" s="10">
        <v>1355.4216867469879</v>
      </c>
      <c r="O526" s="10">
        <v>1.1599999999999999</v>
      </c>
      <c r="P526" s="10">
        <v>0.82399999999999995</v>
      </c>
      <c r="Q526" s="10">
        <v>36.74074074074074</v>
      </c>
      <c r="R526" s="10">
        <v>2.7</v>
      </c>
      <c r="S526" s="10" t="s">
        <v>34</v>
      </c>
      <c r="T526" s="10" t="s">
        <v>36</v>
      </c>
      <c r="U526" s="10" t="s">
        <v>388</v>
      </c>
      <c r="V526" s="10" t="s">
        <v>38</v>
      </c>
      <c r="W526" s="10">
        <v>7</v>
      </c>
      <c r="X526" s="10">
        <v>1</v>
      </c>
      <c r="Y526" s="10">
        <v>1</v>
      </c>
      <c r="Z526" s="10" t="s">
        <v>33</v>
      </c>
      <c r="AA526" s="10">
        <v>0.38219999999999998</v>
      </c>
      <c r="AB526" s="10" t="s">
        <v>34</v>
      </c>
      <c r="AC526" s="10" t="s">
        <v>40</v>
      </c>
      <c r="AD526" s="10" t="s">
        <v>277</v>
      </c>
      <c r="AE526" s="10">
        <v>15.676500000000001</v>
      </c>
      <c r="AF526" s="10" t="s">
        <v>309</v>
      </c>
      <c r="AG526" s="66">
        <v>2023</v>
      </c>
      <c r="AH526" s="10" t="s">
        <v>393</v>
      </c>
      <c r="AI526" s="2">
        <v>40</v>
      </c>
      <c r="AJ526" s="2">
        <v>2</v>
      </c>
      <c r="AK526" s="2">
        <v>1.25</v>
      </c>
    </row>
    <row r="527" spans="1:37" ht="16.2" thickBot="1" x14ac:dyDescent="0.35">
      <c r="A527" s="11">
        <v>18.5203094777562</v>
      </c>
      <c r="B527" s="11">
        <v>11547.3887814313</v>
      </c>
      <c r="C527" s="10" t="s">
        <v>33</v>
      </c>
      <c r="D527" s="10" t="s">
        <v>35</v>
      </c>
      <c r="E527" s="10" t="s">
        <v>387</v>
      </c>
      <c r="F527" s="10">
        <v>0.23</v>
      </c>
      <c r="G527" s="10">
        <v>0.4</v>
      </c>
      <c r="H527" s="10">
        <v>0.32</v>
      </c>
      <c r="I527" s="10">
        <v>0.42</v>
      </c>
      <c r="J527" s="10">
        <v>1.83</v>
      </c>
      <c r="K527" s="10">
        <v>1.06</v>
      </c>
      <c r="L527" s="10">
        <v>0</v>
      </c>
      <c r="M527" s="10">
        <v>50</v>
      </c>
      <c r="N527" s="10">
        <v>1355.4216867469879</v>
      </c>
      <c r="O527" s="10">
        <v>1.1599999999999999</v>
      </c>
      <c r="P527" s="10">
        <v>0.82399999999999995</v>
      </c>
      <c r="Q527" s="10">
        <v>36.74074074074074</v>
      </c>
      <c r="R527" s="10">
        <v>2.7</v>
      </c>
      <c r="S527" s="10" t="s">
        <v>34</v>
      </c>
      <c r="T527" s="10" t="s">
        <v>36</v>
      </c>
      <c r="U527" s="10" t="s">
        <v>388</v>
      </c>
      <c r="V527" s="10" t="s">
        <v>38</v>
      </c>
      <c r="W527" s="10">
        <v>13</v>
      </c>
      <c r="X527" s="10">
        <v>1</v>
      </c>
      <c r="Y527" s="10">
        <v>1</v>
      </c>
      <c r="Z527" s="10" t="s">
        <v>33</v>
      </c>
      <c r="AA527" s="10">
        <v>0.38219999999999998</v>
      </c>
      <c r="AB527" s="10" t="s">
        <v>34</v>
      </c>
      <c r="AC527" s="10" t="s">
        <v>40</v>
      </c>
      <c r="AD527" s="10" t="s">
        <v>277</v>
      </c>
      <c r="AE527" s="10">
        <v>16.676500000000001</v>
      </c>
      <c r="AF527" s="10" t="s">
        <v>309</v>
      </c>
      <c r="AG527" s="66">
        <v>2023</v>
      </c>
      <c r="AH527" s="10" t="s">
        <v>393</v>
      </c>
      <c r="AI527" s="2">
        <v>40</v>
      </c>
      <c r="AJ527" s="2">
        <v>2</v>
      </c>
      <c r="AK527" s="2">
        <v>1.25</v>
      </c>
    </row>
    <row r="528" spans="1:37" ht="16.2" thickBot="1" x14ac:dyDescent="0.35">
      <c r="A528" s="11">
        <v>20.382011605415801</v>
      </c>
      <c r="B528" s="11">
        <v>13771.7601547388</v>
      </c>
      <c r="C528" s="10" t="s">
        <v>33</v>
      </c>
      <c r="D528" s="10" t="s">
        <v>35</v>
      </c>
      <c r="E528" s="10" t="s">
        <v>387</v>
      </c>
      <c r="F528" s="10">
        <v>0.23</v>
      </c>
      <c r="G528" s="10">
        <v>0.4</v>
      </c>
      <c r="H528" s="10">
        <v>0.32</v>
      </c>
      <c r="I528" s="10">
        <v>0.42</v>
      </c>
      <c r="J528" s="10">
        <v>1.83</v>
      </c>
      <c r="K528" s="10">
        <v>1.06</v>
      </c>
      <c r="L528" s="10">
        <v>0</v>
      </c>
      <c r="M528" s="10">
        <v>50</v>
      </c>
      <c r="N528" s="10">
        <v>1355.4216867469879</v>
      </c>
      <c r="O528" s="10">
        <v>1.1599999999999999</v>
      </c>
      <c r="P528" s="10">
        <v>0.82399999999999995</v>
      </c>
      <c r="Q528" s="10">
        <v>36.74074074074074</v>
      </c>
      <c r="R528" s="10">
        <v>2.7</v>
      </c>
      <c r="S528" s="10" t="s">
        <v>34</v>
      </c>
      <c r="T528" s="10" t="s">
        <v>36</v>
      </c>
      <c r="U528" s="10" t="s">
        <v>388</v>
      </c>
      <c r="V528" s="10" t="s">
        <v>38</v>
      </c>
      <c r="W528" s="10">
        <v>15</v>
      </c>
      <c r="X528" s="10">
        <v>1</v>
      </c>
      <c r="Y528" s="10">
        <v>1</v>
      </c>
      <c r="Z528" s="10" t="s">
        <v>33</v>
      </c>
      <c r="AA528" s="10">
        <v>0.38219999999999998</v>
      </c>
      <c r="AB528" s="10" t="s">
        <v>34</v>
      </c>
      <c r="AC528" s="10" t="s">
        <v>40</v>
      </c>
      <c r="AD528" s="10" t="s">
        <v>277</v>
      </c>
      <c r="AE528" s="10">
        <v>17.676500000000001</v>
      </c>
      <c r="AF528" s="10" t="s">
        <v>309</v>
      </c>
      <c r="AG528" s="66">
        <v>2023</v>
      </c>
      <c r="AH528" s="10" t="s">
        <v>393</v>
      </c>
      <c r="AI528" s="2">
        <v>40</v>
      </c>
      <c r="AJ528" s="2">
        <v>2</v>
      </c>
      <c r="AK528" s="2">
        <v>1.25</v>
      </c>
    </row>
    <row r="529" spans="1:37" ht="16.2" thickBot="1" x14ac:dyDescent="0.35">
      <c r="A529" s="11">
        <v>21.179883945841301</v>
      </c>
      <c r="B529" s="11">
        <v>14603.4816247582</v>
      </c>
      <c r="C529" s="10" t="s">
        <v>33</v>
      </c>
      <c r="D529" s="10" t="s">
        <v>35</v>
      </c>
      <c r="E529" s="10" t="s">
        <v>387</v>
      </c>
      <c r="F529" s="10">
        <v>0.23</v>
      </c>
      <c r="G529" s="10">
        <v>0.4</v>
      </c>
      <c r="H529" s="10">
        <v>0.32</v>
      </c>
      <c r="I529" s="10">
        <v>0.42</v>
      </c>
      <c r="J529" s="10">
        <v>1.83</v>
      </c>
      <c r="K529" s="10">
        <v>1.06</v>
      </c>
      <c r="L529" s="10">
        <v>0</v>
      </c>
      <c r="M529" s="10">
        <v>50</v>
      </c>
      <c r="N529" s="10">
        <v>1355.4216867469879</v>
      </c>
      <c r="O529" s="10">
        <v>1.1599999999999999</v>
      </c>
      <c r="P529" s="10">
        <v>0.82399999999999995</v>
      </c>
      <c r="Q529" s="10">
        <v>36.74074074074074</v>
      </c>
      <c r="R529" s="10">
        <v>2.7</v>
      </c>
      <c r="S529" s="10" t="s">
        <v>34</v>
      </c>
      <c r="T529" s="10" t="s">
        <v>36</v>
      </c>
      <c r="U529" s="10" t="s">
        <v>388</v>
      </c>
      <c r="V529" s="10" t="s">
        <v>38</v>
      </c>
      <c r="W529" s="10">
        <v>17</v>
      </c>
      <c r="X529" s="10">
        <v>1</v>
      </c>
      <c r="Y529" s="10">
        <v>1</v>
      </c>
      <c r="Z529" s="10" t="s">
        <v>33</v>
      </c>
      <c r="AA529" s="10">
        <v>0.38219999999999998</v>
      </c>
      <c r="AB529" s="10" t="s">
        <v>34</v>
      </c>
      <c r="AC529" s="10" t="s">
        <v>40</v>
      </c>
      <c r="AD529" s="10" t="s">
        <v>277</v>
      </c>
      <c r="AE529" s="10">
        <v>18.676500000000001</v>
      </c>
      <c r="AF529" s="10" t="s">
        <v>309</v>
      </c>
      <c r="AG529" s="66">
        <v>2023</v>
      </c>
      <c r="AH529" s="10" t="s">
        <v>393</v>
      </c>
      <c r="AI529" s="2">
        <v>40</v>
      </c>
      <c r="AJ529" s="2">
        <v>2</v>
      </c>
      <c r="AK529" s="2">
        <v>1.25</v>
      </c>
    </row>
    <row r="530" spans="1:37" ht="16.2" thickBot="1" x14ac:dyDescent="0.35">
      <c r="A530" s="17">
        <v>21.784332688588002</v>
      </c>
      <c r="B530" s="17">
        <v>15183.7524177949</v>
      </c>
      <c r="C530" s="14" t="s">
        <v>33</v>
      </c>
      <c r="D530" s="14" t="s">
        <v>35</v>
      </c>
      <c r="E530" s="14" t="s">
        <v>387</v>
      </c>
      <c r="F530" s="14">
        <v>0.23</v>
      </c>
      <c r="G530" s="14">
        <v>0.4</v>
      </c>
      <c r="H530" s="14">
        <v>0.32</v>
      </c>
      <c r="I530" s="14">
        <v>0.42</v>
      </c>
      <c r="J530" s="14">
        <v>1.83</v>
      </c>
      <c r="K530" s="14">
        <v>1.06</v>
      </c>
      <c r="L530" s="14">
        <v>0</v>
      </c>
      <c r="M530" s="14">
        <v>50</v>
      </c>
      <c r="N530" s="14">
        <v>1355.4216867469879</v>
      </c>
      <c r="O530" s="14">
        <v>1.1599999999999999</v>
      </c>
      <c r="P530" s="14">
        <v>0.82399999999999995</v>
      </c>
      <c r="Q530" s="14">
        <v>36.74074074074074</v>
      </c>
      <c r="R530" s="14">
        <v>2.7</v>
      </c>
      <c r="S530" s="14" t="s">
        <v>34</v>
      </c>
      <c r="T530" s="14" t="s">
        <v>36</v>
      </c>
      <c r="U530" s="14" t="s">
        <v>388</v>
      </c>
      <c r="V530" s="14" t="s">
        <v>38</v>
      </c>
      <c r="W530" s="14">
        <v>19</v>
      </c>
      <c r="X530" s="14">
        <v>1</v>
      </c>
      <c r="Y530" s="14">
        <v>1</v>
      </c>
      <c r="Z530" s="14" t="s">
        <v>33</v>
      </c>
      <c r="AA530" s="14">
        <v>0.38219999999999998</v>
      </c>
      <c r="AB530" s="14" t="s">
        <v>34</v>
      </c>
      <c r="AC530" s="14" t="s">
        <v>40</v>
      </c>
      <c r="AD530" s="14" t="s">
        <v>277</v>
      </c>
      <c r="AE530" s="14">
        <v>19.676500000000001</v>
      </c>
      <c r="AF530" s="14" t="s">
        <v>309</v>
      </c>
      <c r="AG530" s="66">
        <v>2023</v>
      </c>
      <c r="AH530" s="14" t="s">
        <v>393</v>
      </c>
      <c r="AI530" s="15">
        <v>40</v>
      </c>
      <c r="AJ530" s="15">
        <v>2</v>
      </c>
      <c r="AK530" s="15">
        <v>1.25</v>
      </c>
    </row>
    <row r="531" spans="1:37" x14ac:dyDescent="0.3">
      <c r="A531" s="65">
        <v>1.0201691607026599</v>
      </c>
      <c r="B531" s="65">
        <v>4.8426150121067604</v>
      </c>
      <c r="C531" s="66" t="s">
        <v>34</v>
      </c>
      <c r="D531" s="66" t="s">
        <v>394</v>
      </c>
      <c r="E531" s="66" t="s">
        <v>387</v>
      </c>
      <c r="F531" s="66" t="s">
        <v>34</v>
      </c>
      <c r="G531" s="66" t="s">
        <v>34</v>
      </c>
      <c r="H531" s="13" t="s">
        <v>34</v>
      </c>
      <c r="I531" s="66" t="s">
        <v>34</v>
      </c>
      <c r="J531" s="66" t="s">
        <v>34</v>
      </c>
      <c r="K531" s="66" t="s">
        <v>34</v>
      </c>
      <c r="L531" s="66">
        <v>0</v>
      </c>
      <c r="M531" s="66">
        <v>34.1</v>
      </c>
      <c r="N531" s="66">
        <v>1400.49</v>
      </c>
      <c r="O531" s="66">
        <v>1.143</v>
      </c>
      <c r="P531" s="66">
        <v>0.84099999999999997</v>
      </c>
      <c r="Q531" s="66">
        <v>36.4</v>
      </c>
      <c r="R531" s="66">
        <v>2.8570000000000002</v>
      </c>
      <c r="S531" s="66" t="s">
        <v>34</v>
      </c>
      <c r="T531" s="66" t="s">
        <v>49</v>
      </c>
      <c r="U531" s="66" t="s">
        <v>362</v>
      </c>
      <c r="V531" s="66" t="s">
        <v>38</v>
      </c>
      <c r="W531" s="66" t="s">
        <v>43</v>
      </c>
      <c r="X531" s="66">
        <v>0.5</v>
      </c>
      <c r="Y531" s="66">
        <v>1</v>
      </c>
      <c r="Z531" s="66" t="s">
        <v>339</v>
      </c>
      <c r="AA531" s="66">
        <v>0.47339999999999999</v>
      </c>
      <c r="AB531" s="66" t="s">
        <v>34</v>
      </c>
      <c r="AC531" s="66" t="s">
        <v>391</v>
      </c>
      <c r="AD531" s="66" t="s">
        <v>277</v>
      </c>
      <c r="AE531" s="66">
        <v>0.86780000000000002</v>
      </c>
      <c r="AF531" s="66" t="s">
        <v>395</v>
      </c>
      <c r="AG531" s="66">
        <v>2024</v>
      </c>
      <c r="AH531" s="66" t="s">
        <v>396</v>
      </c>
      <c r="AI531" s="67">
        <v>50</v>
      </c>
      <c r="AJ531" s="67">
        <v>2</v>
      </c>
      <c r="AK531" s="67" t="s">
        <v>34</v>
      </c>
    </row>
    <row r="532" spans="1:37" x14ac:dyDescent="0.3">
      <c r="A532" s="11">
        <v>1.5510735198438499</v>
      </c>
      <c r="B532" s="11">
        <v>5.6497175141243998</v>
      </c>
      <c r="C532" s="10" t="s">
        <v>34</v>
      </c>
      <c r="D532" s="10" t="s">
        <v>394</v>
      </c>
      <c r="E532" s="10" t="s">
        <v>387</v>
      </c>
      <c r="F532" s="10" t="s">
        <v>34</v>
      </c>
      <c r="G532" s="10" t="s">
        <v>34</v>
      </c>
      <c r="H532" s="10" t="s">
        <v>34</v>
      </c>
      <c r="I532" s="10" t="s">
        <v>34</v>
      </c>
      <c r="J532" s="10" t="s">
        <v>34</v>
      </c>
      <c r="K532" s="10" t="s">
        <v>34</v>
      </c>
      <c r="L532" s="10">
        <v>0</v>
      </c>
      <c r="M532" s="10">
        <v>34.1</v>
      </c>
      <c r="N532" s="10">
        <v>1400.49</v>
      </c>
      <c r="O532" s="10">
        <v>1.143</v>
      </c>
      <c r="P532" s="10">
        <v>0.84099999999999997</v>
      </c>
      <c r="Q532" s="10">
        <v>36.4</v>
      </c>
      <c r="R532" s="10">
        <v>2.8570000000000002</v>
      </c>
      <c r="S532" s="10" t="s">
        <v>34</v>
      </c>
      <c r="T532" s="10" t="s">
        <v>49</v>
      </c>
      <c r="U532" s="10" t="s">
        <v>362</v>
      </c>
      <c r="V532" s="10" t="s">
        <v>38</v>
      </c>
      <c r="W532" s="10" t="s">
        <v>43</v>
      </c>
      <c r="X532" s="10">
        <v>0.5</v>
      </c>
      <c r="Y532" s="10">
        <v>1</v>
      </c>
      <c r="Z532" s="10" t="s">
        <v>339</v>
      </c>
      <c r="AA532" s="10">
        <v>0.47339999999999999</v>
      </c>
      <c r="AB532" s="10" t="s">
        <v>34</v>
      </c>
      <c r="AC532" s="10" t="s">
        <v>391</v>
      </c>
      <c r="AD532" s="10" t="s">
        <v>277</v>
      </c>
      <c r="AE532" s="10">
        <v>0.86780000000000002</v>
      </c>
      <c r="AF532" s="10" t="s">
        <v>395</v>
      </c>
      <c r="AG532" s="10">
        <v>2024</v>
      </c>
      <c r="AH532" s="10" t="s">
        <v>396</v>
      </c>
      <c r="AI532" s="2">
        <v>50</v>
      </c>
      <c r="AJ532" s="2">
        <v>2</v>
      </c>
      <c r="AK532" s="2" t="s">
        <v>34</v>
      </c>
    </row>
    <row r="533" spans="1:37" x14ac:dyDescent="0.3">
      <c r="A533" s="11">
        <v>2.6441119063109899</v>
      </c>
      <c r="B533" s="11">
        <v>16.9491525423729</v>
      </c>
      <c r="C533" s="10" t="s">
        <v>34</v>
      </c>
      <c r="D533" s="10" t="s">
        <v>394</v>
      </c>
      <c r="E533" s="10" t="s">
        <v>387</v>
      </c>
      <c r="F533" s="10" t="s">
        <v>34</v>
      </c>
      <c r="G533" s="10" t="s">
        <v>34</v>
      </c>
      <c r="H533" s="10" t="s">
        <v>34</v>
      </c>
      <c r="I533" s="10" t="s">
        <v>34</v>
      </c>
      <c r="J533" s="10" t="s">
        <v>34</v>
      </c>
      <c r="K533" s="10" t="s">
        <v>34</v>
      </c>
      <c r="L533" s="10">
        <v>0</v>
      </c>
      <c r="M533" s="10">
        <v>34.1</v>
      </c>
      <c r="N533" s="10">
        <v>1400.49</v>
      </c>
      <c r="O533" s="10">
        <v>1.143</v>
      </c>
      <c r="P533" s="10">
        <v>0.84099999999999997</v>
      </c>
      <c r="Q533" s="10">
        <v>36.4</v>
      </c>
      <c r="R533" s="10">
        <v>2.8570000000000002</v>
      </c>
      <c r="S533" s="10" t="s">
        <v>34</v>
      </c>
      <c r="T533" s="10" t="s">
        <v>49</v>
      </c>
      <c r="U533" s="10" t="s">
        <v>362</v>
      </c>
      <c r="V533" s="10" t="s">
        <v>38</v>
      </c>
      <c r="W533" s="10" t="s">
        <v>43</v>
      </c>
      <c r="X533" s="10">
        <v>0.5</v>
      </c>
      <c r="Y533" s="10">
        <v>1</v>
      </c>
      <c r="Z533" s="10" t="s">
        <v>339</v>
      </c>
      <c r="AA533" s="10">
        <v>0.47339999999999999</v>
      </c>
      <c r="AB533" s="10" t="s">
        <v>34</v>
      </c>
      <c r="AC533" s="10" t="s">
        <v>391</v>
      </c>
      <c r="AD533" s="10" t="s">
        <v>277</v>
      </c>
      <c r="AE533" s="10">
        <v>0.86780000000000002</v>
      </c>
      <c r="AF533" s="10" t="s">
        <v>395</v>
      </c>
      <c r="AG533" s="10">
        <v>2024</v>
      </c>
      <c r="AH533" s="10" t="s">
        <v>396</v>
      </c>
      <c r="AI533" s="2">
        <v>50</v>
      </c>
      <c r="AJ533" s="2">
        <v>2</v>
      </c>
      <c r="AK533" s="2" t="s">
        <v>34</v>
      </c>
    </row>
    <row r="534" spans="1:37" x14ac:dyDescent="0.3">
      <c r="A534" s="11">
        <v>3.38321405335068</v>
      </c>
      <c r="B534" s="11">
        <v>21.791767554479499</v>
      </c>
      <c r="C534" s="10" t="s">
        <v>34</v>
      </c>
      <c r="D534" s="10" t="s">
        <v>394</v>
      </c>
      <c r="E534" s="10" t="s">
        <v>387</v>
      </c>
      <c r="F534" s="10" t="s">
        <v>34</v>
      </c>
      <c r="G534" s="10" t="s">
        <v>34</v>
      </c>
      <c r="H534" s="10" t="s">
        <v>34</v>
      </c>
      <c r="I534" s="10" t="s">
        <v>34</v>
      </c>
      <c r="J534" s="10" t="s">
        <v>34</v>
      </c>
      <c r="K534" s="10" t="s">
        <v>34</v>
      </c>
      <c r="L534" s="10">
        <v>0</v>
      </c>
      <c r="M534" s="10">
        <v>34.1</v>
      </c>
      <c r="N534" s="10">
        <v>1400.49</v>
      </c>
      <c r="O534" s="10">
        <v>1.143</v>
      </c>
      <c r="P534" s="10">
        <v>0.84099999999999997</v>
      </c>
      <c r="Q534" s="10">
        <v>36.4</v>
      </c>
      <c r="R534" s="10">
        <v>2.8570000000000002</v>
      </c>
      <c r="S534" s="10" t="s">
        <v>34</v>
      </c>
      <c r="T534" s="10" t="s">
        <v>49</v>
      </c>
      <c r="U534" s="10" t="s">
        <v>362</v>
      </c>
      <c r="V534" s="10" t="s">
        <v>38</v>
      </c>
      <c r="W534" s="10" t="s">
        <v>43</v>
      </c>
      <c r="X534" s="10">
        <v>0.5</v>
      </c>
      <c r="Y534" s="10">
        <v>1</v>
      </c>
      <c r="Z534" s="10" t="s">
        <v>339</v>
      </c>
      <c r="AA534" s="10">
        <v>0.47339999999999999</v>
      </c>
      <c r="AB534" s="10" t="s">
        <v>34</v>
      </c>
      <c r="AC534" s="10" t="s">
        <v>391</v>
      </c>
      <c r="AD534" s="10" t="s">
        <v>277</v>
      </c>
      <c r="AE534" s="10">
        <v>0.86780000000000002</v>
      </c>
      <c r="AF534" s="10" t="s">
        <v>395</v>
      </c>
      <c r="AG534" s="10">
        <v>2024</v>
      </c>
      <c r="AH534" s="10" t="s">
        <v>396</v>
      </c>
      <c r="AI534" s="2">
        <v>50</v>
      </c>
      <c r="AJ534" s="2">
        <v>2</v>
      </c>
      <c r="AK534" s="2" t="s">
        <v>34</v>
      </c>
    </row>
    <row r="535" spans="1:37" x14ac:dyDescent="0.3">
      <c r="A535" s="11">
        <v>4.5178919973975296</v>
      </c>
      <c r="B535" s="11">
        <v>27.4414850686039</v>
      </c>
      <c r="C535" s="10" t="s">
        <v>34</v>
      </c>
      <c r="D535" s="10" t="s">
        <v>394</v>
      </c>
      <c r="E535" s="10" t="s">
        <v>387</v>
      </c>
      <c r="F535" s="10" t="s">
        <v>34</v>
      </c>
      <c r="G535" s="10" t="s">
        <v>34</v>
      </c>
      <c r="H535" s="10" t="s">
        <v>34</v>
      </c>
      <c r="I535" s="10" t="s">
        <v>34</v>
      </c>
      <c r="J535" s="10" t="s">
        <v>34</v>
      </c>
      <c r="K535" s="10" t="s">
        <v>34</v>
      </c>
      <c r="L535" s="10">
        <v>0</v>
      </c>
      <c r="M535" s="10">
        <v>34.1</v>
      </c>
      <c r="N535" s="10">
        <v>1400.49</v>
      </c>
      <c r="O535" s="10">
        <v>1.143</v>
      </c>
      <c r="P535" s="10">
        <v>0.84099999999999997</v>
      </c>
      <c r="Q535" s="10">
        <v>36.4</v>
      </c>
      <c r="R535" s="10">
        <v>2.8570000000000002</v>
      </c>
      <c r="S535" s="10" t="s">
        <v>34</v>
      </c>
      <c r="T535" s="10" t="s">
        <v>49</v>
      </c>
      <c r="U535" s="10" t="s">
        <v>362</v>
      </c>
      <c r="V535" s="10" t="s">
        <v>38</v>
      </c>
      <c r="W535" s="10" t="s">
        <v>43</v>
      </c>
      <c r="X535" s="10">
        <v>0.5</v>
      </c>
      <c r="Y535" s="10">
        <v>1</v>
      </c>
      <c r="Z535" s="10" t="s">
        <v>339</v>
      </c>
      <c r="AA535" s="10">
        <v>0.47339999999999999</v>
      </c>
      <c r="AB535" s="10" t="s">
        <v>34</v>
      </c>
      <c r="AC535" s="10" t="s">
        <v>391</v>
      </c>
      <c r="AD535" s="10" t="s">
        <v>277</v>
      </c>
      <c r="AE535" s="10">
        <v>0.86780000000000002</v>
      </c>
      <c r="AF535" s="10" t="s">
        <v>395</v>
      </c>
      <c r="AG535" s="10">
        <v>2024</v>
      </c>
      <c r="AH535" s="10" t="s">
        <v>396</v>
      </c>
      <c r="AI535" s="2">
        <v>50</v>
      </c>
      <c r="AJ535" s="2">
        <v>2</v>
      </c>
      <c r="AK535" s="2" t="s">
        <v>34</v>
      </c>
    </row>
    <row r="536" spans="1:37" x14ac:dyDescent="0.3">
      <c r="A536" s="11">
        <v>5.17371502927781</v>
      </c>
      <c r="B536" s="11">
        <v>38.7409200968522</v>
      </c>
      <c r="C536" s="10" t="s">
        <v>34</v>
      </c>
      <c r="D536" s="10" t="s">
        <v>394</v>
      </c>
      <c r="E536" s="10" t="s">
        <v>387</v>
      </c>
      <c r="F536" s="10" t="s">
        <v>34</v>
      </c>
      <c r="G536" s="10" t="s">
        <v>34</v>
      </c>
      <c r="H536" s="10" t="s">
        <v>34</v>
      </c>
      <c r="I536" s="10" t="s">
        <v>34</v>
      </c>
      <c r="J536" s="10" t="s">
        <v>34</v>
      </c>
      <c r="K536" s="10" t="s">
        <v>34</v>
      </c>
      <c r="L536" s="10">
        <v>0</v>
      </c>
      <c r="M536" s="10">
        <v>34.1</v>
      </c>
      <c r="N536" s="10">
        <v>1400.49</v>
      </c>
      <c r="O536" s="10">
        <v>1.143</v>
      </c>
      <c r="P536" s="10">
        <v>0.84099999999999997</v>
      </c>
      <c r="Q536" s="10">
        <v>36.4</v>
      </c>
      <c r="R536" s="10">
        <v>2.8570000000000002</v>
      </c>
      <c r="S536" s="10" t="s">
        <v>34</v>
      </c>
      <c r="T536" s="10" t="s">
        <v>49</v>
      </c>
      <c r="U536" s="10" t="s">
        <v>362</v>
      </c>
      <c r="V536" s="10" t="s">
        <v>38</v>
      </c>
      <c r="W536" s="10" t="s">
        <v>43</v>
      </c>
      <c r="X536" s="10">
        <v>0.5</v>
      </c>
      <c r="Y536" s="10">
        <v>1</v>
      </c>
      <c r="Z536" s="10" t="s">
        <v>339</v>
      </c>
      <c r="AA536" s="10">
        <v>0.47339999999999999</v>
      </c>
      <c r="AB536" s="10" t="s">
        <v>34</v>
      </c>
      <c r="AC536" s="10" t="s">
        <v>391</v>
      </c>
      <c r="AD536" s="10" t="s">
        <v>277</v>
      </c>
      <c r="AE536" s="10">
        <v>0.86780000000000002</v>
      </c>
      <c r="AF536" s="10" t="s">
        <v>395</v>
      </c>
      <c r="AG536" s="10">
        <v>2024</v>
      </c>
      <c r="AH536" s="10" t="s">
        <v>396</v>
      </c>
      <c r="AI536" s="2">
        <v>50</v>
      </c>
      <c r="AJ536" s="2">
        <v>2</v>
      </c>
      <c r="AK536" s="2" t="s">
        <v>34</v>
      </c>
    </row>
    <row r="537" spans="1:37" x14ac:dyDescent="0.3">
      <c r="A537" s="11">
        <v>5.8295380611581002</v>
      </c>
      <c r="B537" s="11">
        <v>58.111380145278503</v>
      </c>
      <c r="C537" s="10" t="s">
        <v>34</v>
      </c>
      <c r="D537" s="10" t="s">
        <v>394</v>
      </c>
      <c r="E537" s="10" t="s">
        <v>387</v>
      </c>
      <c r="F537" s="10" t="s">
        <v>34</v>
      </c>
      <c r="G537" s="10" t="s">
        <v>34</v>
      </c>
      <c r="H537" s="10" t="s">
        <v>34</v>
      </c>
      <c r="I537" s="10" t="s">
        <v>34</v>
      </c>
      <c r="J537" s="10" t="s">
        <v>34</v>
      </c>
      <c r="K537" s="10" t="s">
        <v>34</v>
      </c>
      <c r="L537" s="10">
        <v>0</v>
      </c>
      <c r="M537" s="10">
        <v>34.1</v>
      </c>
      <c r="N537" s="10">
        <v>1400.49</v>
      </c>
      <c r="O537" s="10">
        <v>1.143</v>
      </c>
      <c r="P537" s="10">
        <v>0.84099999999999997</v>
      </c>
      <c r="Q537" s="10">
        <v>36.4</v>
      </c>
      <c r="R537" s="10">
        <v>2.8570000000000002</v>
      </c>
      <c r="S537" s="10" t="s">
        <v>34</v>
      </c>
      <c r="T537" s="10" t="s">
        <v>49</v>
      </c>
      <c r="U537" s="10" t="s">
        <v>362</v>
      </c>
      <c r="V537" s="10" t="s">
        <v>38</v>
      </c>
      <c r="W537" s="10" t="s">
        <v>43</v>
      </c>
      <c r="X537" s="10">
        <v>0.5</v>
      </c>
      <c r="Y537" s="10">
        <v>1</v>
      </c>
      <c r="Z537" s="10" t="s">
        <v>339</v>
      </c>
      <c r="AA537" s="10">
        <v>0.47339999999999999</v>
      </c>
      <c r="AB537" s="10" t="s">
        <v>34</v>
      </c>
      <c r="AC537" s="10" t="s">
        <v>391</v>
      </c>
      <c r="AD537" s="10" t="s">
        <v>277</v>
      </c>
      <c r="AE537" s="10">
        <v>0.86780000000000002</v>
      </c>
      <c r="AF537" s="10" t="s">
        <v>395</v>
      </c>
      <c r="AG537" s="10">
        <v>2024</v>
      </c>
      <c r="AH537" s="10" t="s">
        <v>396</v>
      </c>
      <c r="AI537" s="2">
        <v>50</v>
      </c>
      <c r="AJ537" s="2">
        <v>2</v>
      </c>
      <c r="AK537" s="2" t="s">
        <v>34</v>
      </c>
    </row>
    <row r="538" spans="1:37" x14ac:dyDescent="0.3">
      <c r="A538" s="11">
        <v>6.91216655823031</v>
      </c>
      <c r="B538" s="11">
        <v>30.669895076674901</v>
      </c>
      <c r="C538" s="10" t="s">
        <v>34</v>
      </c>
      <c r="D538" s="10" t="s">
        <v>394</v>
      </c>
      <c r="E538" s="10" t="s">
        <v>387</v>
      </c>
      <c r="F538" s="10" t="s">
        <v>34</v>
      </c>
      <c r="G538" s="10" t="s">
        <v>34</v>
      </c>
      <c r="H538" s="10" t="s">
        <v>34</v>
      </c>
      <c r="I538" s="10" t="s">
        <v>34</v>
      </c>
      <c r="J538" s="10" t="s">
        <v>34</v>
      </c>
      <c r="K538" s="10" t="s">
        <v>34</v>
      </c>
      <c r="L538" s="10">
        <v>0</v>
      </c>
      <c r="M538" s="10">
        <v>34.1</v>
      </c>
      <c r="N538" s="10">
        <v>1400.49</v>
      </c>
      <c r="O538" s="10">
        <v>1.143</v>
      </c>
      <c r="P538" s="10">
        <v>0.84099999999999997</v>
      </c>
      <c r="Q538" s="10">
        <v>36.4</v>
      </c>
      <c r="R538" s="10">
        <v>2.8570000000000002</v>
      </c>
      <c r="S538" s="10" t="s">
        <v>34</v>
      </c>
      <c r="T538" s="10" t="s">
        <v>49</v>
      </c>
      <c r="U538" s="10" t="s">
        <v>362</v>
      </c>
      <c r="V538" s="10" t="s">
        <v>38</v>
      </c>
      <c r="W538" s="10" t="s">
        <v>43</v>
      </c>
      <c r="X538" s="10">
        <v>0.5</v>
      </c>
      <c r="Y538" s="10">
        <v>1</v>
      </c>
      <c r="Z538" s="10" t="s">
        <v>339</v>
      </c>
      <c r="AA538" s="10">
        <v>0.47339999999999999</v>
      </c>
      <c r="AB538" s="10" t="s">
        <v>34</v>
      </c>
      <c r="AC538" s="10" t="s">
        <v>391</v>
      </c>
      <c r="AD538" s="10" t="s">
        <v>277</v>
      </c>
      <c r="AE538" s="10">
        <v>0.86780000000000002</v>
      </c>
      <c r="AF538" s="10" t="s">
        <v>395</v>
      </c>
      <c r="AG538" s="10">
        <v>2024</v>
      </c>
      <c r="AH538" s="10" t="s">
        <v>396</v>
      </c>
      <c r="AI538" s="2">
        <v>50</v>
      </c>
      <c r="AJ538" s="2">
        <v>2</v>
      </c>
      <c r="AK538" s="2" t="s">
        <v>34</v>
      </c>
    </row>
    <row r="539" spans="1:37" x14ac:dyDescent="0.3">
      <c r="A539" s="11">
        <v>6.6206896551724101</v>
      </c>
      <c r="B539" s="11">
        <v>45.197740112994502</v>
      </c>
      <c r="C539" s="10" t="s">
        <v>34</v>
      </c>
      <c r="D539" s="10" t="s">
        <v>394</v>
      </c>
      <c r="E539" s="10" t="s">
        <v>387</v>
      </c>
      <c r="F539" s="10" t="s">
        <v>34</v>
      </c>
      <c r="G539" s="10" t="s">
        <v>34</v>
      </c>
      <c r="H539" s="10" t="s">
        <v>34</v>
      </c>
      <c r="I539" s="10" t="s">
        <v>34</v>
      </c>
      <c r="J539" s="10" t="s">
        <v>34</v>
      </c>
      <c r="K539" s="10" t="s">
        <v>34</v>
      </c>
      <c r="L539" s="10">
        <v>0</v>
      </c>
      <c r="M539" s="10">
        <v>34.1</v>
      </c>
      <c r="N539" s="10">
        <v>1400.49</v>
      </c>
      <c r="O539" s="10">
        <v>1.143</v>
      </c>
      <c r="P539" s="10">
        <v>0.84099999999999997</v>
      </c>
      <c r="Q539" s="10">
        <v>36.4</v>
      </c>
      <c r="R539" s="10">
        <v>2.8570000000000002</v>
      </c>
      <c r="S539" s="10" t="s">
        <v>34</v>
      </c>
      <c r="T539" s="10" t="s">
        <v>49</v>
      </c>
      <c r="U539" s="10" t="s">
        <v>362</v>
      </c>
      <c r="V539" s="10" t="s">
        <v>38</v>
      </c>
      <c r="W539" s="10" t="s">
        <v>43</v>
      </c>
      <c r="X539" s="10">
        <v>0.5</v>
      </c>
      <c r="Y539" s="10">
        <v>1</v>
      </c>
      <c r="Z539" s="10" t="s">
        <v>339</v>
      </c>
      <c r="AA539" s="10">
        <v>0.47339999999999999</v>
      </c>
      <c r="AB539" s="10" t="s">
        <v>34</v>
      </c>
      <c r="AC539" s="10" t="s">
        <v>391</v>
      </c>
      <c r="AD539" s="10" t="s">
        <v>277</v>
      </c>
      <c r="AE539" s="10">
        <v>0.86780000000000002</v>
      </c>
      <c r="AF539" s="10" t="s">
        <v>395</v>
      </c>
      <c r="AG539" s="10">
        <v>2024</v>
      </c>
      <c r="AH539" s="10" t="s">
        <v>396</v>
      </c>
      <c r="AI539" s="2">
        <v>50</v>
      </c>
      <c r="AJ539" s="2">
        <v>2</v>
      </c>
      <c r="AK539" s="2" t="s">
        <v>34</v>
      </c>
    </row>
    <row r="540" spans="1:37" x14ac:dyDescent="0.3">
      <c r="A540" s="11">
        <v>6.5270006506180804</v>
      </c>
      <c r="B540" s="11">
        <v>58.111380145278503</v>
      </c>
      <c r="C540" s="10" t="s">
        <v>34</v>
      </c>
      <c r="D540" s="10" t="s">
        <v>394</v>
      </c>
      <c r="E540" s="10" t="s">
        <v>387</v>
      </c>
      <c r="F540" s="10" t="s">
        <v>34</v>
      </c>
      <c r="G540" s="10" t="s">
        <v>34</v>
      </c>
      <c r="H540" s="10" t="s">
        <v>34</v>
      </c>
      <c r="I540" s="10" t="s">
        <v>34</v>
      </c>
      <c r="J540" s="10" t="s">
        <v>34</v>
      </c>
      <c r="K540" s="10" t="s">
        <v>34</v>
      </c>
      <c r="L540" s="10">
        <v>0</v>
      </c>
      <c r="M540" s="10">
        <v>34.1</v>
      </c>
      <c r="N540" s="10">
        <v>1400.49</v>
      </c>
      <c r="O540" s="10">
        <v>1.143</v>
      </c>
      <c r="P540" s="10">
        <v>0.84099999999999997</v>
      </c>
      <c r="Q540" s="10">
        <v>36.4</v>
      </c>
      <c r="R540" s="10">
        <v>2.8570000000000002</v>
      </c>
      <c r="S540" s="10" t="s">
        <v>34</v>
      </c>
      <c r="T540" s="10" t="s">
        <v>49</v>
      </c>
      <c r="U540" s="10" t="s">
        <v>362</v>
      </c>
      <c r="V540" s="10" t="s">
        <v>38</v>
      </c>
      <c r="W540" s="10" t="s">
        <v>43</v>
      </c>
      <c r="X540" s="10">
        <v>0.5</v>
      </c>
      <c r="Y540" s="10">
        <v>1</v>
      </c>
      <c r="Z540" s="10" t="s">
        <v>339</v>
      </c>
      <c r="AA540" s="10">
        <v>0.47339999999999999</v>
      </c>
      <c r="AB540" s="10" t="s">
        <v>34</v>
      </c>
      <c r="AC540" s="10" t="s">
        <v>391</v>
      </c>
      <c r="AD540" s="10" t="s">
        <v>277</v>
      </c>
      <c r="AE540" s="10">
        <v>0.86780000000000002</v>
      </c>
      <c r="AF540" s="10" t="s">
        <v>395</v>
      </c>
      <c r="AG540" s="10">
        <v>2024</v>
      </c>
      <c r="AH540" s="10" t="s">
        <v>396</v>
      </c>
      <c r="AI540" s="2">
        <v>50</v>
      </c>
      <c r="AJ540" s="2">
        <v>2</v>
      </c>
      <c r="AK540" s="2" t="s">
        <v>34</v>
      </c>
    </row>
    <row r="541" spans="1:37" x14ac:dyDescent="0.3">
      <c r="A541" s="11">
        <v>6.46454131424853</v>
      </c>
      <c r="B541" s="11">
        <v>92.009685230024104</v>
      </c>
      <c r="C541" s="10" t="s">
        <v>34</v>
      </c>
      <c r="D541" s="10" t="s">
        <v>394</v>
      </c>
      <c r="E541" s="10" t="s">
        <v>387</v>
      </c>
      <c r="F541" s="10" t="s">
        <v>34</v>
      </c>
      <c r="G541" s="10" t="s">
        <v>34</v>
      </c>
      <c r="H541" s="10" t="s">
        <v>34</v>
      </c>
      <c r="I541" s="10" t="s">
        <v>34</v>
      </c>
      <c r="J541" s="10" t="s">
        <v>34</v>
      </c>
      <c r="K541" s="10" t="s">
        <v>34</v>
      </c>
      <c r="L541" s="10">
        <v>0</v>
      </c>
      <c r="M541" s="10">
        <v>34.1</v>
      </c>
      <c r="N541" s="10">
        <v>1400.49</v>
      </c>
      <c r="O541" s="10">
        <v>1.143</v>
      </c>
      <c r="P541" s="10">
        <v>0.84099999999999997</v>
      </c>
      <c r="Q541" s="10">
        <v>36.4</v>
      </c>
      <c r="R541" s="10">
        <v>2.8570000000000002</v>
      </c>
      <c r="S541" s="10" t="s">
        <v>34</v>
      </c>
      <c r="T541" s="10" t="s">
        <v>49</v>
      </c>
      <c r="U541" s="10" t="s">
        <v>362</v>
      </c>
      <c r="V541" s="10" t="s">
        <v>38</v>
      </c>
      <c r="W541" s="10" t="s">
        <v>43</v>
      </c>
      <c r="X541" s="10">
        <v>0.5</v>
      </c>
      <c r="Y541" s="10">
        <v>1</v>
      </c>
      <c r="Z541" s="10" t="s">
        <v>339</v>
      </c>
      <c r="AA541" s="10">
        <v>0.47339999999999999</v>
      </c>
      <c r="AB541" s="10" t="s">
        <v>34</v>
      </c>
      <c r="AC541" s="10" t="s">
        <v>391</v>
      </c>
      <c r="AD541" s="10" t="s">
        <v>277</v>
      </c>
      <c r="AE541" s="10">
        <v>0.86780000000000002</v>
      </c>
      <c r="AF541" s="10" t="s">
        <v>395</v>
      </c>
      <c r="AG541" s="10">
        <v>2024</v>
      </c>
      <c r="AH541" s="10" t="s">
        <v>396</v>
      </c>
      <c r="AI541" s="2">
        <v>50</v>
      </c>
      <c r="AJ541" s="2">
        <v>2</v>
      </c>
      <c r="AK541" s="2" t="s">
        <v>34</v>
      </c>
    </row>
    <row r="542" spans="1:37" x14ac:dyDescent="0.3">
      <c r="A542" s="11">
        <v>7.2036434612882196</v>
      </c>
      <c r="B542" s="11">
        <v>77.481840193704599</v>
      </c>
      <c r="C542" s="10" t="s">
        <v>34</v>
      </c>
      <c r="D542" s="10" t="s">
        <v>394</v>
      </c>
      <c r="E542" s="10" t="s">
        <v>387</v>
      </c>
      <c r="F542" s="10" t="s">
        <v>34</v>
      </c>
      <c r="G542" s="10" t="s">
        <v>34</v>
      </c>
      <c r="H542" s="10" t="s">
        <v>34</v>
      </c>
      <c r="I542" s="10" t="s">
        <v>34</v>
      </c>
      <c r="J542" s="10" t="s">
        <v>34</v>
      </c>
      <c r="K542" s="10" t="s">
        <v>34</v>
      </c>
      <c r="L542" s="10">
        <v>0</v>
      </c>
      <c r="M542" s="10">
        <v>34.1</v>
      </c>
      <c r="N542" s="10">
        <v>1400.49</v>
      </c>
      <c r="O542" s="10">
        <v>1.143</v>
      </c>
      <c r="P542" s="10">
        <v>0.84099999999999997</v>
      </c>
      <c r="Q542" s="10">
        <v>36.4</v>
      </c>
      <c r="R542" s="10">
        <v>2.8570000000000002</v>
      </c>
      <c r="S542" s="10" t="s">
        <v>34</v>
      </c>
      <c r="T542" s="10" t="s">
        <v>49</v>
      </c>
      <c r="U542" s="10" t="s">
        <v>362</v>
      </c>
      <c r="V542" s="10" t="s">
        <v>38</v>
      </c>
      <c r="W542" s="10" t="s">
        <v>43</v>
      </c>
      <c r="X542" s="10">
        <v>0.5</v>
      </c>
      <c r="Y542" s="10">
        <v>1</v>
      </c>
      <c r="Z542" s="10" t="s">
        <v>339</v>
      </c>
      <c r="AA542" s="10">
        <v>0.47339999999999999</v>
      </c>
      <c r="AB542" s="10" t="s">
        <v>34</v>
      </c>
      <c r="AC542" s="10" t="s">
        <v>391</v>
      </c>
      <c r="AD542" s="10" t="s">
        <v>277</v>
      </c>
      <c r="AE542" s="10">
        <v>0.86780000000000002</v>
      </c>
      <c r="AF542" s="10" t="s">
        <v>395</v>
      </c>
      <c r="AG542" s="10">
        <v>2024</v>
      </c>
      <c r="AH542" s="10" t="s">
        <v>396</v>
      </c>
      <c r="AI542" s="2">
        <v>50</v>
      </c>
      <c r="AJ542" s="2">
        <v>2</v>
      </c>
      <c r="AK542" s="2" t="s">
        <v>34</v>
      </c>
    </row>
    <row r="543" spans="1:37" x14ac:dyDescent="0.3">
      <c r="A543" s="11">
        <v>3.82042940793754</v>
      </c>
      <c r="B543" s="11">
        <v>118.64406779661</v>
      </c>
      <c r="C543" s="10" t="s">
        <v>34</v>
      </c>
      <c r="D543" s="10" t="s">
        <v>394</v>
      </c>
      <c r="E543" s="10" t="s">
        <v>387</v>
      </c>
      <c r="F543" s="10" t="s">
        <v>34</v>
      </c>
      <c r="G543" s="10" t="s">
        <v>34</v>
      </c>
      <c r="H543" s="10" t="s">
        <v>34</v>
      </c>
      <c r="I543" s="10" t="s">
        <v>34</v>
      </c>
      <c r="J543" s="10" t="s">
        <v>34</v>
      </c>
      <c r="K543" s="10" t="s">
        <v>34</v>
      </c>
      <c r="L543" s="10">
        <v>0</v>
      </c>
      <c r="M543" s="10">
        <v>34.1</v>
      </c>
      <c r="N543" s="10">
        <v>1400.49</v>
      </c>
      <c r="O543" s="10">
        <v>1.143</v>
      </c>
      <c r="P543" s="10">
        <v>0.84099999999999997</v>
      </c>
      <c r="Q543" s="10">
        <v>36.4</v>
      </c>
      <c r="R543" s="10">
        <v>2.8570000000000002</v>
      </c>
      <c r="S543" s="10" t="s">
        <v>34</v>
      </c>
      <c r="T543" s="10" t="s">
        <v>49</v>
      </c>
      <c r="U543" s="10" t="s">
        <v>362</v>
      </c>
      <c r="V543" s="10" t="s">
        <v>38</v>
      </c>
      <c r="W543" s="10" t="s">
        <v>43</v>
      </c>
      <c r="X543" s="10">
        <v>0.5</v>
      </c>
      <c r="Y543" s="10">
        <v>1</v>
      </c>
      <c r="Z543" s="10" t="s">
        <v>339</v>
      </c>
      <c r="AA543" s="10">
        <v>0.31900000000000001</v>
      </c>
      <c r="AB543" s="10" t="s">
        <v>34</v>
      </c>
      <c r="AC543" s="10" t="s">
        <v>397</v>
      </c>
      <c r="AD543" s="10" t="s">
        <v>277</v>
      </c>
      <c r="AE543" s="10">
        <v>0.86780000000000002</v>
      </c>
      <c r="AF543" s="10" t="s">
        <v>395</v>
      </c>
      <c r="AG543" s="10">
        <v>2024</v>
      </c>
      <c r="AH543" s="10" t="s">
        <v>396</v>
      </c>
      <c r="AI543" s="2">
        <v>50</v>
      </c>
      <c r="AJ543" s="2">
        <v>2</v>
      </c>
      <c r="AK543" s="2" t="s">
        <v>34</v>
      </c>
    </row>
    <row r="544" spans="1:37" x14ac:dyDescent="0.3">
      <c r="A544" s="11">
        <v>4.1431359791802196</v>
      </c>
      <c r="B544" s="11">
        <v>127.522195318805</v>
      </c>
      <c r="C544" s="10" t="s">
        <v>34</v>
      </c>
      <c r="D544" s="10" t="s">
        <v>394</v>
      </c>
      <c r="E544" s="10" t="s">
        <v>387</v>
      </c>
      <c r="F544" s="10" t="s">
        <v>34</v>
      </c>
      <c r="G544" s="10" t="s">
        <v>34</v>
      </c>
      <c r="H544" s="10" t="s">
        <v>34</v>
      </c>
      <c r="I544" s="10" t="s">
        <v>34</v>
      </c>
      <c r="J544" s="10" t="s">
        <v>34</v>
      </c>
      <c r="K544" s="10" t="s">
        <v>34</v>
      </c>
      <c r="L544" s="10">
        <v>0</v>
      </c>
      <c r="M544" s="10">
        <v>34.1</v>
      </c>
      <c r="N544" s="10">
        <v>1400.49</v>
      </c>
      <c r="O544" s="10">
        <v>1.143</v>
      </c>
      <c r="P544" s="10">
        <v>0.84099999999999997</v>
      </c>
      <c r="Q544" s="10">
        <v>36.4</v>
      </c>
      <c r="R544" s="10">
        <v>2.8570000000000002</v>
      </c>
      <c r="S544" s="10" t="s">
        <v>34</v>
      </c>
      <c r="T544" s="10" t="s">
        <v>49</v>
      </c>
      <c r="U544" s="10" t="s">
        <v>362</v>
      </c>
      <c r="V544" s="10" t="s">
        <v>38</v>
      </c>
      <c r="W544" s="10" t="s">
        <v>43</v>
      </c>
      <c r="X544" s="10">
        <v>0.5</v>
      </c>
      <c r="Y544" s="10">
        <v>1</v>
      </c>
      <c r="Z544" s="10" t="s">
        <v>339</v>
      </c>
      <c r="AA544" s="10">
        <v>0.31900000000000001</v>
      </c>
      <c r="AB544" s="10" t="s">
        <v>34</v>
      </c>
      <c r="AC544" s="10" t="s">
        <v>397</v>
      </c>
      <c r="AD544" s="10" t="s">
        <v>277</v>
      </c>
      <c r="AE544" s="10">
        <v>0.86780000000000002</v>
      </c>
      <c r="AF544" s="10" t="s">
        <v>395</v>
      </c>
      <c r="AG544" s="10">
        <v>2024</v>
      </c>
      <c r="AH544" s="10" t="s">
        <v>396</v>
      </c>
      <c r="AI544" s="2">
        <v>50</v>
      </c>
      <c r="AJ544" s="2">
        <v>2</v>
      </c>
      <c r="AK544" s="2" t="s">
        <v>34</v>
      </c>
    </row>
    <row r="545" spans="1:37" x14ac:dyDescent="0.3">
      <c r="A545" s="11">
        <v>4.90305790500976</v>
      </c>
      <c r="B545" s="11">
        <v>121.872477804681</v>
      </c>
      <c r="C545" s="10" t="s">
        <v>34</v>
      </c>
      <c r="D545" s="10" t="s">
        <v>394</v>
      </c>
      <c r="E545" s="10" t="s">
        <v>387</v>
      </c>
      <c r="F545" s="10" t="s">
        <v>34</v>
      </c>
      <c r="G545" s="10" t="s">
        <v>34</v>
      </c>
      <c r="H545" s="10" t="s">
        <v>34</v>
      </c>
      <c r="I545" s="10" t="s">
        <v>34</v>
      </c>
      <c r="J545" s="10" t="s">
        <v>34</v>
      </c>
      <c r="K545" s="10" t="s">
        <v>34</v>
      </c>
      <c r="L545" s="10">
        <v>0</v>
      </c>
      <c r="M545" s="10">
        <v>34.1</v>
      </c>
      <c r="N545" s="10">
        <v>1400.49</v>
      </c>
      <c r="O545" s="10">
        <v>1.143</v>
      </c>
      <c r="P545" s="10">
        <v>0.84099999999999997</v>
      </c>
      <c r="Q545" s="10">
        <v>36.4</v>
      </c>
      <c r="R545" s="10">
        <v>2.8570000000000002</v>
      </c>
      <c r="S545" s="10" t="s">
        <v>34</v>
      </c>
      <c r="T545" s="10" t="s">
        <v>49</v>
      </c>
      <c r="U545" s="10" t="s">
        <v>362</v>
      </c>
      <c r="V545" s="10" t="s">
        <v>38</v>
      </c>
      <c r="W545" s="10" t="s">
        <v>43</v>
      </c>
      <c r="X545" s="10">
        <v>0.5</v>
      </c>
      <c r="Y545" s="10">
        <v>1</v>
      </c>
      <c r="Z545" s="10" t="s">
        <v>339</v>
      </c>
      <c r="AA545" s="10">
        <v>0.31900000000000001</v>
      </c>
      <c r="AB545" s="10" t="s">
        <v>34</v>
      </c>
      <c r="AC545" s="10" t="s">
        <v>397</v>
      </c>
      <c r="AD545" s="10" t="s">
        <v>277</v>
      </c>
      <c r="AE545" s="10">
        <v>0.86780000000000002</v>
      </c>
      <c r="AF545" s="10" t="s">
        <v>395</v>
      </c>
      <c r="AG545" s="10">
        <v>2024</v>
      </c>
      <c r="AH545" s="10" t="s">
        <v>396</v>
      </c>
      <c r="AI545" s="2">
        <v>50</v>
      </c>
      <c r="AJ545" s="2">
        <v>2</v>
      </c>
      <c r="AK545" s="2" t="s">
        <v>34</v>
      </c>
    </row>
    <row r="546" spans="1:37" x14ac:dyDescent="0.3">
      <c r="A546" s="11">
        <v>7.5679895901106002</v>
      </c>
      <c r="B546" s="11">
        <v>238.902340597256</v>
      </c>
      <c r="C546" s="10" t="s">
        <v>34</v>
      </c>
      <c r="D546" s="10" t="s">
        <v>394</v>
      </c>
      <c r="E546" s="10" t="s">
        <v>387</v>
      </c>
      <c r="F546" s="10" t="s">
        <v>34</v>
      </c>
      <c r="G546" s="10" t="s">
        <v>34</v>
      </c>
      <c r="H546" s="10" t="s">
        <v>34</v>
      </c>
      <c r="I546" s="10" t="s">
        <v>34</v>
      </c>
      <c r="J546" s="10" t="s">
        <v>34</v>
      </c>
      <c r="K546" s="10" t="s">
        <v>34</v>
      </c>
      <c r="L546" s="10">
        <v>0</v>
      </c>
      <c r="M546" s="10">
        <v>34.1</v>
      </c>
      <c r="N546" s="10">
        <v>1400.49</v>
      </c>
      <c r="O546" s="10">
        <v>1.143</v>
      </c>
      <c r="P546" s="10">
        <v>0.84099999999999997</v>
      </c>
      <c r="Q546" s="10">
        <v>36.4</v>
      </c>
      <c r="R546" s="10">
        <v>2.8570000000000002</v>
      </c>
      <c r="S546" s="10" t="s">
        <v>34</v>
      </c>
      <c r="T546" s="10" t="s">
        <v>49</v>
      </c>
      <c r="U546" s="10" t="s">
        <v>362</v>
      </c>
      <c r="V546" s="10" t="s">
        <v>38</v>
      </c>
      <c r="W546" s="10" t="s">
        <v>43</v>
      </c>
      <c r="X546" s="10">
        <v>0.5</v>
      </c>
      <c r="Y546" s="10">
        <v>1</v>
      </c>
      <c r="Z546" s="10" t="s">
        <v>339</v>
      </c>
      <c r="AA546" s="10">
        <v>0.31900000000000001</v>
      </c>
      <c r="AB546" s="10" t="s">
        <v>34</v>
      </c>
      <c r="AC546" s="10" t="s">
        <v>397</v>
      </c>
      <c r="AD546" s="10" t="s">
        <v>277</v>
      </c>
      <c r="AE546" s="10">
        <v>0.86780000000000002</v>
      </c>
      <c r="AF546" s="10" t="s">
        <v>395</v>
      </c>
      <c r="AG546" s="10">
        <v>2024</v>
      </c>
      <c r="AH546" s="10" t="s">
        <v>396</v>
      </c>
      <c r="AI546" s="2">
        <v>50</v>
      </c>
      <c r="AJ546" s="2">
        <v>2</v>
      </c>
      <c r="AK546" s="2" t="s">
        <v>34</v>
      </c>
    </row>
    <row r="547" spans="1:37" x14ac:dyDescent="0.3">
      <c r="A547" s="11">
        <v>7.5783994795055296</v>
      </c>
      <c r="B547" s="11">
        <v>207.42534301856301</v>
      </c>
      <c r="C547" s="10" t="s">
        <v>34</v>
      </c>
      <c r="D547" s="10" t="s">
        <v>394</v>
      </c>
      <c r="E547" s="10" t="s">
        <v>387</v>
      </c>
      <c r="F547" s="10" t="s">
        <v>34</v>
      </c>
      <c r="G547" s="10" t="s">
        <v>34</v>
      </c>
      <c r="H547" s="10" t="s">
        <v>34</v>
      </c>
      <c r="I547" s="10" t="s">
        <v>34</v>
      </c>
      <c r="J547" s="10" t="s">
        <v>34</v>
      </c>
      <c r="K547" s="10" t="s">
        <v>34</v>
      </c>
      <c r="L547" s="10">
        <v>0</v>
      </c>
      <c r="M547" s="10">
        <v>34.1</v>
      </c>
      <c r="N547" s="10">
        <v>1400.49</v>
      </c>
      <c r="O547" s="10">
        <v>1.143</v>
      </c>
      <c r="P547" s="10">
        <v>0.84099999999999997</v>
      </c>
      <c r="Q547" s="10">
        <v>36.4</v>
      </c>
      <c r="R547" s="10">
        <v>2.8570000000000002</v>
      </c>
      <c r="S547" s="10" t="s">
        <v>34</v>
      </c>
      <c r="T547" s="10" t="s">
        <v>49</v>
      </c>
      <c r="U547" s="10" t="s">
        <v>362</v>
      </c>
      <c r="V547" s="10" t="s">
        <v>38</v>
      </c>
      <c r="W547" s="10" t="s">
        <v>43</v>
      </c>
      <c r="X547" s="10">
        <v>0.5</v>
      </c>
      <c r="Y547" s="10">
        <v>1</v>
      </c>
      <c r="Z547" s="10" t="s">
        <v>339</v>
      </c>
      <c r="AA547" s="10">
        <v>0.31900000000000001</v>
      </c>
      <c r="AB547" s="10" t="s">
        <v>34</v>
      </c>
      <c r="AC547" s="10" t="s">
        <v>397</v>
      </c>
      <c r="AD547" s="10" t="s">
        <v>277</v>
      </c>
      <c r="AE547" s="10">
        <v>0.86780000000000002</v>
      </c>
      <c r="AF547" s="10" t="s">
        <v>395</v>
      </c>
      <c r="AG547" s="10">
        <v>2024</v>
      </c>
      <c r="AH547" s="10" t="s">
        <v>396</v>
      </c>
      <c r="AI547" s="2">
        <v>50</v>
      </c>
      <c r="AJ547" s="2">
        <v>2</v>
      </c>
      <c r="AK547" s="2" t="s">
        <v>34</v>
      </c>
    </row>
    <row r="548" spans="1:37" x14ac:dyDescent="0.3">
      <c r="A548" s="11">
        <v>9.8789850357839892</v>
      </c>
      <c r="B548" s="11">
        <v>305.08474576271101</v>
      </c>
      <c r="C548" s="10" t="s">
        <v>34</v>
      </c>
      <c r="D548" s="10" t="s">
        <v>394</v>
      </c>
      <c r="E548" s="10" t="s">
        <v>387</v>
      </c>
      <c r="F548" s="10" t="s">
        <v>34</v>
      </c>
      <c r="G548" s="10" t="s">
        <v>34</v>
      </c>
      <c r="H548" s="10" t="s">
        <v>34</v>
      </c>
      <c r="I548" s="10" t="s">
        <v>34</v>
      </c>
      <c r="J548" s="10" t="s">
        <v>34</v>
      </c>
      <c r="K548" s="10" t="s">
        <v>34</v>
      </c>
      <c r="L548" s="10">
        <v>0</v>
      </c>
      <c r="M548" s="10">
        <v>34.1</v>
      </c>
      <c r="N548" s="10">
        <v>1400.49</v>
      </c>
      <c r="O548" s="10">
        <v>1.143</v>
      </c>
      <c r="P548" s="10">
        <v>0.84099999999999997</v>
      </c>
      <c r="Q548" s="10">
        <v>36.4</v>
      </c>
      <c r="R548" s="10">
        <v>2.8570000000000002</v>
      </c>
      <c r="S548" s="10" t="s">
        <v>34</v>
      </c>
      <c r="T548" s="10" t="s">
        <v>49</v>
      </c>
      <c r="U548" s="10" t="s">
        <v>362</v>
      </c>
      <c r="V548" s="10" t="s">
        <v>38</v>
      </c>
      <c r="W548" s="10" t="s">
        <v>43</v>
      </c>
      <c r="X548" s="10">
        <v>0.5</v>
      </c>
      <c r="Y548" s="10">
        <v>1</v>
      </c>
      <c r="Z548" s="10" t="s">
        <v>339</v>
      </c>
      <c r="AA548" s="10">
        <v>0.31900000000000001</v>
      </c>
      <c r="AB548" s="10" t="s">
        <v>34</v>
      </c>
      <c r="AC548" s="10" t="s">
        <v>397</v>
      </c>
      <c r="AD548" s="10" t="s">
        <v>277</v>
      </c>
      <c r="AE548" s="10">
        <v>0.86780000000000002</v>
      </c>
      <c r="AF548" s="10" t="s">
        <v>395</v>
      </c>
      <c r="AG548" s="10">
        <v>2024</v>
      </c>
      <c r="AH548" s="10" t="s">
        <v>396</v>
      </c>
      <c r="AI548" s="2">
        <v>50</v>
      </c>
      <c r="AJ548" s="2">
        <v>2</v>
      </c>
      <c r="AK548" s="2" t="s">
        <v>34</v>
      </c>
    </row>
    <row r="549" spans="1:37" x14ac:dyDescent="0.3">
      <c r="A549" s="11">
        <v>10.1808718282368</v>
      </c>
      <c r="B549" s="11">
        <v>322.84100080710198</v>
      </c>
      <c r="C549" s="10" t="s">
        <v>34</v>
      </c>
      <c r="D549" s="10" t="s">
        <v>394</v>
      </c>
      <c r="E549" s="10" t="s">
        <v>387</v>
      </c>
      <c r="F549" s="10" t="s">
        <v>34</v>
      </c>
      <c r="G549" s="10" t="s">
        <v>34</v>
      </c>
      <c r="H549" s="10" t="s">
        <v>34</v>
      </c>
      <c r="I549" s="10" t="s">
        <v>34</v>
      </c>
      <c r="J549" s="10" t="s">
        <v>34</v>
      </c>
      <c r="K549" s="10" t="s">
        <v>34</v>
      </c>
      <c r="L549" s="10">
        <v>0</v>
      </c>
      <c r="M549" s="10">
        <v>34.1</v>
      </c>
      <c r="N549" s="10">
        <v>1400.49</v>
      </c>
      <c r="O549" s="10">
        <v>1.143</v>
      </c>
      <c r="P549" s="10">
        <v>0.84099999999999997</v>
      </c>
      <c r="Q549" s="10">
        <v>36.4</v>
      </c>
      <c r="R549" s="10">
        <v>2.8570000000000002</v>
      </c>
      <c r="S549" s="10" t="s">
        <v>34</v>
      </c>
      <c r="T549" s="10" t="s">
        <v>49</v>
      </c>
      <c r="U549" s="10" t="s">
        <v>362</v>
      </c>
      <c r="V549" s="10" t="s">
        <v>38</v>
      </c>
      <c r="W549" s="10" t="s">
        <v>43</v>
      </c>
      <c r="X549" s="10">
        <v>0.5</v>
      </c>
      <c r="Y549" s="10">
        <v>1</v>
      </c>
      <c r="Z549" s="10" t="s">
        <v>339</v>
      </c>
      <c r="AA549" s="10">
        <v>0.31900000000000001</v>
      </c>
      <c r="AB549" s="10" t="s">
        <v>34</v>
      </c>
      <c r="AC549" s="10" t="s">
        <v>397</v>
      </c>
      <c r="AD549" s="10" t="s">
        <v>277</v>
      </c>
      <c r="AE549" s="10">
        <v>0.86780000000000002</v>
      </c>
      <c r="AF549" s="10" t="s">
        <v>395</v>
      </c>
      <c r="AG549" s="10">
        <v>2024</v>
      </c>
      <c r="AH549" s="10" t="s">
        <v>396</v>
      </c>
      <c r="AI549" s="2">
        <v>50</v>
      </c>
      <c r="AJ549" s="2">
        <v>2</v>
      </c>
      <c r="AK549" s="2" t="s">
        <v>34</v>
      </c>
    </row>
    <row r="550" spans="1:37" x14ac:dyDescent="0.3">
      <c r="A550" s="11">
        <v>9.9726740403383207</v>
      </c>
      <c r="B550" s="11">
        <v>393.05891848264702</v>
      </c>
      <c r="C550" s="10" t="s">
        <v>34</v>
      </c>
      <c r="D550" s="10" t="s">
        <v>394</v>
      </c>
      <c r="E550" s="10" t="s">
        <v>387</v>
      </c>
      <c r="F550" s="10" t="s">
        <v>34</v>
      </c>
      <c r="G550" s="10" t="s">
        <v>34</v>
      </c>
      <c r="H550" s="10" t="s">
        <v>34</v>
      </c>
      <c r="I550" s="10" t="s">
        <v>34</v>
      </c>
      <c r="J550" s="10" t="s">
        <v>34</v>
      </c>
      <c r="K550" s="10" t="s">
        <v>34</v>
      </c>
      <c r="L550" s="10">
        <v>0</v>
      </c>
      <c r="M550" s="10">
        <v>34.1</v>
      </c>
      <c r="N550" s="10">
        <v>1400.49</v>
      </c>
      <c r="O550" s="10">
        <v>1.143</v>
      </c>
      <c r="P550" s="10">
        <v>0.84099999999999997</v>
      </c>
      <c r="Q550" s="10">
        <v>36.4</v>
      </c>
      <c r="R550" s="10">
        <v>2.8570000000000002</v>
      </c>
      <c r="S550" s="10" t="s">
        <v>34</v>
      </c>
      <c r="T550" s="10" t="s">
        <v>49</v>
      </c>
      <c r="U550" s="10" t="s">
        <v>362</v>
      </c>
      <c r="V550" s="10" t="s">
        <v>38</v>
      </c>
      <c r="W550" s="10" t="s">
        <v>43</v>
      </c>
      <c r="X550" s="10">
        <v>0.5</v>
      </c>
      <c r="Y550" s="10">
        <v>1</v>
      </c>
      <c r="Z550" s="10" t="s">
        <v>339</v>
      </c>
      <c r="AA550" s="10">
        <v>0.31900000000000001</v>
      </c>
      <c r="AB550" s="10" t="s">
        <v>34</v>
      </c>
      <c r="AC550" s="10" t="s">
        <v>397</v>
      </c>
      <c r="AD550" s="10" t="s">
        <v>277</v>
      </c>
      <c r="AE550" s="10">
        <v>0.86780000000000002</v>
      </c>
      <c r="AF550" s="10" t="s">
        <v>395</v>
      </c>
      <c r="AG550" s="10">
        <v>2024</v>
      </c>
      <c r="AH550" s="10" t="s">
        <v>396</v>
      </c>
      <c r="AI550" s="2">
        <v>50</v>
      </c>
      <c r="AJ550" s="2">
        <v>2</v>
      </c>
      <c r="AK550" s="2" t="s">
        <v>34</v>
      </c>
    </row>
    <row r="551" spans="1:37" x14ac:dyDescent="0.3">
      <c r="A551" s="11">
        <v>11.9713728041639</v>
      </c>
      <c r="B551" s="11">
        <v>516.54560129136405</v>
      </c>
      <c r="C551" s="10" t="s">
        <v>34</v>
      </c>
      <c r="D551" s="10" t="s">
        <v>394</v>
      </c>
      <c r="E551" s="10" t="s">
        <v>387</v>
      </c>
      <c r="F551" s="10" t="s">
        <v>34</v>
      </c>
      <c r="G551" s="10" t="s">
        <v>34</v>
      </c>
      <c r="H551" s="10" t="s">
        <v>34</v>
      </c>
      <c r="I551" s="10" t="s">
        <v>34</v>
      </c>
      <c r="J551" s="10" t="s">
        <v>34</v>
      </c>
      <c r="K551" s="10" t="s">
        <v>34</v>
      </c>
      <c r="L551" s="10">
        <v>0</v>
      </c>
      <c r="M551" s="10">
        <v>34.1</v>
      </c>
      <c r="N551" s="10">
        <v>1400.49</v>
      </c>
      <c r="O551" s="10">
        <v>1.143</v>
      </c>
      <c r="P551" s="10">
        <v>0.84099999999999997</v>
      </c>
      <c r="Q551" s="10">
        <v>36.4</v>
      </c>
      <c r="R551" s="10">
        <v>2.8570000000000002</v>
      </c>
      <c r="S551" s="10" t="s">
        <v>34</v>
      </c>
      <c r="T551" s="10" t="s">
        <v>49</v>
      </c>
      <c r="U551" s="10" t="s">
        <v>362</v>
      </c>
      <c r="V551" s="10" t="s">
        <v>38</v>
      </c>
      <c r="W551" s="10" t="s">
        <v>43</v>
      </c>
      <c r="X551" s="10">
        <v>0.5</v>
      </c>
      <c r="Y551" s="10">
        <v>1</v>
      </c>
      <c r="Z551" s="10" t="s">
        <v>339</v>
      </c>
      <c r="AA551" s="10">
        <v>0.31900000000000001</v>
      </c>
      <c r="AB551" s="10" t="s">
        <v>34</v>
      </c>
      <c r="AC551" s="10" t="s">
        <v>397</v>
      </c>
      <c r="AD551" s="10" t="s">
        <v>277</v>
      </c>
      <c r="AE551" s="10">
        <v>0.86780000000000002</v>
      </c>
      <c r="AF551" s="10" t="s">
        <v>395</v>
      </c>
      <c r="AG551" s="10">
        <v>2024</v>
      </c>
      <c r="AH551" s="10" t="s">
        <v>396</v>
      </c>
      <c r="AI551" s="2">
        <v>50</v>
      </c>
      <c r="AJ551" s="2">
        <v>2</v>
      </c>
      <c r="AK551" s="2" t="s">
        <v>34</v>
      </c>
    </row>
    <row r="552" spans="1:37" x14ac:dyDescent="0.3">
      <c r="A552" s="11">
        <v>11.638256343526299</v>
      </c>
      <c r="B552" s="11">
        <v>480.22598870056498</v>
      </c>
      <c r="C552" s="10" t="s">
        <v>34</v>
      </c>
      <c r="D552" s="10" t="s">
        <v>394</v>
      </c>
      <c r="E552" s="10" t="s">
        <v>387</v>
      </c>
      <c r="F552" s="10" t="s">
        <v>34</v>
      </c>
      <c r="G552" s="10" t="s">
        <v>34</v>
      </c>
      <c r="H552" s="10" t="s">
        <v>34</v>
      </c>
      <c r="I552" s="10" t="s">
        <v>34</v>
      </c>
      <c r="J552" s="10" t="s">
        <v>34</v>
      </c>
      <c r="K552" s="10" t="s">
        <v>34</v>
      </c>
      <c r="L552" s="10">
        <v>0</v>
      </c>
      <c r="M552" s="10">
        <v>34.1</v>
      </c>
      <c r="N552" s="10">
        <v>1400.49</v>
      </c>
      <c r="O552" s="10">
        <v>1.143</v>
      </c>
      <c r="P552" s="10">
        <v>0.84099999999999997</v>
      </c>
      <c r="Q552" s="10">
        <v>36.4</v>
      </c>
      <c r="R552" s="10">
        <v>2.8570000000000002</v>
      </c>
      <c r="S552" s="10" t="s">
        <v>34</v>
      </c>
      <c r="T552" s="10" t="s">
        <v>49</v>
      </c>
      <c r="U552" s="10" t="s">
        <v>362</v>
      </c>
      <c r="V552" s="10" t="s">
        <v>38</v>
      </c>
      <c r="W552" s="10" t="s">
        <v>43</v>
      </c>
      <c r="X552" s="10">
        <v>0.5</v>
      </c>
      <c r="Y552" s="10">
        <v>1</v>
      </c>
      <c r="Z552" s="10" t="s">
        <v>339</v>
      </c>
      <c r="AA552" s="10">
        <v>0.31900000000000001</v>
      </c>
      <c r="AB552" s="10" t="s">
        <v>34</v>
      </c>
      <c r="AC552" s="10" t="s">
        <v>397</v>
      </c>
      <c r="AD552" s="10" t="s">
        <v>277</v>
      </c>
      <c r="AE552" s="10">
        <v>0.86780000000000002</v>
      </c>
      <c r="AF552" s="10" t="s">
        <v>395</v>
      </c>
      <c r="AG552" s="10">
        <v>2024</v>
      </c>
      <c r="AH552" s="10" t="s">
        <v>396</v>
      </c>
      <c r="AI552" s="2">
        <v>50</v>
      </c>
      <c r="AJ552" s="2">
        <v>2</v>
      </c>
      <c r="AK552" s="2" t="s">
        <v>34</v>
      </c>
    </row>
    <row r="553" spans="1:37" x14ac:dyDescent="0.3">
      <c r="A553" s="11">
        <v>13.220559531554899</v>
      </c>
      <c r="B553" s="11">
        <v>519.77401129943496</v>
      </c>
      <c r="C553" s="10" t="s">
        <v>34</v>
      </c>
      <c r="D553" s="10" t="s">
        <v>394</v>
      </c>
      <c r="E553" s="10" t="s">
        <v>387</v>
      </c>
      <c r="F553" s="10" t="s">
        <v>34</v>
      </c>
      <c r="G553" s="10" t="s">
        <v>34</v>
      </c>
      <c r="H553" s="10" t="s">
        <v>34</v>
      </c>
      <c r="I553" s="10" t="s">
        <v>34</v>
      </c>
      <c r="J553" s="10" t="s">
        <v>34</v>
      </c>
      <c r="K553" s="10" t="s">
        <v>34</v>
      </c>
      <c r="L553" s="10">
        <v>0</v>
      </c>
      <c r="M553" s="10">
        <v>34.1</v>
      </c>
      <c r="N553" s="10">
        <v>1400.49</v>
      </c>
      <c r="O553" s="10">
        <v>1.143</v>
      </c>
      <c r="P553" s="10">
        <v>0.84099999999999997</v>
      </c>
      <c r="Q553" s="10">
        <v>36.4</v>
      </c>
      <c r="R553" s="10">
        <v>2.8570000000000002</v>
      </c>
      <c r="S553" s="10" t="s">
        <v>34</v>
      </c>
      <c r="T553" s="10" t="s">
        <v>49</v>
      </c>
      <c r="U553" s="10" t="s">
        <v>362</v>
      </c>
      <c r="V553" s="10" t="s">
        <v>38</v>
      </c>
      <c r="W553" s="10" t="s">
        <v>43</v>
      </c>
      <c r="X553" s="10">
        <v>0.5</v>
      </c>
      <c r="Y553" s="10">
        <v>1</v>
      </c>
      <c r="Z553" s="10" t="s">
        <v>339</v>
      </c>
      <c r="AA553" s="10">
        <v>0.31900000000000001</v>
      </c>
      <c r="AB553" s="10" t="s">
        <v>34</v>
      </c>
      <c r="AC553" s="10" t="s">
        <v>397</v>
      </c>
      <c r="AD553" s="10" t="s">
        <v>277</v>
      </c>
      <c r="AE553" s="10">
        <v>0.86780000000000002</v>
      </c>
      <c r="AF553" s="10" t="s">
        <v>395</v>
      </c>
      <c r="AG553" s="10">
        <v>2024</v>
      </c>
      <c r="AH553" s="10" t="s">
        <v>396</v>
      </c>
      <c r="AI553" s="2">
        <v>50</v>
      </c>
      <c r="AJ553" s="2">
        <v>2</v>
      </c>
      <c r="AK553" s="2" t="s">
        <v>34</v>
      </c>
    </row>
    <row r="554" spans="1:37" x14ac:dyDescent="0.3">
      <c r="A554" s="11">
        <v>12.6271958360442</v>
      </c>
      <c r="B554" s="11">
        <v>429.37853107344603</v>
      </c>
      <c r="C554" s="10" t="s">
        <v>34</v>
      </c>
      <c r="D554" s="10" t="s">
        <v>394</v>
      </c>
      <c r="E554" s="10" t="s">
        <v>387</v>
      </c>
      <c r="F554" s="10" t="s">
        <v>34</v>
      </c>
      <c r="G554" s="10" t="s">
        <v>34</v>
      </c>
      <c r="H554" s="10" t="s">
        <v>34</v>
      </c>
      <c r="I554" s="10" t="s">
        <v>34</v>
      </c>
      <c r="J554" s="10" t="s">
        <v>34</v>
      </c>
      <c r="K554" s="10" t="s">
        <v>34</v>
      </c>
      <c r="L554" s="10">
        <v>0</v>
      </c>
      <c r="M554" s="10">
        <v>34.1</v>
      </c>
      <c r="N554" s="10">
        <v>1400.49</v>
      </c>
      <c r="O554" s="10">
        <v>1.143</v>
      </c>
      <c r="P554" s="10">
        <v>0.84099999999999997</v>
      </c>
      <c r="Q554" s="10">
        <v>36.4</v>
      </c>
      <c r="R554" s="10">
        <v>2.8570000000000002</v>
      </c>
      <c r="S554" s="10" t="s">
        <v>34</v>
      </c>
      <c r="T554" s="10" t="s">
        <v>49</v>
      </c>
      <c r="U554" s="10" t="s">
        <v>362</v>
      </c>
      <c r="V554" s="10" t="s">
        <v>38</v>
      </c>
      <c r="W554" s="10" t="s">
        <v>43</v>
      </c>
      <c r="X554" s="10">
        <v>0.5</v>
      </c>
      <c r="Y554" s="10">
        <v>1</v>
      </c>
      <c r="Z554" s="10" t="s">
        <v>339</v>
      </c>
      <c r="AA554" s="10">
        <v>0.31900000000000001</v>
      </c>
      <c r="AB554" s="10" t="s">
        <v>34</v>
      </c>
      <c r="AC554" s="10" t="s">
        <v>397</v>
      </c>
      <c r="AD554" s="10" t="s">
        <v>277</v>
      </c>
      <c r="AE554" s="10">
        <v>0.86780000000000002</v>
      </c>
      <c r="AF554" s="10" t="s">
        <v>395</v>
      </c>
      <c r="AG554" s="10">
        <v>2024</v>
      </c>
      <c r="AH554" s="10" t="s">
        <v>396</v>
      </c>
      <c r="AI554" s="2">
        <v>50</v>
      </c>
      <c r="AJ554" s="2">
        <v>2</v>
      </c>
      <c r="AK554" s="2" t="s">
        <v>34</v>
      </c>
    </row>
    <row r="555" spans="1:37" x14ac:dyDescent="0.3">
      <c r="A555" s="11">
        <v>12.9394925178919</v>
      </c>
      <c r="B555" s="11">
        <v>727.19935431799797</v>
      </c>
      <c r="C555" s="10" t="s">
        <v>34</v>
      </c>
      <c r="D555" s="10" t="s">
        <v>394</v>
      </c>
      <c r="E555" s="10" t="s">
        <v>387</v>
      </c>
      <c r="F555" s="10" t="s">
        <v>34</v>
      </c>
      <c r="G555" s="10" t="s">
        <v>34</v>
      </c>
      <c r="H555" s="10" t="s">
        <v>34</v>
      </c>
      <c r="I555" s="10" t="s">
        <v>34</v>
      </c>
      <c r="J555" s="10" t="s">
        <v>34</v>
      </c>
      <c r="K555" s="10" t="s">
        <v>34</v>
      </c>
      <c r="L555" s="10">
        <v>0</v>
      </c>
      <c r="M555" s="10">
        <v>34.1</v>
      </c>
      <c r="N555" s="10">
        <v>1400.49</v>
      </c>
      <c r="O555" s="10">
        <v>1.143</v>
      </c>
      <c r="P555" s="10">
        <v>0.84099999999999997</v>
      </c>
      <c r="Q555" s="10">
        <v>36.4</v>
      </c>
      <c r="R555" s="10">
        <v>2.8570000000000002</v>
      </c>
      <c r="S555" s="10" t="s">
        <v>34</v>
      </c>
      <c r="T555" s="10" t="s">
        <v>49</v>
      </c>
      <c r="U555" s="10" t="s">
        <v>362</v>
      </c>
      <c r="V555" s="10" t="s">
        <v>38</v>
      </c>
      <c r="W555" s="10" t="s">
        <v>43</v>
      </c>
      <c r="X555" s="10">
        <v>0.5</v>
      </c>
      <c r="Y555" s="10">
        <v>1</v>
      </c>
      <c r="Z555" s="10" t="s">
        <v>339</v>
      </c>
      <c r="AA555" s="10">
        <v>0.31900000000000001</v>
      </c>
      <c r="AB555" s="10" t="s">
        <v>34</v>
      </c>
      <c r="AC555" s="10" t="s">
        <v>397</v>
      </c>
      <c r="AD555" s="10" t="s">
        <v>277</v>
      </c>
      <c r="AE555" s="10">
        <v>0.86780000000000002</v>
      </c>
      <c r="AF555" s="10" t="s">
        <v>395</v>
      </c>
      <c r="AG555" s="10">
        <v>2024</v>
      </c>
      <c r="AH555" s="10" t="s">
        <v>396</v>
      </c>
      <c r="AI555" s="2">
        <v>50</v>
      </c>
      <c r="AJ555" s="2">
        <v>2</v>
      </c>
      <c r="AK555" s="2" t="s">
        <v>34</v>
      </c>
    </row>
    <row r="556" spans="1:37" x14ac:dyDescent="0.3">
      <c r="A556" s="11">
        <v>13.459986987638199</v>
      </c>
      <c r="B556" s="11">
        <v>870.05649717514098</v>
      </c>
      <c r="C556" s="10" t="s">
        <v>34</v>
      </c>
      <c r="D556" s="10" t="s">
        <v>394</v>
      </c>
      <c r="E556" s="10" t="s">
        <v>387</v>
      </c>
      <c r="F556" s="10" t="s">
        <v>34</v>
      </c>
      <c r="G556" s="10" t="s">
        <v>34</v>
      </c>
      <c r="H556" s="10" t="s">
        <v>34</v>
      </c>
      <c r="I556" s="10" t="s">
        <v>34</v>
      </c>
      <c r="J556" s="10" t="s">
        <v>34</v>
      </c>
      <c r="K556" s="10" t="s">
        <v>34</v>
      </c>
      <c r="L556" s="10">
        <v>0</v>
      </c>
      <c r="M556" s="10">
        <v>34.1</v>
      </c>
      <c r="N556" s="10">
        <v>1400.49</v>
      </c>
      <c r="O556" s="10">
        <v>1.143</v>
      </c>
      <c r="P556" s="10">
        <v>0.84099999999999997</v>
      </c>
      <c r="Q556" s="10">
        <v>36.4</v>
      </c>
      <c r="R556" s="10">
        <v>2.8570000000000002</v>
      </c>
      <c r="S556" s="10" t="s">
        <v>34</v>
      </c>
      <c r="T556" s="10" t="s">
        <v>49</v>
      </c>
      <c r="U556" s="10" t="s">
        <v>362</v>
      </c>
      <c r="V556" s="10" t="s">
        <v>38</v>
      </c>
      <c r="W556" s="10" t="s">
        <v>43</v>
      </c>
      <c r="X556" s="10">
        <v>0.5</v>
      </c>
      <c r="Y556" s="10">
        <v>1</v>
      </c>
      <c r="Z556" s="10" t="s">
        <v>339</v>
      </c>
      <c r="AA556" s="10">
        <v>0.31900000000000001</v>
      </c>
      <c r="AB556" s="10" t="s">
        <v>34</v>
      </c>
      <c r="AC556" s="10" t="s">
        <v>397</v>
      </c>
      <c r="AD556" s="10" t="s">
        <v>277</v>
      </c>
      <c r="AE556" s="10">
        <v>0.86780000000000002</v>
      </c>
      <c r="AF556" s="10" t="s">
        <v>395</v>
      </c>
      <c r="AG556" s="10">
        <v>2024</v>
      </c>
      <c r="AH556" s="10" t="s">
        <v>396</v>
      </c>
      <c r="AI556" s="2">
        <v>50</v>
      </c>
      <c r="AJ556" s="2">
        <v>2</v>
      </c>
      <c r="AK556" s="2" t="s">
        <v>34</v>
      </c>
    </row>
    <row r="557" spans="1:37" x14ac:dyDescent="0.3">
      <c r="A557" s="11">
        <v>8.0676642810670103</v>
      </c>
      <c r="B557" s="11">
        <v>154.963680387409</v>
      </c>
      <c r="C557" s="10" t="s">
        <v>34</v>
      </c>
      <c r="D557" s="10" t="s">
        <v>394</v>
      </c>
      <c r="E557" s="10" t="s">
        <v>387</v>
      </c>
      <c r="F557" s="10" t="s">
        <v>34</v>
      </c>
      <c r="G557" s="10" t="s">
        <v>34</v>
      </c>
      <c r="H557" s="10" t="s">
        <v>34</v>
      </c>
      <c r="I557" s="10" t="s">
        <v>34</v>
      </c>
      <c r="J557" s="10" t="s">
        <v>34</v>
      </c>
      <c r="K557" s="10" t="s">
        <v>34</v>
      </c>
      <c r="L557" s="10">
        <v>0</v>
      </c>
      <c r="M557" s="10">
        <v>34.1</v>
      </c>
      <c r="N557" s="10">
        <v>1400.49</v>
      </c>
      <c r="O557" s="10">
        <v>1.143</v>
      </c>
      <c r="P557" s="10">
        <v>0.84099999999999997</v>
      </c>
      <c r="Q557" s="10">
        <v>36.4</v>
      </c>
      <c r="R557" s="10">
        <v>2.8570000000000002</v>
      </c>
      <c r="S557" s="10" t="s">
        <v>34</v>
      </c>
      <c r="T557" s="10" t="s">
        <v>49</v>
      </c>
      <c r="U557" s="10" t="s">
        <v>362</v>
      </c>
      <c r="V557" s="10" t="s">
        <v>38</v>
      </c>
      <c r="W557" s="10" t="s">
        <v>43</v>
      </c>
      <c r="X557" s="10">
        <v>0.5</v>
      </c>
      <c r="Y557" s="10">
        <v>1</v>
      </c>
      <c r="Z557" s="10" t="s">
        <v>339</v>
      </c>
      <c r="AA557" s="10">
        <v>0.36699999999999999</v>
      </c>
      <c r="AB557" s="10" t="s">
        <v>34</v>
      </c>
      <c r="AC557" s="10" t="s">
        <v>398</v>
      </c>
      <c r="AD557" s="10" t="s">
        <v>277</v>
      </c>
      <c r="AE557" s="10">
        <v>0.86780000000000002</v>
      </c>
      <c r="AF557" s="10" t="s">
        <v>395</v>
      </c>
      <c r="AG557" s="10">
        <v>2024</v>
      </c>
      <c r="AH557" s="10" t="s">
        <v>396</v>
      </c>
      <c r="AI557" s="2">
        <v>50</v>
      </c>
      <c r="AJ557" s="2">
        <v>2</v>
      </c>
      <c r="AK557" s="2" t="s">
        <v>34</v>
      </c>
    </row>
    <row r="558" spans="1:37" x14ac:dyDescent="0.3">
      <c r="A558" s="11">
        <v>7.78659726740403</v>
      </c>
      <c r="B558" s="11">
        <v>191.28329297820801</v>
      </c>
      <c r="C558" s="10" t="s">
        <v>34</v>
      </c>
      <c r="D558" s="10" t="s">
        <v>394</v>
      </c>
      <c r="E558" s="10" t="s">
        <v>387</v>
      </c>
      <c r="F558" s="10" t="s">
        <v>34</v>
      </c>
      <c r="G558" s="10" t="s">
        <v>34</v>
      </c>
      <c r="H558" s="10" t="s">
        <v>34</v>
      </c>
      <c r="I558" s="10" t="s">
        <v>34</v>
      </c>
      <c r="J558" s="10" t="s">
        <v>34</v>
      </c>
      <c r="K558" s="10" t="s">
        <v>34</v>
      </c>
      <c r="L558" s="10">
        <v>0</v>
      </c>
      <c r="M558" s="10">
        <v>34.1</v>
      </c>
      <c r="N558" s="10">
        <v>1400.49</v>
      </c>
      <c r="O558" s="10">
        <v>1.143</v>
      </c>
      <c r="P558" s="10">
        <v>0.84099999999999997</v>
      </c>
      <c r="Q558" s="10">
        <v>36.4</v>
      </c>
      <c r="R558" s="10">
        <v>2.8570000000000002</v>
      </c>
      <c r="S558" s="10" t="s">
        <v>34</v>
      </c>
      <c r="T558" s="10" t="s">
        <v>49</v>
      </c>
      <c r="U558" s="10" t="s">
        <v>362</v>
      </c>
      <c r="V558" s="10" t="s">
        <v>38</v>
      </c>
      <c r="W558" s="10" t="s">
        <v>43</v>
      </c>
      <c r="X558" s="10">
        <v>0.5</v>
      </c>
      <c r="Y558" s="10">
        <v>1</v>
      </c>
      <c r="Z558" s="10" t="s">
        <v>339</v>
      </c>
      <c r="AA558" s="10">
        <v>0.36699999999999999</v>
      </c>
      <c r="AB558" s="10" t="s">
        <v>34</v>
      </c>
      <c r="AC558" s="10" t="s">
        <v>398</v>
      </c>
      <c r="AD558" s="10" t="s">
        <v>277</v>
      </c>
      <c r="AE558" s="10">
        <v>0.86780000000000002</v>
      </c>
      <c r="AF558" s="10" t="s">
        <v>395</v>
      </c>
      <c r="AG558" s="10">
        <v>2024</v>
      </c>
      <c r="AH558" s="10" t="s">
        <v>396</v>
      </c>
      <c r="AI558" s="2">
        <v>50</v>
      </c>
      <c r="AJ558" s="2">
        <v>2</v>
      </c>
      <c r="AK558" s="2" t="s">
        <v>34</v>
      </c>
    </row>
    <row r="559" spans="1:37" x14ac:dyDescent="0.3">
      <c r="A559" s="11">
        <v>7.8074170461938799</v>
      </c>
      <c r="B559" s="11">
        <v>247.780468119451</v>
      </c>
      <c r="C559" s="10" t="s">
        <v>34</v>
      </c>
      <c r="D559" s="10" t="s">
        <v>394</v>
      </c>
      <c r="E559" s="10" t="s">
        <v>387</v>
      </c>
      <c r="F559" s="10" t="s">
        <v>34</v>
      </c>
      <c r="G559" s="10" t="s">
        <v>34</v>
      </c>
      <c r="H559" s="10" t="s">
        <v>34</v>
      </c>
      <c r="I559" s="10" t="s">
        <v>34</v>
      </c>
      <c r="J559" s="10" t="s">
        <v>34</v>
      </c>
      <c r="K559" s="10" t="s">
        <v>34</v>
      </c>
      <c r="L559" s="10">
        <v>0</v>
      </c>
      <c r="M559" s="10">
        <v>34.1</v>
      </c>
      <c r="N559" s="10">
        <v>1400.49</v>
      </c>
      <c r="O559" s="10">
        <v>1.143</v>
      </c>
      <c r="P559" s="10">
        <v>0.84099999999999997</v>
      </c>
      <c r="Q559" s="10">
        <v>36.4</v>
      </c>
      <c r="R559" s="10">
        <v>2.8570000000000002</v>
      </c>
      <c r="S559" s="10" t="s">
        <v>34</v>
      </c>
      <c r="T559" s="10" t="s">
        <v>49</v>
      </c>
      <c r="U559" s="10" t="s">
        <v>362</v>
      </c>
      <c r="V559" s="10" t="s">
        <v>38</v>
      </c>
      <c r="W559" s="10" t="s">
        <v>43</v>
      </c>
      <c r="X559" s="10">
        <v>0.5</v>
      </c>
      <c r="Y559" s="10">
        <v>1</v>
      </c>
      <c r="Z559" s="10" t="s">
        <v>339</v>
      </c>
      <c r="AA559" s="10">
        <v>0.36699999999999999</v>
      </c>
      <c r="AB559" s="10" t="s">
        <v>34</v>
      </c>
      <c r="AC559" s="10" t="s">
        <v>398</v>
      </c>
      <c r="AD559" s="10" t="s">
        <v>277</v>
      </c>
      <c r="AE559" s="10">
        <v>0.86780000000000002</v>
      </c>
      <c r="AF559" s="10" t="s">
        <v>395</v>
      </c>
      <c r="AG559" s="10">
        <v>2024</v>
      </c>
      <c r="AH559" s="10" t="s">
        <v>396</v>
      </c>
      <c r="AI559" s="2">
        <v>50</v>
      </c>
      <c r="AJ559" s="2">
        <v>2</v>
      </c>
      <c r="AK559" s="2" t="s">
        <v>34</v>
      </c>
    </row>
    <row r="560" spans="1:37" x14ac:dyDescent="0.3">
      <c r="A560" s="11">
        <v>10.1912817176317</v>
      </c>
      <c r="B560" s="11">
        <v>333.33333333333297</v>
      </c>
      <c r="C560" s="10" t="s">
        <v>34</v>
      </c>
      <c r="D560" s="10" t="s">
        <v>394</v>
      </c>
      <c r="E560" s="10" t="s">
        <v>387</v>
      </c>
      <c r="F560" s="10" t="s">
        <v>34</v>
      </c>
      <c r="G560" s="10" t="s">
        <v>34</v>
      </c>
      <c r="H560" s="10" t="s">
        <v>34</v>
      </c>
      <c r="I560" s="10" t="s">
        <v>34</v>
      </c>
      <c r="J560" s="10" t="s">
        <v>34</v>
      </c>
      <c r="K560" s="10" t="s">
        <v>34</v>
      </c>
      <c r="L560" s="10">
        <v>0</v>
      </c>
      <c r="M560" s="10">
        <v>34.1</v>
      </c>
      <c r="N560" s="10">
        <v>1400.49</v>
      </c>
      <c r="O560" s="10">
        <v>1.143</v>
      </c>
      <c r="P560" s="10">
        <v>0.84099999999999997</v>
      </c>
      <c r="Q560" s="10">
        <v>36.4</v>
      </c>
      <c r="R560" s="10">
        <v>2.8570000000000002</v>
      </c>
      <c r="S560" s="10" t="s">
        <v>34</v>
      </c>
      <c r="T560" s="10" t="s">
        <v>49</v>
      </c>
      <c r="U560" s="10" t="s">
        <v>362</v>
      </c>
      <c r="V560" s="10" t="s">
        <v>38</v>
      </c>
      <c r="W560" s="10" t="s">
        <v>43</v>
      </c>
      <c r="X560" s="10">
        <v>0.5</v>
      </c>
      <c r="Y560" s="10">
        <v>1</v>
      </c>
      <c r="Z560" s="10" t="s">
        <v>339</v>
      </c>
      <c r="AA560" s="10">
        <v>0.36699999999999999</v>
      </c>
      <c r="AB560" s="10" t="s">
        <v>34</v>
      </c>
      <c r="AC560" s="10" t="s">
        <v>398</v>
      </c>
      <c r="AD560" s="10" t="s">
        <v>277</v>
      </c>
      <c r="AE560" s="10">
        <v>0.86780000000000002</v>
      </c>
      <c r="AF560" s="10" t="s">
        <v>395</v>
      </c>
      <c r="AG560" s="10">
        <v>2024</v>
      </c>
      <c r="AH560" s="10" t="s">
        <v>396</v>
      </c>
      <c r="AI560" s="2">
        <v>50</v>
      </c>
      <c r="AJ560" s="2">
        <v>2</v>
      </c>
      <c r="AK560" s="2" t="s">
        <v>34</v>
      </c>
    </row>
    <row r="561" spans="1:37" x14ac:dyDescent="0.3">
      <c r="A561" s="11">
        <v>9.9518542615484709</v>
      </c>
      <c r="B561" s="11">
        <v>364.81033091202499</v>
      </c>
      <c r="C561" s="10" t="s">
        <v>34</v>
      </c>
      <c r="D561" s="10" t="s">
        <v>394</v>
      </c>
      <c r="E561" s="10" t="s">
        <v>387</v>
      </c>
      <c r="F561" s="10" t="s">
        <v>34</v>
      </c>
      <c r="G561" s="10" t="s">
        <v>34</v>
      </c>
      <c r="H561" s="10" t="s">
        <v>34</v>
      </c>
      <c r="I561" s="10" t="s">
        <v>34</v>
      </c>
      <c r="J561" s="10" t="s">
        <v>34</v>
      </c>
      <c r="K561" s="10" t="s">
        <v>34</v>
      </c>
      <c r="L561" s="10">
        <v>0</v>
      </c>
      <c r="M561" s="10">
        <v>34.1</v>
      </c>
      <c r="N561" s="10">
        <v>1400.49</v>
      </c>
      <c r="O561" s="10">
        <v>1.143</v>
      </c>
      <c r="P561" s="10">
        <v>0.84099999999999997</v>
      </c>
      <c r="Q561" s="10">
        <v>36.4</v>
      </c>
      <c r="R561" s="10">
        <v>2.8570000000000002</v>
      </c>
      <c r="S561" s="10" t="s">
        <v>34</v>
      </c>
      <c r="T561" s="10" t="s">
        <v>49</v>
      </c>
      <c r="U561" s="10" t="s">
        <v>362</v>
      </c>
      <c r="V561" s="10" t="s">
        <v>38</v>
      </c>
      <c r="W561" s="10" t="s">
        <v>43</v>
      </c>
      <c r="X561" s="10">
        <v>0.5</v>
      </c>
      <c r="Y561" s="10">
        <v>1</v>
      </c>
      <c r="Z561" s="10" t="s">
        <v>339</v>
      </c>
      <c r="AA561" s="10">
        <v>0.36699999999999999</v>
      </c>
      <c r="AB561" s="10" t="s">
        <v>34</v>
      </c>
      <c r="AC561" s="10" t="s">
        <v>398</v>
      </c>
      <c r="AD561" s="10" t="s">
        <v>277</v>
      </c>
      <c r="AE561" s="10">
        <v>0.86780000000000002</v>
      </c>
      <c r="AF561" s="10" t="s">
        <v>395</v>
      </c>
      <c r="AG561" s="10">
        <v>2024</v>
      </c>
      <c r="AH561" s="10" t="s">
        <v>396</v>
      </c>
      <c r="AI561" s="2">
        <v>50</v>
      </c>
      <c r="AJ561" s="2">
        <v>2</v>
      </c>
      <c r="AK561" s="2" t="s">
        <v>34</v>
      </c>
    </row>
    <row r="562" spans="1:37" x14ac:dyDescent="0.3">
      <c r="A562" s="11">
        <v>9.9934938191281706</v>
      </c>
      <c r="B562" s="11">
        <v>478.61178369652902</v>
      </c>
      <c r="C562" s="10" t="s">
        <v>34</v>
      </c>
      <c r="D562" s="10" t="s">
        <v>394</v>
      </c>
      <c r="E562" s="10" t="s">
        <v>387</v>
      </c>
      <c r="F562" s="10" t="s">
        <v>34</v>
      </c>
      <c r="G562" s="10" t="s">
        <v>34</v>
      </c>
      <c r="H562" s="10" t="s">
        <v>34</v>
      </c>
      <c r="I562" s="10" t="s">
        <v>34</v>
      </c>
      <c r="J562" s="10" t="s">
        <v>34</v>
      </c>
      <c r="K562" s="10" t="s">
        <v>34</v>
      </c>
      <c r="L562" s="10">
        <v>0</v>
      </c>
      <c r="M562" s="10">
        <v>34.1</v>
      </c>
      <c r="N562" s="10">
        <v>1400.49</v>
      </c>
      <c r="O562" s="10">
        <v>1.143</v>
      </c>
      <c r="P562" s="10">
        <v>0.84099999999999997</v>
      </c>
      <c r="Q562" s="10">
        <v>36.4</v>
      </c>
      <c r="R562" s="10">
        <v>2.8570000000000002</v>
      </c>
      <c r="S562" s="10" t="s">
        <v>34</v>
      </c>
      <c r="T562" s="10" t="s">
        <v>49</v>
      </c>
      <c r="U562" s="10" t="s">
        <v>362</v>
      </c>
      <c r="V562" s="10" t="s">
        <v>38</v>
      </c>
      <c r="W562" s="10" t="s">
        <v>43</v>
      </c>
      <c r="X562" s="10">
        <v>0.5</v>
      </c>
      <c r="Y562" s="10">
        <v>1</v>
      </c>
      <c r="Z562" s="10" t="s">
        <v>339</v>
      </c>
      <c r="AA562" s="10">
        <v>0.36699999999999999</v>
      </c>
      <c r="AB562" s="10" t="s">
        <v>34</v>
      </c>
      <c r="AC562" s="10" t="s">
        <v>398</v>
      </c>
      <c r="AD562" s="10" t="s">
        <v>277</v>
      </c>
      <c r="AE562" s="10">
        <v>0.86780000000000002</v>
      </c>
      <c r="AF562" s="10" t="s">
        <v>395</v>
      </c>
      <c r="AG562" s="10">
        <v>2024</v>
      </c>
      <c r="AH562" s="10" t="s">
        <v>396</v>
      </c>
      <c r="AI562" s="2">
        <v>50</v>
      </c>
      <c r="AJ562" s="2">
        <v>2</v>
      </c>
      <c r="AK562" s="2" t="s">
        <v>34</v>
      </c>
    </row>
    <row r="563" spans="1:37" x14ac:dyDescent="0.3">
      <c r="A563" s="11">
        <v>12.2524398178269</v>
      </c>
      <c r="B563" s="11">
        <v>660.20984665052401</v>
      </c>
      <c r="C563" s="10" t="s">
        <v>34</v>
      </c>
      <c r="D563" s="10" t="s">
        <v>394</v>
      </c>
      <c r="E563" s="10" t="s">
        <v>387</v>
      </c>
      <c r="F563" s="10" t="s">
        <v>34</v>
      </c>
      <c r="G563" s="10" t="s">
        <v>34</v>
      </c>
      <c r="H563" s="10" t="s">
        <v>34</v>
      </c>
      <c r="I563" s="10" t="s">
        <v>34</v>
      </c>
      <c r="J563" s="10" t="s">
        <v>34</v>
      </c>
      <c r="K563" s="10" t="s">
        <v>34</v>
      </c>
      <c r="L563" s="10">
        <v>0</v>
      </c>
      <c r="M563" s="10">
        <v>34.1</v>
      </c>
      <c r="N563" s="10">
        <v>1400.49</v>
      </c>
      <c r="O563" s="10">
        <v>1.143</v>
      </c>
      <c r="P563" s="10">
        <v>0.84099999999999997</v>
      </c>
      <c r="Q563" s="10">
        <v>36.4</v>
      </c>
      <c r="R563" s="10">
        <v>2.8570000000000002</v>
      </c>
      <c r="S563" s="10" t="s">
        <v>34</v>
      </c>
      <c r="T563" s="10" t="s">
        <v>49</v>
      </c>
      <c r="U563" s="10" t="s">
        <v>362</v>
      </c>
      <c r="V563" s="10" t="s">
        <v>38</v>
      </c>
      <c r="W563" s="10" t="s">
        <v>43</v>
      </c>
      <c r="X563" s="10">
        <v>0.5</v>
      </c>
      <c r="Y563" s="10">
        <v>1</v>
      </c>
      <c r="Z563" s="10" t="s">
        <v>339</v>
      </c>
      <c r="AA563" s="10">
        <v>0.36699999999999999</v>
      </c>
      <c r="AB563" s="10" t="s">
        <v>34</v>
      </c>
      <c r="AC563" s="10" t="s">
        <v>398</v>
      </c>
      <c r="AD563" s="10" t="s">
        <v>277</v>
      </c>
      <c r="AE563" s="10">
        <v>0.86780000000000002</v>
      </c>
      <c r="AF563" s="10" t="s">
        <v>395</v>
      </c>
      <c r="AG563" s="10">
        <v>2024</v>
      </c>
      <c r="AH563" s="10" t="s">
        <v>396</v>
      </c>
      <c r="AI563" s="2">
        <v>50</v>
      </c>
      <c r="AJ563" s="2">
        <v>2</v>
      </c>
      <c r="AK563" s="2" t="s">
        <v>34</v>
      </c>
    </row>
    <row r="564" spans="1:37" x14ac:dyDescent="0.3">
      <c r="A564" s="11">
        <v>12.0130123617436</v>
      </c>
      <c r="B564" s="11">
        <v>721.54963680387402</v>
      </c>
      <c r="C564" s="10" t="s">
        <v>34</v>
      </c>
      <c r="D564" s="10" t="s">
        <v>394</v>
      </c>
      <c r="E564" s="10" t="s">
        <v>387</v>
      </c>
      <c r="F564" s="10" t="s">
        <v>34</v>
      </c>
      <c r="G564" s="10" t="s">
        <v>34</v>
      </c>
      <c r="H564" s="10" t="s">
        <v>34</v>
      </c>
      <c r="I564" s="10" t="s">
        <v>34</v>
      </c>
      <c r="J564" s="10" t="s">
        <v>34</v>
      </c>
      <c r="K564" s="10" t="s">
        <v>34</v>
      </c>
      <c r="L564" s="10">
        <v>0</v>
      </c>
      <c r="M564" s="10">
        <v>34.1</v>
      </c>
      <c r="N564" s="10">
        <v>1400.49</v>
      </c>
      <c r="O564" s="10">
        <v>1.143</v>
      </c>
      <c r="P564" s="10">
        <v>0.84099999999999997</v>
      </c>
      <c r="Q564" s="10">
        <v>36.4</v>
      </c>
      <c r="R564" s="10">
        <v>2.8570000000000002</v>
      </c>
      <c r="S564" s="10" t="s">
        <v>34</v>
      </c>
      <c r="T564" s="10" t="s">
        <v>49</v>
      </c>
      <c r="U564" s="10" t="s">
        <v>362</v>
      </c>
      <c r="V564" s="10" t="s">
        <v>38</v>
      </c>
      <c r="W564" s="10" t="s">
        <v>43</v>
      </c>
      <c r="X564" s="10">
        <v>0.5</v>
      </c>
      <c r="Y564" s="10">
        <v>1</v>
      </c>
      <c r="Z564" s="10" t="s">
        <v>339</v>
      </c>
      <c r="AA564" s="10">
        <v>0.36699999999999999</v>
      </c>
      <c r="AB564" s="10" t="s">
        <v>34</v>
      </c>
      <c r="AC564" s="10" t="s">
        <v>398</v>
      </c>
      <c r="AD564" s="10" t="s">
        <v>277</v>
      </c>
      <c r="AE564" s="10">
        <v>0.86780000000000002</v>
      </c>
      <c r="AF564" s="10" t="s">
        <v>395</v>
      </c>
      <c r="AG564" s="10">
        <v>2024</v>
      </c>
      <c r="AH564" s="10" t="s">
        <v>396</v>
      </c>
      <c r="AI564" s="2">
        <v>50</v>
      </c>
      <c r="AJ564" s="2">
        <v>2</v>
      </c>
      <c r="AK564" s="2" t="s">
        <v>34</v>
      </c>
    </row>
    <row r="565" spans="1:37" x14ac:dyDescent="0.3">
      <c r="A565" s="11">
        <v>12.2940793754066</v>
      </c>
      <c r="B565" s="11">
        <v>854.72154963680396</v>
      </c>
      <c r="C565" s="10" t="s">
        <v>34</v>
      </c>
      <c r="D565" s="10" t="s">
        <v>394</v>
      </c>
      <c r="E565" s="10" t="s">
        <v>387</v>
      </c>
      <c r="F565" s="10" t="s">
        <v>34</v>
      </c>
      <c r="G565" s="10" t="s">
        <v>34</v>
      </c>
      <c r="H565" s="10" t="s">
        <v>34</v>
      </c>
      <c r="I565" s="10" t="s">
        <v>34</v>
      </c>
      <c r="J565" s="10" t="s">
        <v>34</v>
      </c>
      <c r="K565" s="10" t="s">
        <v>34</v>
      </c>
      <c r="L565" s="10">
        <v>0</v>
      </c>
      <c r="M565" s="10">
        <v>34.1</v>
      </c>
      <c r="N565" s="10">
        <v>1400.49</v>
      </c>
      <c r="O565" s="10">
        <v>1.143</v>
      </c>
      <c r="P565" s="10">
        <v>0.84099999999999997</v>
      </c>
      <c r="Q565" s="10">
        <v>36.4</v>
      </c>
      <c r="R565" s="10">
        <v>2.8570000000000002</v>
      </c>
      <c r="S565" s="10" t="s">
        <v>34</v>
      </c>
      <c r="T565" s="10" t="s">
        <v>49</v>
      </c>
      <c r="U565" s="10" t="s">
        <v>362</v>
      </c>
      <c r="V565" s="10" t="s">
        <v>38</v>
      </c>
      <c r="W565" s="10" t="s">
        <v>43</v>
      </c>
      <c r="X565" s="10">
        <v>0.5</v>
      </c>
      <c r="Y565" s="10">
        <v>1</v>
      </c>
      <c r="Z565" s="10" t="s">
        <v>339</v>
      </c>
      <c r="AA565" s="10">
        <v>0.36699999999999999</v>
      </c>
      <c r="AB565" s="10" t="s">
        <v>34</v>
      </c>
      <c r="AC565" s="10" t="s">
        <v>398</v>
      </c>
      <c r="AD565" s="10" t="s">
        <v>277</v>
      </c>
      <c r="AE565" s="10">
        <v>0.86780000000000002</v>
      </c>
      <c r="AF565" s="10" t="s">
        <v>395</v>
      </c>
      <c r="AG565" s="10">
        <v>2024</v>
      </c>
      <c r="AH565" s="10" t="s">
        <v>396</v>
      </c>
      <c r="AI565" s="2">
        <v>50</v>
      </c>
      <c r="AJ565" s="2">
        <v>2</v>
      </c>
      <c r="AK565" s="2" t="s">
        <v>34</v>
      </c>
    </row>
    <row r="566" spans="1:37" x14ac:dyDescent="0.3">
      <c r="A566" s="11">
        <v>7.8698763825634304</v>
      </c>
      <c r="B566" s="11">
        <v>129.13640032284101</v>
      </c>
      <c r="C566" s="10" t="s">
        <v>34</v>
      </c>
      <c r="D566" s="10" t="s">
        <v>394</v>
      </c>
      <c r="E566" s="10" t="s">
        <v>387</v>
      </c>
      <c r="F566" s="10" t="s">
        <v>34</v>
      </c>
      <c r="G566" s="10" t="s">
        <v>34</v>
      </c>
      <c r="H566" s="10" t="s">
        <v>34</v>
      </c>
      <c r="I566" s="10" t="s">
        <v>34</v>
      </c>
      <c r="J566" s="10" t="s">
        <v>34</v>
      </c>
      <c r="K566" s="10" t="s">
        <v>34</v>
      </c>
      <c r="L566" s="10">
        <v>0</v>
      </c>
      <c r="M566" s="10">
        <v>34.1</v>
      </c>
      <c r="N566" s="10">
        <v>1400.49</v>
      </c>
      <c r="O566" s="10">
        <v>1.143</v>
      </c>
      <c r="P566" s="10">
        <v>0.84099999999999997</v>
      </c>
      <c r="Q566" s="10">
        <v>36.4</v>
      </c>
      <c r="R566" s="10">
        <v>2.8570000000000002</v>
      </c>
      <c r="S566" s="10" t="s">
        <v>34</v>
      </c>
      <c r="T566" s="10" t="s">
        <v>49</v>
      </c>
      <c r="U566" s="10" t="s">
        <v>362</v>
      </c>
      <c r="V566" s="10" t="s">
        <v>38</v>
      </c>
      <c r="W566" s="10" t="s">
        <v>43</v>
      </c>
      <c r="X566" s="10">
        <v>0.5</v>
      </c>
      <c r="Y566" s="10">
        <v>1</v>
      </c>
      <c r="Z566" s="10" t="s">
        <v>339</v>
      </c>
      <c r="AA566" s="10">
        <v>0.38600000000000001</v>
      </c>
      <c r="AB566" s="10" t="s">
        <v>34</v>
      </c>
      <c r="AC566" s="10" t="s">
        <v>399</v>
      </c>
      <c r="AD566" s="10" t="s">
        <v>277</v>
      </c>
      <c r="AE566" s="10">
        <v>0.86780000000000002</v>
      </c>
      <c r="AF566" s="10" t="s">
        <v>395</v>
      </c>
      <c r="AG566" s="10">
        <v>2024</v>
      </c>
      <c r="AH566" s="10" t="s">
        <v>396</v>
      </c>
      <c r="AI566" s="2">
        <v>50</v>
      </c>
      <c r="AJ566" s="2">
        <v>2</v>
      </c>
      <c r="AK566" s="2" t="s">
        <v>34</v>
      </c>
    </row>
    <row r="567" spans="1:37" x14ac:dyDescent="0.3">
      <c r="A567" s="11">
        <v>7.7033181522446297</v>
      </c>
      <c r="B567" s="11">
        <v>150.92816787731999</v>
      </c>
      <c r="C567" s="10" t="s">
        <v>34</v>
      </c>
      <c r="D567" s="10" t="s">
        <v>394</v>
      </c>
      <c r="E567" s="10" t="s">
        <v>387</v>
      </c>
      <c r="F567" s="10" t="s">
        <v>34</v>
      </c>
      <c r="G567" s="10" t="s">
        <v>34</v>
      </c>
      <c r="H567" s="10" t="s">
        <v>34</v>
      </c>
      <c r="I567" s="10" t="s">
        <v>34</v>
      </c>
      <c r="J567" s="10" t="s">
        <v>34</v>
      </c>
      <c r="K567" s="10" t="s">
        <v>34</v>
      </c>
      <c r="L567" s="10">
        <v>0</v>
      </c>
      <c r="M567" s="10">
        <v>34.1</v>
      </c>
      <c r="N567" s="10">
        <v>1400.49</v>
      </c>
      <c r="O567" s="10">
        <v>1.143</v>
      </c>
      <c r="P567" s="10">
        <v>0.84099999999999997</v>
      </c>
      <c r="Q567" s="10">
        <v>36.4</v>
      </c>
      <c r="R567" s="10">
        <v>2.8570000000000002</v>
      </c>
      <c r="S567" s="10" t="s">
        <v>34</v>
      </c>
      <c r="T567" s="10" t="s">
        <v>49</v>
      </c>
      <c r="U567" s="10" t="s">
        <v>362</v>
      </c>
      <c r="V567" s="10" t="s">
        <v>38</v>
      </c>
      <c r="W567" s="10" t="s">
        <v>43</v>
      </c>
      <c r="X567" s="10">
        <v>0.5</v>
      </c>
      <c r="Y567" s="10">
        <v>1</v>
      </c>
      <c r="Z567" s="10" t="s">
        <v>339</v>
      </c>
      <c r="AA567" s="10">
        <v>0.38600000000000001</v>
      </c>
      <c r="AB567" s="10" t="s">
        <v>34</v>
      </c>
      <c r="AC567" s="10" t="s">
        <v>399</v>
      </c>
      <c r="AD567" s="10" t="s">
        <v>277</v>
      </c>
      <c r="AE567" s="10">
        <v>0.86780000000000002</v>
      </c>
      <c r="AF567" s="10" t="s">
        <v>395</v>
      </c>
      <c r="AG567" s="10">
        <v>2024</v>
      </c>
      <c r="AH567" s="10" t="s">
        <v>396</v>
      </c>
      <c r="AI567" s="2">
        <v>50</v>
      </c>
      <c r="AJ567" s="2">
        <v>2</v>
      </c>
      <c r="AK567" s="2" t="s">
        <v>34</v>
      </c>
    </row>
    <row r="568" spans="1:37" x14ac:dyDescent="0.3">
      <c r="A568" s="11">
        <v>8.16135328562134</v>
      </c>
      <c r="B568" s="11">
        <v>213.882163034705</v>
      </c>
      <c r="C568" s="10" t="s">
        <v>34</v>
      </c>
      <c r="D568" s="10" t="s">
        <v>394</v>
      </c>
      <c r="E568" s="10" t="s">
        <v>387</v>
      </c>
      <c r="F568" s="10" t="s">
        <v>34</v>
      </c>
      <c r="G568" s="10" t="s">
        <v>34</v>
      </c>
      <c r="H568" s="10" t="s">
        <v>34</v>
      </c>
      <c r="I568" s="10" t="s">
        <v>34</v>
      </c>
      <c r="J568" s="10" t="s">
        <v>34</v>
      </c>
      <c r="K568" s="10" t="s">
        <v>34</v>
      </c>
      <c r="L568" s="10">
        <v>0</v>
      </c>
      <c r="M568" s="10">
        <v>34.1</v>
      </c>
      <c r="N568" s="10">
        <v>1400.49</v>
      </c>
      <c r="O568" s="10">
        <v>1.143</v>
      </c>
      <c r="P568" s="10">
        <v>0.84099999999999997</v>
      </c>
      <c r="Q568" s="10">
        <v>36.4</v>
      </c>
      <c r="R568" s="10">
        <v>2.8570000000000002</v>
      </c>
      <c r="S568" s="10" t="s">
        <v>34</v>
      </c>
      <c r="T568" s="10" t="s">
        <v>49</v>
      </c>
      <c r="U568" s="10" t="s">
        <v>362</v>
      </c>
      <c r="V568" s="10" t="s">
        <v>38</v>
      </c>
      <c r="W568" s="10" t="s">
        <v>43</v>
      </c>
      <c r="X568" s="10">
        <v>0.5</v>
      </c>
      <c r="Y568" s="10">
        <v>1</v>
      </c>
      <c r="Z568" s="10" t="s">
        <v>339</v>
      </c>
      <c r="AA568" s="10">
        <v>0.38600000000000001</v>
      </c>
      <c r="AB568" s="10" t="s">
        <v>34</v>
      </c>
      <c r="AC568" s="10" t="s">
        <v>399</v>
      </c>
      <c r="AD568" s="10" t="s">
        <v>277</v>
      </c>
      <c r="AE568" s="10">
        <v>0.86780000000000002</v>
      </c>
      <c r="AF568" s="10" t="s">
        <v>395</v>
      </c>
      <c r="AG568" s="10">
        <v>2024</v>
      </c>
      <c r="AH568" s="10" t="s">
        <v>396</v>
      </c>
      <c r="AI568" s="2">
        <v>50</v>
      </c>
      <c r="AJ568" s="2">
        <v>2</v>
      </c>
      <c r="AK568" s="2" t="s">
        <v>34</v>
      </c>
    </row>
    <row r="569" spans="1:37" x14ac:dyDescent="0.3">
      <c r="A569" s="11">
        <v>9.7124268054651903</v>
      </c>
      <c r="B569" s="11">
        <v>309.927360774818</v>
      </c>
      <c r="C569" s="10" t="s">
        <v>34</v>
      </c>
      <c r="D569" s="10" t="s">
        <v>394</v>
      </c>
      <c r="E569" s="10" t="s">
        <v>387</v>
      </c>
      <c r="F569" s="10" t="s">
        <v>34</v>
      </c>
      <c r="G569" s="10" t="s">
        <v>34</v>
      </c>
      <c r="H569" s="10" t="s">
        <v>34</v>
      </c>
      <c r="I569" s="10" t="s">
        <v>34</v>
      </c>
      <c r="J569" s="10" t="s">
        <v>34</v>
      </c>
      <c r="K569" s="10" t="s">
        <v>34</v>
      </c>
      <c r="L569" s="10">
        <v>0</v>
      </c>
      <c r="M569" s="10">
        <v>34.1</v>
      </c>
      <c r="N569" s="10">
        <v>1400.49</v>
      </c>
      <c r="O569" s="10">
        <v>1.143</v>
      </c>
      <c r="P569" s="10">
        <v>0.84099999999999997</v>
      </c>
      <c r="Q569" s="10">
        <v>36.4</v>
      </c>
      <c r="R569" s="10">
        <v>2.8570000000000002</v>
      </c>
      <c r="S569" s="10" t="s">
        <v>34</v>
      </c>
      <c r="T569" s="10" t="s">
        <v>49</v>
      </c>
      <c r="U569" s="10" t="s">
        <v>362</v>
      </c>
      <c r="V569" s="10" t="s">
        <v>38</v>
      </c>
      <c r="W569" s="10" t="s">
        <v>43</v>
      </c>
      <c r="X569" s="10">
        <v>0.5</v>
      </c>
      <c r="Y569" s="10">
        <v>1</v>
      </c>
      <c r="Z569" s="10" t="s">
        <v>339</v>
      </c>
      <c r="AA569" s="10">
        <v>0.38600000000000001</v>
      </c>
      <c r="AB569" s="10" t="s">
        <v>34</v>
      </c>
      <c r="AC569" s="10" t="s">
        <v>399</v>
      </c>
      <c r="AD569" s="10" t="s">
        <v>277</v>
      </c>
      <c r="AE569" s="10">
        <v>0.86780000000000002</v>
      </c>
      <c r="AF569" s="10" t="s">
        <v>395</v>
      </c>
      <c r="AG569" s="10">
        <v>2024</v>
      </c>
      <c r="AH569" s="10" t="s">
        <v>396</v>
      </c>
      <c r="AI569" s="2">
        <v>50</v>
      </c>
      <c r="AJ569" s="2">
        <v>2</v>
      </c>
      <c r="AK569" s="2" t="s">
        <v>34</v>
      </c>
    </row>
    <row r="570" spans="1:37" x14ac:dyDescent="0.3">
      <c r="A570" s="11">
        <v>10.1080026024723</v>
      </c>
      <c r="B570" s="11">
        <v>318.80548829701303</v>
      </c>
      <c r="C570" s="10" t="s">
        <v>34</v>
      </c>
      <c r="D570" s="10" t="s">
        <v>394</v>
      </c>
      <c r="E570" s="10" t="s">
        <v>387</v>
      </c>
      <c r="F570" s="10" t="s">
        <v>34</v>
      </c>
      <c r="G570" s="10" t="s">
        <v>34</v>
      </c>
      <c r="H570" s="10" t="s">
        <v>34</v>
      </c>
      <c r="I570" s="10" t="s">
        <v>34</v>
      </c>
      <c r="J570" s="10" t="s">
        <v>34</v>
      </c>
      <c r="K570" s="10" t="s">
        <v>34</v>
      </c>
      <c r="L570" s="10">
        <v>0</v>
      </c>
      <c r="M570" s="10">
        <v>34.1</v>
      </c>
      <c r="N570" s="10">
        <v>1400.49</v>
      </c>
      <c r="O570" s="10">
        <v>1.143</v>
      </c>
      <c r="P570" s="10">
        <v>0.84099999999999997</v>
      </c>
      <c r="Q570" s="10">
        <v>36.4</v>
      </c>
      <c r="R570" s="10">
        <v>2.8570000000000002</v>
      </c>
      <c r="S570" s="10" t="s">
        <v>34</v>
      </c>
      <c r="T570" s="10" t="s">
        <v>49</v>
      </c>
      <c r="U570" s="10" t="s">
        <v>362</v>
      </c>
      <c r="V570" s="10" t="s">
        <v>38</v>
      </c>
      <c r="W570" s="10" t="s">
        <v>43</v>
      </c>
      <c r="X570" s="10">
        <v>0.5</v>
      </c>
      <c r="Y570" s="10">
        <v>1</v>
      </c>
      <c r="Z570" s="10" t="s">
        <v>339</v>
      </c>
      <c r="AA570" s="10">
        <v>0.38600000000000001</v>
      </c>
      <c r="AB570" s="10" t="s">
        <v>34</v>
      </c>
      <c r="AC570" s="10" t="s">
        <v>399</v>
      </c>
      <c r="AD570" s="10" t="s">
        <v>277</v>
      </c>
      <c r="AE570" s="10">
        <v>0.86780000000000002</v>
      </c>
      <c r="AF570" s="10" t="s">
        <v>395</v>
      </c>
      <c r="AG570" s="10">
        <v>2024</v>
      </c>
      <c r="AH570" s="10" t="s">
        <v>396</v>
      </c>
      <c r="AI570" s="2">
        <v>50</v>
      </c>
      <c r="AJ570" s="2">
        <v>2</v>
      </c>
      <c r="AK570" s="2" t="s">
        <v>34</v>
      </c>
    </row>
    <row r="571" spans="1:37" x14ac:dyDescent="0.3">
      <c r="A571" s="11">
        <v>11.929733246584201</v>
      </c>
      <c r="B571" s="11">
        <v>482.64729620661802</v>
      </c>
      <c r="C571" s="10" t="s">
        <v>34</v>
      </c>
      <c r="D571" s="10" t="s">
        <v>394</v>
      </c>
      <c r="E571" s="10" t="s">
        <v>387</v>
      </c>
      <c r="F571" s="10" t="s">
        <v>34</v>
      </c>
      <c r="G571" s="10" t="s">
        <v>34</v>
      </c>
      <c r="H571" s="10" t="s">
        <v>34</v>
      </c>
      <c r="I571" s="10" t="s">
        <v>34</v>
      </c>
      <c r="J571" s="10" t="s">
        <v>34</v>
      </c>
      <c r="K571" s="10" t="s">
        <v>34</v>
      </c>
      <c r="L571" s="10">
        <v>0</v>
      </c>
      <c r="M571" s="10">
        <v>34.1</v>
      </c>
      <c r="N571" s="10">
        <v>1400.49</v>
      </c>
      <c r="O571" s="10">
        <v>1.143</v>
      </c>
      <c r="P571" s="10">
        <v>0.84099999999999997</v>
      </c>
      <c r="Q571" s="10">
        <v>36.4</v>
      </c>
      <c r="R571" s="10">
        <v>2.8570000000000002</v>
      </c>
      <c r="S571" s="10" t="s">
        <v>34</v>
      </c>
      <c r="T571" s="10" t="s">
        <v>49</v>
      </c>
      <c r="U571" s="10" t="s">
        <v>362</v>
      </c>
      <c r="V571" s="10" t="s">
        <v>38</v>
      </c>
      <c r="W571" s="10" t="s">
        <v>43</v>
      </c>
      <c r="X571" s="10">
        <v>0.5</v>
      </c>
      <c r="Y571" s="10">
        <v>1</v>
      </c>
      <c r="Z571" s="10" t="s">
        <v>339</v>
      </c>
      <c r="AA571" s="10">
        <v>0.38600000000000001</v>
      </c>
      <c r="AB571" s="10" t="s">
        <v>34</v>
      </c>
      <c r="AC571" s="10" t="s">
        <v>399</v>
      </c>
      <c r="AD571" s="10" t="s">
        <v>277</v>
      </c>
      <c r="AE571" s="10">
        <v>0.86780000000000002</v>
      </c>
      <c r="AF571" s="10" t="s">
        <v>395</v>
      </c>
      <c r="AG571" s="10">
        <v>2024</v>
      </c>
      <c r="AH571" s="10" t="s">
        <v>396</v>
      </c>
      <c r="AI571" s="2">
        <v>50</v>
      </c>
      <c r="AJ571" s="2">
        <v>2</v>
      </c>
      <c r="AK571" s="2" t="s">
        <v>34</v>
      </c>
    </row>
    <row r="572" spans="1:37" x14ac:dyDescent="0.3">
      <c r="A572" s="11">
        <v>12.2836694860117</v>
      </c>
      <c r="B572" s="11">
        <v>728.00645682001596</v>
      </c>
      <c r="C572" s="10" t="s">
        <v>34</v>
      </c>
      <c r="D572" s="10" t="s">
        <v>394</v>
      </c>
      <c r="E572" s="10" t="s">
        <v>387</v>
      </c>
      <c r="F572" s="10" t="s">
        <v>34</v>
      </c>
      <c r="G572" s="10" t="s">
        <v>34</v>
      </c>
      <c r="H572" s="10" t="s">
        <v>34</v>
      </c>
      <c r="I572" s="10" t="s">
        <v>34</v>
      </c>
      <c r="J572" s="10" t="s">
        <v>34</v>
      </c>
      <c r="K572" s="10" t="s">
        <v>34</v>
      </c>
      <c r="L572" s="10">
        <v>0</v>
      </c>
      <c r="M572" s="10">
        <v>34.1</v>
      </c>
      <c r="N572" s="10">
        <v>1400.49</v>
      </c>
      <c r="O572" s="10">
        <v>1.143</v>
      </c>
      <c r="P572" s="10">
        <v>0.84099999999999997</v>
      </c>
      <c r="Q572" s="10">
        <v>36.4</v>
      </c>
      <c r="R572" s="10">
        <v>2.8570000000000002</v>
      </c>
      <c r="S572" s="10" t="s">
        <v>34</v>
      </c>
      <c r="T572" s="10" t="s">
        <v>49</v>
      </c>
      <c r="U572" s="10" t="s">
        <v>362</v>
      </c>
      <c r="V572" s="10" t="s">
        <v>38</v>
      </c>
      <c r="W572" s="10" t="s">
        <v>43</v>
      </c>
      <c r="X572" s="10">
        <v>0.5</v>
      </c>
      <c r="Y572" s="10">
        <v>1</v>
      </c>
      <c r="Z572" s="10" t="s">
        <v>339</v>
      </c>
      <c r="AA572" s="10">
        <v>0.38600000000000001</v>
      </c>
      <c r="AB572" s="10" t="s">
        <v>34</v>
      </c>
      <c r="AC572" s="10" t="s">
        <v>399</v>
      </c>
      <c r="AD572" s="10" t="s">
        <v>277</v>
      </c>
      <c r="AE572" s="10">
        <v>0.86780000000000002</v>
      </c>
      <c r="AF572" s="10" t="s">
        <v>395</v>
      </c>
      <c r="AG572" s="10">
        <v>2024</v>
      </c>
      <c r="AH572" s="10" t="s">
        <v>396</v>
      </c>
      <c r="AI572" s="2">
        <v>50</v>
      </c>
      <c r="AJ572" s="2">
        <v>2</v>
      </c>
      <c r="AK572" s="2" t="s">
        <v>34</v>
      </c>
    </row>
    <row r="573" spans="1:37" ht="16.2" thickBot="1" x14ac:dyDescent="0.35">
      <c r="A573" s="17">
        <v>11.81522446324</v>
      </c>
      <c r="B573" s="17">
        <v>900.72639225181604</v>
      </c>
      <c r="C573" s="14" t="s">
        <v>34</v>
      </c>
      <c r="D573" s="14" t="s">
        <v>394</v>
      </c>
      <c r="E573" s="14" t="s">
        <v>387</v>
      </c>
      <c r="F573" s="14" t="s">
        <v>34</v>
      </c>
      <c r="G573" s="14" t="s">
        <v>34</v>
      </c>
      <c r="H573" s="14" t="s">
        <v>34</v>
      </c>
      <c r="I573" s="14" t="s">
        <v>34</v>
      </c>
      <c r="J573" s="14" t="s">
        <v>34</v>
      </c>
      <c r="K573" s="14" t="s">
        <v>34</v>
      </c>
      <c r="L573" s="14">
        <v>0</v>
      </c>
      <c r="M573" s="14">
        <v>34.1</v>
      </c>
      <c r="N573" s="14">
        <v>1400.49</v>
      </c>
      <c r="O573" s="14">
        <v>1.143</v>
      </c>
      <c r="P573" s="14">
        <v>0.84099999999999997</v>
      </c>
      <c r="Q573" s="14">
        <v>36.4</v>
      </c>
      <c r="R573" s="14">
        <v>2.8570000000000002</v>
      </c>
      <c r="S573" s="14" t="s">
        <v>34</v>
      </c>
      <c r="T573" s="14" t="s">
        <v>49</v>
      </c>
      <c r="U573" s="14" t="s">
        <v>362</v>
      </c>
      <c r="V573" s="14" t="s">
        <v>38</v>
      </c>
      <c r="W573" s="14" t="s">
        <v>43</v>
      </c>
      <c r="X573" s="14">
        <v>0.5</v>
      </c>
      <c r="Y573" s="14">
        <v>1</v>
      </c>
      <c r="Z573" s="14" t="s">
        <v>339</v>
      </c>
      <c r="AA573" s="14">
        <v>0.38600000000000001</v>
      </c>
      <c r="AB573" s="14" t="s">
        <v>34</v>
      </c>
      <c r="AC573" s="14" t="s">
        <v>399</v>
      </c>
      <c r="AD573" s="14" t="s">
        <v>277</v>
      </c>
      <c r="AE573" s="14">
        <v>0.86780000000000002</v>
      </c>
      <c r="AF573" s="14" t="s">
        <v>395</v>
      </c>
      <c r="AG573" s="14">
        <v>2024</v>
      </c>
      <c r="AH573" s="14" t="s">
        <v>396</v>
      </c>
      <c r="AI573" s="15">
        <v>50</v>
      </c>
      <c r="AJ573" s="15">
        <v>2</v>
      </c>
      <c r="AK573" s="15" t="s">
        <v>34</v>
      </c>
    </row>
    <row r="574" spans="1:37" x14ac:dyDescent="0.3">
      <c r="A574" s="12"/>
      <c r="B574" s="12"/>
      <c r="C574" s="13"/>
      <c r="D574" s="13"/>
      <c r="E574" s="13"/>
      <c r="F574" s="13"/>
      <c r="G574" s="13">
        <f>MIN(G2:G573)</f>
        <v>8.9999999999999993E-3</v>
      </c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</row>
    <row r="575" spans="1:37" x14ac:dyDescent="0.3">
      <c r="G575" s="10">
        <f>MAX(G2:G573)</f>
        <v>5.65</v>
      </c>
    </row>
  </sheetData>
  <phoneticPr fontId="4" type="noConversion"/>
  <dataValidations count="3">
    <dataValidation type="list" allowBlank="1" showInputMessage="1" showErrorMessage="1" sqref="U2:U40 U192:U197" xr:uid="{7DFF9A2B-C151-493F-A6C2-7ACD2EC70817}">
      <formula1>"Augmented, Stimulated, Jack Beans, Soybeans, Commercial, "</formula1>
    </dataValidation>
    <dataValidation type="list" allowBlank="1" showInputMessage="1" showErrorMessage="1" sqref="V2:V40 V86:V157 V192:V197" xr:uid="{4F9FDD4B-4027-4521-8223-B64B3655D679}">
      <formula1>"IMMERSION,PERCOLATION,MIX-COMPACT,INJECTION"</formula1>
    </dataValidation>
    <dataValidation type="list" allowBlank="1" showInputMessage="1" showErrorMessage="1" sqref="T198:T203" xr:uid="{F1431602-C080-4B01-B449-A245FE7625A2}">
      <formula1>"MICP,EICP,Other"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EFE16-F20A-4C82-8082-761862FE3BAE}">
  <dimension ref="A1:AL212"/>
  <sheetViews>
    <sheetView tabSelected="1" topLeftCell="AP1" workbookViewId="0">
      <selection activeCell="BG1" sqref="BG1"/>
    </sheetView>
  </sheetViews>
  <sheetFormatPr defaultRowHeight="14.4" x14ac:dyDescent="0.3"/>
  <cols>
    <col min="29" max="29" width="45.21875" customWidth="1"/>
  </cols>
  <sheetData>
    <row r="1" spans="1:38" ht="93.6" x14ac:dyDescent="0.3">
      <c r="A1" s="109" t="s">
        <v>0</v>
      </c>
      <c r="B1" s="109" t="s">
        <v>1</v>
      </c>
      <c r="C1" s="110" t="s">
        <v>2</v>
      </c>
      <c r="D1" s="110" t="s">
        <v>3</v>
      </c>
      <c r="E1" s="110" t="s">
        <v>4</v>
      </c>
      <c r="F1" s="110" t="s">
        <v>5</v>
      </c>
      <c r="G1" s="110" t="s">
        <v>6</v>
      </c>
      <c r="H1" s="110" t="s">
        <v>7</v>
      </c>
      <c r="I1" s="110" t="s">
        <v>8</v>
      </c>
      <c r="J1" s="110" t="s">
        <v>9</v>
      </c>
      <c r="K1" s="110" t="s">
        <v>10</v>
      </c>
      <c r="L1" s="110" t="s">
        <v>11</v>
      </c>
      <c r="M1" s="110" t="s">
        <v>12</v>
      </c>
      <c r="N1" s="110" t="s">
        <v>416</v>
      </c>
      <c r="O1" s="110" t="s">
        <v>14</v>
      </c>
      <c r="P1" s="110" t="s">
        <v>15</v>
      </c>
      <c r="Q1" s="110" t="s">
        <v>44</v>
      </c>
      <c r="R1" s="110" t="s">
        <v>30</v>
      </c>
      <c r="S1" s="110" t="s">
        <v>417</v>
      </c>
      <c r="T1" s="111" t="s">
        <v>17</v>
      </c>
      <c r="U1" s="111" t="s">
        <v>18</v>
      </c>
      <c r="V1" s="111" t="s">
        <v>19</v>
      </c>
      <c r="W1" s="111" t="s">
        <v>20</v>
      </c>
      <c r="X1" s="112" t="s">
        <v>21</v>
      </c>
      <c r="Y1" s="112" t="s">
        <v>22</v>
      </c>
      <c r="Z1" s="112" t="s">
        <v>23</v>
      </c>
      <c r="AA1" s="112" t="s">
        <v>415</v>
      </c>
      <c r="AB1" s="112" t="s">
        <v>52</v>
      </c>
      <c r="AC1" s="113" t="s">
        <v>26</v>
      </c>
      <c r="AD1" s="114" t="s">
        <v>31</v>
      </c>
      <c r="AE1" s="115" t="s">
        <v>25</v>
      </c>
      <c r="AF1" s="116" t="s">
        <v>27</v>
      </c>
      <c r="AG1" s="116" t="s">
        <v>28</v>
      </c>
      <c r="AH1" s="116" t="s">
        <v>29</v>
      </c>
      <c r="AI1" s="58" t="s">
        <v>376</v>
      </c>
      <c r="AJ1" s="58" t="s">
        <v>377</v>
      </c>
      <c r="AK1" s="58" t="s">
        <v>378</v>
      </c>
    </row>
    <row r="2" spans="1:38" ht="15.6" x14ac:dyDescent="0.3">
      <c r="A2" s="11">
        <v>4.1140719962599004</v>
      </c>
      <c r="B2" s="11">
        <v>369.614512471654</v>
      </c>
      <c r="C2" s="10" t="s">
        <v>33</v>
      </c>
      <c r="D2" s="10" t="s">
        <v>169</v>
      </c>
      <c r="E2" s="10" t="s">
        <v>170</v>
      </c>
      <c r="F2" s="10" t="s">
        <v>34</v>
      </c>
      <c r="G2" s="10">
        <v>0.21</v>
      </c>
      <c r="H2" s="10" t="s">
        <v>34</v>
      </c>
      <c r="I2" s="10" t="s">
        <v>34</v>
      </c>
      <c r="J2" s="10" t="s">
        <v>34</v>
      </c>
      <c r="K2" s="10" t="s">
        <v>34</v>
      </c>
      <c r="L2" s="10">
        <v>0</v>
      </c>
      <c r="M2" s="10">
        <v>50</v>
      </c>
      <c r="N2" s="11">
        <v>1476.9578718927885</v>
      </c>
      <c r="O2" s="10" t="s">
        <v>34</v>
      </c>
      <c r="P2" s="10" t="s">
        <v>34</v>
      </c>
      <c r="Q2" s="10">
        <v>0</v>
      </c>
      <c r="R2" s="10">
        <v>2.64</v>
      </c>
      <c r="S2" s="10">
        <v>4.4000000000000007E-4</v>
      </c>
      <c r="T2" s="26" t="s">
        <v>49</v>
      </c>
      <c r="U2" s="10" t="s">
        <v>50</v>
      </c>
      <c r="V2" s="10" t="s">
        <v>38</v>
      </c>
      <c r="W2" s="10" t="s">
        <v>43</v>
      </c>
      <c r="X2" s="10" t="s">
        <v>43</v>
      </c>
      <c r="Y2" s="10">
        <v>1</v>
      </c>
      <c r="Z2" s="10" t="s">
        <v>171</v>
      </c>
      <c r="AA2" s="10" t="s">
        <v>43</v>
      </c>
      <c r="AB2" s="10">
        <v>9.15</v>
      </c>
      <c r="AC2" s="10" t="s">
        <v>40</v>
      </c>
      <c r="AD2" s="10" t="s">
        <v>32</v>
      </c>
      <c r="AE2" s="10">
        <v>0.19400000000000001</v>
      </c>
      <c r="AF2" s="10" t="s">
        <v>172</v>
      </c>
      <c r="AG2" s="10">
        <v>2012</v>
      </c>
      <c r="AH2" s="10" t="s">
        <v>173</v>
      </c>
      <c r="AI2" s="10">
        <v>50</v>
      </c>
      <c r="AJ2" s="10">
        <v>2</v>
      </c>
      <c r="AK2" s="10" t="s">
        <v>34</v>
      </c>
      <c r="AL2" t="str">
        <f>CONCATENATE(AF2," (",AG2,") -",AC2)</f>
        <v>Yasuhara (2012) -Pure</v>
      </c>
    </row>
    <row r="3" spans="1:38" ht="15.6" x14ac:dyDescent="0.3">
      <c r="A3" s="11">
        <v>6.0133239831696992</v>
      </c>
      <c r="B3" s="11">
        <v>467.12018140589498</v>
      </c>
      <c r="C3" s="10" t="s">
        <v>33</v>
      </c>
      <c r="D3" s="10" t="s">
        <v>169</v>
      </c>
      <c r="E3" s="10" t="s">
        <v>170</v>
      </c>
      <c r="F3" s="10" t="s">
        <v>34</v>
      </c>
      <c r="G3" s="10">
        <v>0.21</v>
      </c>
      <c r="H3" s="10" t="s">
        <v>34</v>
      </c>
      <c r="I3" s="10" t="s">
        <v>34</v>
      </c>
      <c r="J3" s="10" t="s">
        <v>34</v>
      </c>
      <c r="K3" s="10" t="s">
        <v>34</v>
      </c>
      <c r="L3" s="10">
        <v>0</v>
      </c>
      <c r="M3" s="10">
        <v>50</v>
      </c>
      <c r="N3" s="11">
        <v>1476.9578718927885</v>
      </c>
      <c r="O3" s="10" t="s">
        <v>34</v>
      </c>
      <c r="P3" s="10" t="s">
        <v>34</v>
      </c>
      <c r="Q3" s="10">
        <v>0</v>
      </c>
      <c r="R3" s="10">
        <v>2.64</v>
      </c>
      <c r="S3" s="10">
        <v>4.4000000000000007E-4</v>
      </c>
      <c r="T3" s="26" t="s">
        <v>49</v>
      </c>
      <c r="U3" s="10" t="s">
        <v>50</v>
      </c>
      <c r="V3" s="10" t="s">
        <v>38</v>
      </c>
      <c r="W3" s="10" t="s">
        <v>43</v>
      </c>
      <c r="X3" s="10" t="s">
        <v>43</v>
      </c>
      <c r="Y3" s="10">
        <v>1</v>
      </c>
      <c r="Z3" s="10" t="s">
        <v>171</v>
      </c>
      <c r="AA3" s="10" t="s">
        <v>43</v>
      </c>
      <c r="AB3" s="10">
        <v>9.15</v>
      </c>
      <c r="AC3" s="10" t="s">
        <v>40</v>
      </c>
      <c r="AD3" s="10" t="s">
        <v>32</v>
      </c>
      <c r="AE3" s="10">
        <v>0.19400000000000001</v>
      </c>
      <c r="AF3" s="10" t="s">
        <v>172</v>
      </c>
      <c r="AG3" s="10">
        <v>2012</v>
      </c>
      <c r="AH3" s="10" t="s">
        <v>173</v>
      </c>
      <c r="AI3" s="10">
        <v>50</v>
      </c>
      <c r="AJ3" s="10">
        <v>2</v>
      </c>
      <c r="AK3" s="10" t="s">
        <v>34</v>
      </c>
      <c r="AL3" t="str">
        <f t="shared" ref="AL3:AL66" si="0">CONCATENATE(AF3," (",AG3,") -",AC3)</f>
        <v>Yasuhara (2012) -Pure</v>
      </c>
    </row>
    <row r="4" spans="1:38" ht="15.6" x14ac:dyDescent="0.3">
      <c r="A4" s="11">
        <v>5.6626928471247995</v>
      </c>
      <c r="B4" s="11">
        <v>752.83446712018099</v>
      </c>
      <c r="C4" s="10" t="s">
        <v>33</v>
      </c>
      <c r="D4" s="10" t="s">
        <v>169</v>
      </c>
      <c r="E4" s="10" t="s">
        <v>170</v>
      </c>
      <c r="F4" s="10" t="s">
        <v>34</v>
      </c>
      <c r="G4" s="10">
        <v>0.21</v>
      </c>
      <c r="H4" s="10" t="s">
        <v>34</v>
      </c>
      <c r="I4" s="10" t="s">
        <v>34</v>
      </c>
      <c r="J4" s="10" t="s">
        <v>34</v>
      </c>
      <c r="K4" s="10" t="s">
        <v>34</v>
      </c>
      <c r="L4" s="10">
        <v>0</v>
      </c>
      <c r="M4" s="10">
        <v>50</v>
      </c>
      <c r="N4" s="11">
        <v>1476.9578718927885</v>
      </c>
      <c r="O4" s="10" t="s">
        <v>34</v>
      </c>
      <c r="P4" s="10" t="s">
        <v>34</v>
      </c>
      <c r="Q4" s="10">
        <v>0</v>
      </c>
      <c r="R4" s="10">
        <v>2.64</v>
      </c>
      <c r="S4" s="10">
        <v>4.4000000000000007E-4</v>
      </c>
      <c r="T4" s="26" t="s">
        <v>49</v>
      </c>
      <c r="U4" s="10" t="s">
        <v>50</v>
      </c>
      <c r="V4" s="10" t="s">
        <v>38</v>
      </c>
      <c r="W4" s="10" t="s">
        <v>43</v>
      </c>
      <c r="X4" s="10" t="s">
        <v>43</v>
      </c>
      <c r="Y4" s="10">
        <v>1</v>
      </c>
      <c r="Z4" s="10" t="s">
        <v>171</v>
      </c>
      <c r="AA4" s="10" t="s">
        <v>43</v>
      </c>
      <c r="AB4" s="10">
        <v>9.15</v>
      </c>
      <c r="AC4" s="10" t="s">
        <v>40</v>
      </c>
      <c r="AD4" s="10" t="s">
        <v>32</v>
      </c>
      <c r="AE4" s="10">
        <v>0.19400000000000001</v>
      </c>
      <c r="AF4" s="10" t="s">
        <v>172</v>
      </c>
      <c r="AG4" s="10">
        <v>2012</v>
      </c>
      <c r="AH4" s="10" t="s">
        <v>173</v>
      </c>
      <c r="AI4" s="10">
        <v>50</v>
      </c>
      <c r="AJ4" s="10">
        <v>2</v>
      </c>
      <c r="AK4" s="10" t="s">
        <v>34</v>
      </c>
      <c r="AL4" t="str">
        <f t="shared" si="0"/>
        <v>Yasuhara (2012) -Pure</v>
      </c>
    </row>
    <row r="5" spans="1:38" ht="15.6" x14ac:dyDescent="0.3">
      <c r="A5" s="11">
        <v>7.7080411407199332</v>
      </c>
      <c r="B5" s="11">
        <v>435.37414965986301</v>
      </c>
      <c r="C5" s="10" t="s">
        <v>33</v>
      </c>
      <c r="D5" s="10" t="s">
        <v>169</v>
      </c>
      <c r="E5" s="10" t="s">
        <v>170</v>
      </c>
      <c r="F5" s="10" t="s">
        <v>34</v>
      </c>
      <c r="G5" s="10">
        <v>0.21</v>
      </c>
      <c r="H5" s="10" t="s">
        <v>34</v>
      </c>
      <c r="I5" s="10" t="s">
        <v>34</v>
      </c>
      <c r="J5" s="10" t="s">
        <v>34</v>
      </c>
      <c r="K5" s="10" t="s">
        <v>34</v>
      </c>
      <c r="L5" s="10">
        <v>0</v>
      </c>
      <c r="M5" s="10">
        <v>50</v>
      </c>
      <c r="N5" s="11">
        <v>1476.9578718927885</v>
      </c>
      <c r="O5" s="10" t="s">
        <v>34</v>
      </c>
      <c r="P5" s="10" t="s">
        <v>34</v>
      </c>
      <c r="Q5" s="10">
        <v>0</v>
      </c>
      <c r="R5" s="10">
        <v>2.64</v>
      </c>
      <c r="S5" s="10">
        <v>4.4000000000000007E-4</v>
      </c>
      <c r="T5" s="26" t="s">
        <v>49</v>
      </c>
      <c r="U5" s="10" t="s">
        <v>50</v>
      </c>
      <c r="V5" s="10" t="s">
        <v>38</v>
      </c>
      <c r="W5" s="10" t="s">
        <v>43</v>
      </c>
      <c r="X5" s="10" t="s">
        <v>43</v>
      </c>
      <c r="Y5" s="10">
        <v>1</v>
      </c>
      <c r="Z5" s="10" t="s">
        <v>171</v>
      </c>
      <c r="AA5" s="10" t="s">
        <v>43</v>
      </c>
      <c r="AB5" s="10">
        <v>9.15</v>
      </c>
      <c r="AC5" s="10" t="s">
        <v>40</v>
      </c>
      <c r="AD5" s="10" t="s">
        <v>32</v>
      </c>
      <c r="AE5" s="10">
        <v>0.19400000000000001</v>
      </c>
      <c r="AF5" s="10" t="s">
        <v>172</v>
      </c>
      <c r="AG5" s="10">
        <v>2012</v>
      </c>
      <c r="AH5" s="10" t="s">
        <v>173</v>
      </c>
      <c r="AI5" s="10">
        <v>50</v>
      </c>
      <c r="AJ5" s="10">
        <v>2</v>
      </c>
      <c r="AK5" s="10" t="s">
        <v>34</v>
      </c>
      <c r="AL5" t="str">
        <f t="shared" si="0"/>
        <v>Yasuhara (2012) -Pure</v>
      </c>
    </row>
    <row r="6" spans="1:38" ht="15.6" x14ac:dyDescent="0.3">
      <c r="A6" s="11">
        <v>6.5918653576437336</v>
      </c>
      <c r="B6" s="11">
        <v>888.888888888888</v>
      </c>
      <c r="C6" s="10" t="s">
        <v>33</v>
      </c>
      <c r="D6" s="10" t="s">
        <v>169</v>
      </c>
      <c r="E6" s="10" t="s">
        <v>170</v>
      </c>
      <c r="F6" s="10" t="s">
        <v>34</v>
      </c>
      <c r="G6" s="10">
        <v>0.21</v>
      </c>
      <c r="H6" s="10" t="s">
        <v>34</v>
      </c>
      <c r="I6" s="10" t="s">
        <v>34</v>
      </c>
      <c r="J6" s="10" t="s">
        <v>34</v>
      </c>
      <c r="K6" s="10" t="s">
        <v>34</v>
      </c>
      <c r="L6" s="10">
        <v>0</v>
      </c>
      <c r="M6" s="10">
        <v>50</v>
      </c>
      <c r="N6" s="11">
        <v>1476.9578718927885</v>
      </c>
      <c r="O6" s="10" t="s">
        <v>34</v>
      </c>
      <c r="P6" s="10" t="s">
        <v>34</v>
      </c>
      <c r="Q6" s="10">
        <v>0</v>
      </c>
      <c r="R6" s="10">
        <v>2.64</v>
      </c>
      <c r="S6" s="10">
        <v>4.4000000000000007E-4</v>
      </c>
      <c r="T6" s="26" t="s">
        <v>49</v>
      </c>
      <c r="U6" s="10" t="s">
        <v>50</v>
      </c>
      <c r="V6" s="10" t="s">
        <v>38</v>
      </c>
      <c r="W6" s="10" t="s">
        <v>43</v>
      </c>
      <c r="X6" s="10" t="s">
        <v>43</v>
      </c>
      <c r="Y6" s="10">
        <v>1</v>
      </c>
      <c r="Z6" s="10" t="s">
        <v>171</v>
      </c>
      <c r="AA6" s="10" t="s">
        <v>43</v>
      </c>
      <c r="AB6" s="10">
        <v>9.15</v>
      </c>
      <c r="AC6" s="10" t="s">
        <v>40</v>
      </c>
      <c r="AD6" s="10" t="s">
        <v>32</v>
      </c>
      <c r="AE6" s="10">
        <v>0.19400000000000001</v>
      </c>
      <c r="AF6" s="10" t="s">
        <v>172</v>
      </c>
      <c r="AG6" s="10">
        <v>2012</v>
      </c>
      <c r="AH6" s="10" t="s">
        <v>173</v>
      </c>
      <c r="AI6" s="10">
        <v>50</v>
      </c>
      <c r="AJ6" s="10">
        <v>2</v>
      </c>
      <c r="AK6" s="10" t="s">
        <v>34</v>
      </c>
      <c r="AL6" t="str">
        <f t="shared" si="0"/>
        <v>Yasuhara (2012) -Pure</v>
      </c>
    </row>
    <row r="7" spans="1:38" s="117" customFormat="1" ht="16.2" thickBot="1" x14ac:dyDescent="0.35">
      <c r="A7" s="17">
        <v>5.0374006545114334</v>
      </c>
      <c r="B7" s="17">
        <v>1623.5827664399001</v>
      </c>
      <c r="C7" s="14" t="s">
        <v>33</v>
      </c>
      <c r="D7" s="14" t="s">
        <v>169</v>
      </c>
      <c r="E7" s="14" t="s">
        <v>170</v>
      </c>
      <c r="F7" s="14" t="s">
        <v>34</v>
      </c>
      <c r="G7" s="14">
        <v>0.21</v>
      </c>
      <c r="H7" s="14" t="s">
        <v>34</v>
      </c>
      <c r="I7" s="14" t="s">
        <v>34</v>
      </c>
      <c r="J7" s="14" t="s">
        <v>34</v>
      </c>
      <c r="K7" s="14" t="s">
        <v>34</v>
      </c>
      <c r="L7" s="14">
        <v>0</v>
      </c>
      <c r="M7" s="14">
        <v>50</v>
      </c>
      <c r="N7" s="17">
        <v>1476.9578718927885</v>
      </c>
      <c r="O7" s="14" t="s">
        <v>34</v>
      </c>
      <c r="P7" s="14" t="s">
        <v>34</v>
      </c>
      <c r="Q7" s="14">
        <v>0</v>
      </c>
      <c r="R7" s="14">
        <v>2.64</v>
      </c>
      <c r="S7" s="14">
        <v>4.4000000000000007E-4</v>
      </c>
      <c r="T7" s="27" t="s">
        <v>49</v>
      </c>
      <c r="U7" s="14" t="s">
        <v>50</v>
      </c>
      <c r="V7" s="14" t="s">
        <v>38</v>
      </c>
      <c r="W7" s="14" t="s">
        <v>43</v>
      </c>
      <c r="X7" s="14" t="s">
        <v>43</v>
      </c>
      <c r="Y7" s="14">
        <v>1</v>
      </c>
      <c r="Z7" s="14" t="s">
        <v>171</v>
      </c>
      <c r="AA7" s="14" t="s">
        <v>43</v>
      </c>
      <c r="AB7" s="14">
        <v>9.15</v>
      </c>
      <c r="AC7" s="14" t="s">
        <v>40</v>
      </c>
      <c r="AD7" s="14" t="s">
        <v>32</v>
      </c>
      <c r="AE7" s="14">
        <v>0.19400000000000001</v>
      </c>
      <c r="AF7" s="14" t="s">
        <v>172</v>
      </c>
      <c r="AG7" s="14">
        <v>2012</v>
      </c>
      <c r="AH7" s="14" t="s">
        <v>173</v>
      </c>
      <c r="AI7" s="14">
        <v>50</v>
      </c>
      <c r="AJ7" s="14">
        <v>2</v>
      </c>
      <c r="AK7" s="14" t="s">
        <v>34</v>
      </c>
      <c r="AL7" t="str">
        <f t="shared" si="0"/>
        <v>Yasuhara (2012) -Pure</v>
      </c>
    </row>
    <row r="8" spans="1:38" ht="15.6" x14ac:dyDescent="0.3">
      <c r="A8" s="12">
        <v>7.8082191780821901</v>
      </c>
      <c r="B8" s="12">
        <v>10545.4545454545</v>
      </c>
      <c r="C8" s="13" t="s">
        <v>34</v>
      </c>
      <c r="D8" s="13" t="s">
        <v>174</v>
      </c>
      <c r="E8" s="13" t="s">
        <v>170</v>
      </c>
      <c r="F8" s="13">
        <v>1</v>
      </c>
      <c r="G8" s="13" t="s">
        <v>34</v>
      </c>
      <c r="H8" s="13" t="s">
        <v>34</v>
      </c>
      <c r="I8" s="13" t="s">
        <v>34</v>
      </c>
      <c r="J8" s="13" t="s">
        <v>34</v>
      </c>
      <c r="K8" s="13" t="s">
        <v>34</v>
      </c>
      <c r="L8" s="13" t="s">
        <v>34</v>
      </c>
      <c r="M8" s="13" t="s">
        <v>34</v>
      </c>
      <c r="N8" s="13" t="s">
        <v>34</v>
      </c>
      <c r="O8" s="13" t="s">
        <v>34</v>
      </c>
      <c r="P8" s="13" t="s">
        <v>34</v>
      </c>
      <c r="Q8" s="13">
        <v>0</v>
      </c>
      <c r="R8" s="13" t="s">
        <v>34</v>
      </c>
      <c r="S8" s="13" t="s">
        <v>34</v>
      </c>
      <c r="T8" s="13" t="s">
        <v>49</v>
      </c>
      <c r="U8" s="13" t="s">
        <v>50</v>
      </c>
      <c r="V8" s="13" t="s">
        <v>38</v>
      </c>
      <c r="W8" s="13" t="s">
        <v>34</v>
      </c>
      <c r="X8" s="13">
        <v>0.33</v>
      </c>
      <c r="Y8" s="13">
        <v>1</v>
      </c>
      <c r="Z8" s="13" t="s">
        <v>177</v>
      </c>
      <c r="AA8" s="13" t="s">
        <v>34</v>
      </c>
      <c r="AB8" s="13" t="s">
        <v>34</v>
      </c>
      <c r="AC8" s="13" t="s">
        <v>40</v>
      </c>
      <c r="AD8" s="13" t="s">
        <v>32</v>
      </c>
      <c r="AE8" s="13">
        <v>6.9900000000000004E-2</v>
      </c>
      <c r="AF8" s="13" t="s">
        <v>178</v>
      </c>
      <c r="AG8" s="13">
        <v>2018</v>
      </c>
      <c r="AH8" s="13" t="s">
        <v>179</v>
      </c>
      <c r="AI8" s="13">
        <v>25</v>
      </c>
      <c r="AJ8" s="13">
        <v>2</v>
      </c>
      <c r="AK8" s="13" t="s">
        <v>34</v>
      </c>
      <c r="AL8" t="str">
        <f t="shared" si="0"/>
        <v>Beser (2018) -Pure</v>
      </c>
    </row>
    <row r="9" spans="1:38" ht="15.6" x14ac:dyDescent="0.3">
      <c r="A9" s="11">
        <v>11.0326659641728</v>
      </c>
      <c r="B9" s="11">
        <v>10969.696969696899</v>
      </c>
      <c r="C9" s="10" t="s">
        <v>34</v>
      </c>
      <c r="D9" s="10" t="s">
        <v>174</v>
      </c>
      <c r="E9" s="10" t="s">
        <v>170</v>
      </c>
      <c r="F9" s="10">
        <v>1</v>
      </c>
      <c r="G9" s="10" t="s">
        <v>34</v>
      </c>
      <c r="H9" s="10" t="s">
        <v>34</v>
      </c>
      <c r="I9" s="10" t="s">
        <v>34</v>
      </c>
      <c r="J9" s="10" t="s">
        <v>34</v>
      </c>
      <c r="K9" s="10" t="s">
        <v>34</v>
      </c>
      <c r="L9" s="10" t="s">
        <v>34</v>
      </c>
      <c r="M9" s="10" t="s">
        <v>34</v>
      </c>
      <c r="N9" s="10" t="s">
        <v>34</v>
      </c>
      <c r="O9" s="10" t="s">
        <v>34</v>
      </c>
      <c r="P9" s="10" t="s">
        <v>34</v>
      </c>
      <c r="Q9" s="10">
        <v>0</v>
      </c>
      <c r="R9" s="10" t="s">
        <v>34</v>
      </c>
      <c r="S9" s="10" t="s">
        <v>34</v>
      </c>
      <c r="T9" s="10" t="s">
        <v>49</v>
      </c>
      <c r="U9" s="10" t="s">
        <v>50</v>
      </c>
      <c r="V9" s="10" t="s">
        <v>38</v>
      </c>
      <c r="W9" s="10" t="s">
        <v>34</v>
      </c>
      <c r="X9" s="10">
        <v>0.33</v>
      </c>
      <c r="Y9" s="10">
        <v>1</v>
      </c>
      <c r="Z9" s="10" t="s">
        <v>177</v>
      </c>
      <c r="AA9" s="10" t="s">
        <v>34</v>
      </c>
      <c r="AB9" s="10" t="s">
        <v>34</v>
      </c>
      <c r="AC9" s="10" t="s">
        <v>40</v>
      </c>
      <c r="AD9" s="10" t="s">
        <v>32</v>
      </c>
      <c r="AE9" s="10">
        <v>6.9900000000000004E-2</v>
      </c>
      <c r="AF9" s="10" t="s">
        <v>178</v>
      </c>
      <c r="AG9" s="10">
        <v>2018</v>
      </c>
      <c r="AH9" s="10" t="s">
        <v>179</v>
      </c>
      <c r="AI9" s="10">
        <v>25</v>
      </c>
      <c r="AJ9" s="10">
        <v>2</v>
      </c>
      <c r="AK9" s="10" t="s">
        <v>34</v>
      </c>
      <c r="AL9" t="str">
        <f t="shared" si="0"/>
        <v>Beser (2018) -Pure</v>
      </c>
    </row>
    <row r="10" spans="1:38" ht="15.6" x14ac:dyDescent="0.3">
      <c r="A10" s="11">
        <v>13.6880927291886</v>
      </c>
      <c r="B10" s="11">
        <v>10545.4545454545</v>
      </c>
      <c r="C10" s="10" t="s">
        <v>34</v>
      </c>
      <c r="D10" s="10" t="s">
        <v>174</v>
      </c>
      <c r="E10" s="10" t="s">
        <v>170</v>
      </c>
      <c r="F10" s="10">
        <v>1</v>
      </c>
      <c r="G10" s="10" t="s">
        <v>34</v>
      </c>
      <c r="H10" s="10" t="s">
        <v>34</v>
      </c>
      <c r="I10" s="10" t="s">
        <v>34</v>
      </c>
      <c r="J10" s="10" t="s">
        <v>34</v>
      </c>
      <c r="K10" s="10" t="s">
        <v>34</v>
      </c>
      <c r="L10" s="10" t="s">
        <v>34</v>
      </c>
      <c r="M10" s="10" t="s">
        <v>34</v>
      </c>
      <c r="N10" s="10" t="s">
        <v>34</v>
      </c>
      <c r="O10" s="10" t="s">
        <v>34</v>
      </c>
      <c r="P10" s="10" t="s">
        <v>34</v>
      </c>
      <c r="Q10" s="10">
        <v>0</v>
      </c>
      <c r="R10" s="10" t="s">
        <v>34</v>
      </c>
      <c r="S10" s="10" t="s">
        <v>34</v>
      </c>
      <c r="T10" s="10" t="s">
        <v>49</v>
      </c>
      <c r="U10" s="10" t="s">
        <v>50</v>
      </c>
      <c r="V10" s="10" t="s">
        <v>38</v>
      </c>
      <c r="W10" s="10" t="s">
        <v>34</v>
      </c>
      <c r="X10" s="10">
        <v>0.33</v>
      </c>
      <c r="Y10" s="10">
        <v>1</v>
      </c>
      <c r="Z10" s="10" t="s">
        <v>177</v>
      </c>
      <c r="AA10" s="10" t="s">
        <v>34</v>
      </c>
      <c r="AB10" s="10" t="s">
        <v>34</v>
      </c>
      <c r="AC10" s="10" t="s">
        <v>40</v>
      </c>
      <c r="AD10" s="10" t="s">
        <v>32</v>
      </c>
      <c r="AE10" s="10">
        <v>6.9900000000000004E-2</v>
      </c>
      <c r="AF10" s="10" t="s">
        <v>178</v>
      </c>
      <c r="AG10" s="10">
        <v>2018</v>
      </c>
      <c r="AH10" s="10" t="s">
        <v>179</v>
      </c>
      <c r="AI10" s="10">
        <v>25</v>
      </c>
      <c r="AJ10" s="10">
        <v>2</v>
      </c>
      <c r="AK10" s="10" t="s">
        <v>34</v>
      </c>
      <c r="AL10" t="str">
        <f t="shared" si="0"/>
        <v>Beser (2018) -Pure</v>
      </c>
    </row>
    <row r="11" spans="1:38" ht="15.6" x14ac:dyDescent="0.3">
      <c r="A11" s="11">
        <v>10.686373467916299</v>
      </c>
      <c r="B11" s="11">
        <v>8392.2822053603504</v>
      </c>
      <c r="C11" s="10" t="s">
        <v>34</v>
      </c>
      <c r="D11" s="10" t="s">
        <v>174</v>
      </c>
      <c r="E11" s="10" t="s">
        <v>170</v>
      </c>
      <c r="F11" s="10">
        <v>1</v>
      </c>
      <c r="G11" s="10" t="s">
        <v>34</v>
      </c>
      <c r="H11" s="10" t="s">
        <v>34</v>
      </c>
      <c r="I11" s="10" t="s">
        <v>34</v>
      </c>
      <c r="J11" s="10" t="s">
        <v>34</v>
      </c>
      <c r="K11" s="10" t="s">
        <v>34</v>
      </c>
      <c r="L11" s="10" t="s">
        <v>34</v>
      </c>
      <c r="M11" s="10" t="s">
        <v>34</v>
      </c>
      <c r="N11" s="10" t="s">
        <v>34</v>
      </c>
      <c r="O11" s="10" t="s">
        <v>34</v>
      </c>
      <c r="P11" s="10" t="s">
        <v>34</v>
      </c>
      <c r="Q11" s="10">
        <v>0</v>
      </c>
      <c r="R11" s="10" t="s">
        <v>34</v>
      </c>
      <c r="S11" s="10" t="s">
        <v>34</v>
      </c>
      <c r="T11" s="10" t="s">
        <v>49</v>
      </c>
      <c r="U11" s="10" t="s">
        <v>50</v>
      </c>
      <c r="V11" s="10" t="s">
        <v>38</v>
      </c>
      <c r="W11" s="10" t="s">
        <v>34</v>
      </c>
      <c r="X11" s="10">
        <v>0.33</v>
      </c>
      <c r="Y11" s="10">
        <v>1</v>
      </c>
      <c r="Z11" s="10" t="s">
        <v>177</v>
      </c>
      <c r="AA11" s="10" t="s">
        <v>34</v>
      </c>
      <c r="AB11" s="10" t="s">
        <v>34</v>
      </c>
      <c r="AC11" s="10" t="s">
        <v>40</v>
      </c>
      <c r="AD11" s="10" t="s">
        <v>32</v>
      </c>
      <c r="AE11" s="10">
        <v>6.9900000000000004E-2</v>
      </c>
      <c r="AF11" s="10" t="s">
        <v>178</v>
      </c>
      <c r="AG11" s="10">
        <v>2018</v>
      </c>
      <c r="AH11" s="10" t="s">
        <v>179</v>
      </c>
      <c r="AI11" s="10">
        <v>50</v>
      </c>
      <c r="AJ11" s="10">
        <v>2</v>
      </c>
      <c r="AK11" s="10" t="s">
        <v>34</v>
      </c>
      <c r="AL11" t="str">
        <f t="shared" si="0"/>
        <v>Beser (2018) -Pure</v>
      </c>
    </row>
    <row r="12" spans="1:38" s="108" customFormat="1" ht="16.2" thickBot="1" x14ac:dyDescent="0.35">
      <c r="A12" s="17">
        <v>11.370232747305501</v>
      </c>
      <c r="B12" s="17">
        <v>7798.8218173226096</v>
      </c>
      <c r="C12" s="14" t="s">
        <v>34</v>
      </c>
      <c r="D12" s="14" t="s">
        <v>174</v>
      </c>
      <c r="E12" s="14" t="s">
        <v>170</v>
      </c>
      <c r="F12" s="14">
        <v>1</v>
      </c>
      <c r="G12" s="14" t="s">
        <v>34</v>
      </c>
      <c r="H12" s="14" t="s">
        <v>34</v>
      </c>
      <c r="I12" s="14" t="s">
        <v>34</v>
      </c>
      <c r="J12" s="14" t="s">
        <v>34</v>
      </c>
      <c r="K12" s="14" t="s">
        <v>34</v>
      </c>
      <c r="L12" s="14" t="s">
        <v>34</v>
      </c>
      <c r="M12" s="14" t="s">
        <v>34</v>
      </c>
      <c r="N12" s="14" t="s">
        <v>34</v>
      </c>
      <c r="O12" s="14" t="s">
        <v>34</v>
      </c>
      <c r="P12" s="14" t="s">
        <v>34</v>
      </c>
      <c r="Q12" s="14">
        <v>0</v>
      </c>
      <c r="R12" s="14" t="s">
        <v>34</v>
      </c>
      <c r="S12" s="14" t="s">
        <v>34</v>
      </c>
      <c r="T12" s="14" t="s">
        <v>49</v>
      </c>
      <c r="U12" s="14" t="s">
        <v>50</v>
      </c>
      <c r="V12" s="14" t="s">
        <v>38</v>
      </c>
      <c r="W12" s="14" t="s">
        <v>34</v>
      </c>
      <c r="X12" s="14">
        <v>0.33</v>
      </c>
      <c r="Y12" s="14">
        <v>1</v>
      </c>
      <c r="Z12" s="14" t="s">
        <v>177</v>
      </c>
      <c r="AA12" s="14" t="s">
        <v>34</v>
      </c>
      <c r="AB12" s="14" t="s">
        <v>34</v>
      </c>
      <c r="AC12" s="14" t="s">
        <v>40</v>
      </c>
      <c r="AD12" s="14" t="s">
        <v>32</v>
      </c>
      <c r="AE12" s="14">
        <v>6.9900000000000004E-2</v>
      </c>
      <c r="AF12" s="14" t="s">
        <v>178</v>
      </c>
      <c r="AG12" s="14">
        <v>2018</v>
      </c>
      <c r="AH12" s="14" t="s">
        <v>179</v>
      </c>
      <c r="AI12" s="14">
        <v>50</v>
      </c>
      <c r="AJ12" s="14">
        <v>2</v>
      </c>
      <c r="AK12" s="14" t="s">
        <v>34</v>
      </c>
      <c r="AL12" t="str">
        <f t="shared" si="0"/>
        <v>Beser (2018) -Pure</v>
      </c>
    </row>
    <row r="13" spans="1:38" ht="15.6" x14ac:dyDescent="0.3">
      <c r="A13" s="12">
        <v>1.5336084905660301</v>
      </c>
      <c r="B13" s="12">
        <v>417.53653444676399</v>
      </c>
      <c r="C13" s="13" t="s">
        <v>33</v>
      </c>
      <c r="D13" s="13" t="s">
        <v>35</v>
      </c>
      <c r="E13" s="13" t="s">
        <v>170</v>
      </c>
      <c r="F13" s="13">
        <v>0.61</v>
      </c>
      <c r="G13" s="13">
        <v>0.72</v>
      </c>
      <c r="H13" s="13">
        <v>0.67</v>
      </c>
      <c r="I13" s="13">
        <v>0.73</v>
      </c>
      <c r="J13" s="13">
        <v>1.21</v>
      </c>
      <c r="K13" s="13">
        <v>1.02</v>
      </c>
      <c r="L13" s="13">
        <v>0</v>
      </c>
      <c r="M13" s="13">
        <v>64.599999999999994</v>
      </c>
      <c r="N13" s="13" t="s">
        <v>34</v>
      </c>
      <c r="O13" s="13">
        <v>0.74</v>
      </c>
      <c r="P13" s="13">
        <v>0.51</v>
      </c>
      <c r="Q13" s="13" t="s">
        <v>34</v>
      </c>
      <c r="R13" s="13">
        <v>2.65</v>
      </c>
      <c r="S13" s="13">
        <f t="shared" ref="S13:S24" si="1">1.01*10^-3</f>
        <v>1.01E-3</v>
      </c>
      <c r="T13" s="13" t="s">
        <v>49</v>
      </c>
      <c r="U13" s="13" t="s">
        <v>199</v>
      </c>
      <c r="V13" s="13" t="s">
        <v>162</v>
      </c>
      <c r="W13" s="13">
        <v>4</v>
      </c>
      <c r="X13" s="13">
        <v>0.3</v>
      </c>
      <c r="Y13" s="13">
        <v>1</v>
      </c>
      <c r="Z13" s="13" t="s">
        <v>200</v>
      </c>
      <c r="AA13" s="13">
        <v>0.3</v>
      </c>
      <c r="AB13" s="13" t="s">
        <v>34</v>
      </c>
      <c r="AC13" s="13" t="s">
        <v>40</v>
      </c>
      <c r="AD13" s="13" t="s">
        <v>32</v>
      </c>
      <c r="AE13" s="13">
        <v>0.76649999999999996</v>
      </c>
      <c r="AF13" s="13" t="s">
        <v>201</v>
      </c>
      <c r="AG13" s="13">
        <v>2020</v>
      </c>
      <c r="AH13" s="13" t="s">
        <v>202</v>
      </c>
      <c r="AI13" s="13">
        <v>50</v>
      </c>
      <c r="AJ13" s="13">
        <v>2</v>
      </c>
      <c r="AK13" s="13" t="s">
        <v>34</v>
      </c>
      <c r="AL13" t="str">
        <f t="shared" si="0"/>
        <v>Hoang (2020) -Pure</v>
      </c>
    </row>
    <row r="14" spans="1:38" ht="15.6" x14ac:dyDescent="0.3">
      <c r="A14" s="11">
        <v>1.68396226415094</v>
      </c>
      <c r="B14" s="11">
        <v>396.659707724425</v>
      </c>
      <c r="C14" s="10" t="s">
        <v>33</v>
      </c>
      <c r="D14" s="10" t="s">
        <v>35</v>
      </c>
      <c r="E14" s="10" t="s">
        <v>170</v>
      </c>
      <c r="F14" s="10">
        <v>0.61</v>
      </c>
      <c r="G14" s="10">
        <v>0.72</v>
      </c>
      <c r="H14" s="10">
        <v>0.67</v>
      </c>
      <c r="I14" s="10">
        <v>0.73</v>
      </c>
      <c r="J14" s="10">
        <v>1.21</v>
      </c>
      <c r="K14" s="10">
        <v>1.02</v>
      </c>
      <c r="L14" s="10">
        <v>0</v>
      </c>
      <c r="M14" s="10">
        <v>64.599999999999994</v>
      </c>
      <c r="N14" s="10" t="s">
        <v>34</v>
      </c>
      <c r="O14" s="10">
        <v>0.74</v>
      </c>
      <c r="P14" s="10">
        <v>0.51</v>
      </c>
      <c r="Q14" s="10" t="s">
        <v>34</v>
      </c>
      <c r="R14" s="10">
        <v>2.65</v>
      </c>
      <c r="S14" s="10">
        <f t="shared" si="1"/>
        <v>1.01E-3</v>
      </c>
      <c r="T14" s="10" t="s">
        <v>49</v>
      </c>
      <c r="U14" s="10" t="s">
        <v>199</v>
      </c>
      <c r="V14" s="10" t="s">
        <v>162</v>
      </c>
      <c r="W14" s="10">
        <v>4</v>
      </c>
      <c r="X14" s="10">
        <v>0.3</v>
      </c>
      <c r="Y14" s="10">
        <v>1</v>
      </c>
      <c r="Z14" s="10" t="s">
        <v>200</v>
      </c>
      <c r="AA14" s="10">
        <v>0.3</v>
      </c>
      <c r="AB14" s="10" t="s">
        <v>34</v>
      </c>
      <c r="AC14" s="10" t="s">
        <v>40</v>
      </c>
      <c r="AD14" s="10" t="s">
        <v>32</v>
      </c>
      <c r="AE14" s="10">
        <v>0.76649999999999996</v>
      </c>
      <c r="AF14" s="10" t="s">
        <v>201</v>
      </c>
      <c r="AG14" s="10">
        <v>2020</v>
      </c>
      <c r="AH14" s="10" t="s">
        <v>202</v>
      </c>
      <c r="AI14" s="10">
        <v>50</v>
      </c>
      <c r="AJ14" s="10">
        <v>2</v>
      </c>
      <c r="AK14" s="10" t="s">
        <v>34</v>
      </c>
      <c r="AL14" t="str">
        <f t="shared" si="0"/>
        <v>Hoang (2020) -Pure</v>
      </c>
    </row>
    <row r="15" spans="1:38" ht="15.6" x14ac:dyDescent="0.3">
      <c r="A15" s="11">
        <v>2.5860849056603699</v>
      </c>
      <c r="B15" s="11">
        <v>493.21503131524003</v>
      </c>
      <c r="C15" s="10" t="s">
        <v>33</v>
      </c>
      <c r="D15" s="10" t="s">
        <v>35</v>
      </c>
      <c r="E15" s="10" t="s">
        <v>170</v>
      </c>
      <c r="F15" s="10">
        <v>0.61</v>
      </c>
      <c r="G15" s="10">
        <v>0.72</v>
      </c>
      <c r="H15" s="10">
        <v>0.67</v>
      </c>
      <c r="I15" s="10">
        <v>0.73</v>
      </c>
      <c r="J15" s="10">
        <v>1.21</v>
      </c>
      <c r="K15" s="10">
        <v>1.02</v>
      </c>
      <c r="L15" s="10">
        <v>0</v>
      </c>
      <c r="M15" s="10">
        <v>64.599999999999994</v>
      </c>
      <c r="N15" s="10" t="s">
        <v>34</v>
      </c>
      <c r="O15" s="10">
        <v>0.74</v>
      </c>
      <c r="P15" s="10">
        <v>0.51</v>
      </c>
      <c r="Q15" s="10" t="s">
        <v>34</v>
      </c>
      <c r="R15" s="10">
        <v>2.65</v>
      </c>
      <c r="S15" s="10">
        <f t="shared" si="1"/>
        <v>1.01E-3</v>
      </c>
      <c r="T15" s="10" t="s">
        <v>49</v>
      </c>
      <c r="U15" s="10" t="s">
        <v>199</v>
      </c>
      <c r="V15" s="10" t="s">
        <v>162</v>
      </c>
      <c r="W15" s="10">
        <v>4</v>
      </c>
      <c r="X15" s="10">
        <v>0.3</v>
      </c>
      <c r="Y15" s="10">
        <v>1</v>
      </c>
      <c r="Z15" s="10" t="s">
        <v>200</v>
      </c>
      <c r="AA15" s="10">
        <v>0.3</v>
      </c>
      <c r="AB15" s="10" t="s">
        <v>34</v>
      </c>
      <c r="AC15" s="10" t="s">
        <v>40</v>
      </c>
      <c r="AD15" s="10" t="s">
        <v>32</v>
      </c>
      <c r="AE15" s="10">
        <v>0.76649999999999996</v>
      </c>
      <c r="AF15" s="10" t="s">
        <v>201</v>
      </c>
      <c r="AG15" s="10">
        <v>2020</v>
      </c>
      <c r="AH15" s="10" t="s">
        <v>202</v>
      </c>
      <c r="AI15" s="10">
        <v>50</v>
      </c>
      <c r="AJ15" s="10">
        <v>2</v>
      </c>
      <c r="AK15" s="10" t="s">
        <v>34</v>
      </c>
      <c r="AL15" t="str">
        <f t="shared" si="0"/>
        <v>Hoang (2020) -Pure</v>
      </c>
    </row>
    <row r="16" spans="1:38" ht="15.6" x14ac:dyDescent="0.3">
      <c r="A16" s="11">
        <v>1.9646226415094299</v>
      </c>
      <c r="B16" s="11">
        <v>631.52400835073001</v>
      </c>
      <c r="C16" s="10" t="s">
        <v>33</v>
      </c>
      <c r="D16" s="10" t="s">
        <v>35</v>
      </c>
      <c r="E16" s="10" t="s">
        <v>170</v>
      </c>
      <c r="F16" s="10">
        <v>0.61</v>
      </c>
      <c r="G16" s="10">
        <v>0.72</v>
      </c>
      <c r="H16" s="10">
        <v>0.67</v>
      </c>
      <c r="I16" s="10">
        <v>0.73</v>
      </c>
      <c r="J16" s="10">
        <v>1.21</v>
      </c>
      <c r="K16" s="10">
        <v>1.02</v>
      </c>
      <c r="L16" s="10">
        <v>0</v>
      </c>
      <c r="M16" s="10">
        <v>64.599999999999994</v>
      </c>
      <c r="N16" s="10" t="s">
        <v>34</v>
      </c>
      <c r="O16" s="10">
        <v>0.74</v>
      </c>
      <c r="P16" s="10">
        <v>0.51</v>
      </c>
      <c r="Q16" s="10" t="s">
        <v>34</v>
      </c>
      <c r="R16" s="10">
        <v>2.65</v>
      </c>
      <c r="S16" s="10">
        <f t="shared" si="1"/>
        <v>1.01E-3</v>
      </c>
      <c r="T16" s="10" t="s">
        <v>49</v>
      </c>
      <c r="U16" s="10" t="s">
        <v>199</v>
      </c>
      <c r="V16" s="10" t="s">
        <v>162</v>
      </c>
      <c r="W16" s="10">
        <v>8</v>
      </c>
      <c r="X16" s="10">
        <v>0.3</v>
      </c>
      <c r="Y16" s="10">
        <v>1</v>
      </c>
      <c r="Z16" s="10" t="s">
        <v>200</v>
      </c>
      <c r="AA16" s="10">
        <v>0.3</v>
      </c>
      <c r="AB16" s="10" t="s">
        <v>34</v>
      </c>
      <c r="AC16" s="10" t="s">
        <v>40</v>
      </c>
      <c r="AD16" s="10" t="s">
        <v>32</v>
      </c>
      <c r="AE16" s="10">
        <v>0.76649999999999996</v>
      </c>
      <c r="AF16" s="10" t="s">
        <v>201</v>
      </c>
      <c r="AG16" s="10">
        <v>2020</v>
      </c>
      <c r="AH16" s="10" t="s">
        <v>202</v>
      </c>
      <c r="AI16" s="10">
        <v>50</v>
      </c>
      <c r="AJ16" s="10">
        <v>2</v>
      </c>
      <c r="AK16" s="10" t="s">
        <v>34</v>
      </c>
      <c r="AL16" t="str">
        <f t="shared" si="0"/>
        <v>Hoang (2020) -Pure</v>
      </c>
    </row>
    <row r="17" spans="1:38" s="108" customFormat="1" ht="16.2" thickBot="1" x14ac:dyDescent="0.35">
      <c r="A17" s="11">
        <v>2.1350235849056598</v>
      </c>
      <c r="B17" s="11">
        <v>474.947807933192</v>
      </c>
      <c r="C17" s="10" t="s">
        <v>33</v>
      </c>
      <c r="D17" s="10" t="s">
        <v>35</v>
      </c>
      <c r="E17" s="10" t="s">
        <v>170</v>
      </c>
      <c r="F17" s="10">
        <v>0.61</v>
      </c>
      <c r="G17" s="10">
        <v>0.72</v>
      </c>
      <c r="H17" s="10">
        <v>0.67</v>
      </c>
      <c r="I17" s="10">
        <v>0.73</v>
      </c>
      <c r="J17" s="10">
        <v>1.21</v>
      </c>
      <c r="K17" s="10">
        <v>1.02</v>
      </c>
      <c r="L17" s="10">
        <v>0</v>
      </c>
      <c r="M17" s="10">
        <v>64.599999999999994</v>
      </c>
      <c r="N17" s="10" t="s">
        <v>34</v>
      </c>
      <c r="O17" s="10">
        <v>0.74</v>
      </c>
      <c r="P17" s="10">
        <v>0.51</v>
      </c>
      <c r="Q17" s="10" t="s">
        <v>34</v>
      </c>
      <c r="R17" s="10">
        <v>2.65</v>
      </c>
      <c r="S17" s="10">
        <f t="shared" si="1"/>
        <v>1.01E-3</v>
      </c>
      <c r="T17" s="10" t="s">
        <v>49</v>
      </c>
      <c r="U17" s="10" t="s">
        <v>199</v>
      </c>
      <c r="V17" s="10" t="s">
        <v>162</v>
      </c>
      <c r="W17" s="10">
        <v>8</v>
      </c>
      <c r="X17" s="10">
        <v>0.3</v>
      </c>
      <c r="Y17" s="10">
        <v>1</v>
      </c>
      <c r="Z17" s="10" t="s">
        <v>200</v>
      </c>
      <c r="AA17" s="10">
        <v>0.3</v>
      </c>
      <c r="AB17" s="10" t="s">
        <v>34</v>
      </c>
      <c r="AC17" s="10" t="s">
        <v>40</v>
      </c>
      <c r="AD17" s="10" t="s">
        <v>32</v>
      </c>
      <c r="AE17" s="10">
        <v>0.76649999999999996</v>
      </c>
      <c r="AF17" s="10" t="s">
        <v>201</v>
      </c>
      <c r="AG17" s="10">
        <v>2020</v>
      </c>
      <c r="AH17" s="10" t="s">
        <v>202</v>
      </c>
      <c r="AI17" s="10">
        <v>50</v>
      </c>
      <c r="AJ17" s="10">
        <v>2</v>
      </c>
      <c r="AK17" s="10" t="s">
        <v>34</v>
      </c>
      <c r="AL17" t="str">
        <f t="shared" si="0"/>
        <v>Hoang (2020) -Pure</v>
      </c>
    </row>
    <row r="18" spans="1:38" ht="15.6" x14ac:dyDescent="0.3">
      <c r="A18" s="11">
        <v>2.8266509433962201</v>
      </c>
      <c r="B18" s="11">
        <v>701.98329853862197</v>
      </c>
      <c r="C18" s="10" t="s">
        <v>33</v>
      </c>
      <c r="D18" s="10" t="s">
        <v>35</v>
      </c>
      <c r="E18" s="10" t="s">
        <v>170</v>
      </c>
      <c r="F18" s="10">
        <v>0.61</v>
      </c>
      <c r="G18" s="10">
        <v>0.72</v>
      </c>
      <c r="H18" s="10">
        <v>0.67</v>
      </c>
      <c r="I18" s="10">
        <v>0.73</v>
      </c>
      <c r="J18" s="10">
        <v>1.21</v>
      </c>
      <c r="K18" s="10">
        <v>1.02</v>
      </c>
      <c r="L18" s="10">
        <v>0</v>
      </c>
      <c r="M18" s="10">
        <v>64.599999999999994</v>
      </c>
      <c r="N18" s="10" t="s">
        <v>34</v>
      </c>
      <c r="O18" s="10">
        <v>0.74</v>
      </c>
      <c r="P18" s="10">
        <v>0.51</v>
      </c>
      <c r="Q18" s="10" t="s">
        <v>34</v>
      </c>
      <c r="R18" s="10">
        <v>2.65</v>
      </c>
      <c r="S18" s="10">
        <f t="shared" si="1"/>
        <v>1.01E-3</v>
      </c>
      <c r="T18" s="10" t="s">
        <v>49</v>
      </c>
      <c r="U18" s="10" t="s">
        <v>199</v>
      </c>
      <c r="V18" s="10" t="s">
        <v>162</v>
      </c>
      <c r="W18" s="10">
        <v>8</v>
      </c>
      <c r="X18" s="10">
        <v>0.3</v>
      </c>
      <c r="Y18" s="10">
        <v>1</v>
      </c>
      <c r="Z18" s="10" t="s">
        <v>200</v>
      </c>
      <c r="AA18" s="10">
        <v>0.3</v>
      </c>
      <c r="AB18" s="10" t="s">
        <v>34</v>
      </c>
      <c r="AC18" s="10" t="s">
        <v>40</v>
      </c>
      <c r="AD18" s="10" t="s">
        <v>32</v>
      </c>
      <c r="AE18" s="10">
        <v>0.76649999999999996</v>
      </c>
      <c r="AF18" s="10" t="s">
        <v>201</v>
      </c>
      <c r="AG18" s="10">
        <v>2020</v>
      </c>
      <c r="AH18" s="10" t="s">
        <v>202</v>
      </c>
      <c r="AI18" s="10">
        <v>50</v>
      </c>
      <c r="AJ18" s="10">
        <v>2</v>
      </c>
      <c r="AK18" s="10" t="s">
        <v>34</v>
      </c>
      <c r="AL18" t="str">
        <f t="shared" si="0"/>
        <v>Hoang (2020) -Pure</v>
      </c>
    </row>
    <row r="19" spans="1:38" ht="15.6" x14ac:dyDescent="0.3">
      <c r="A19" s="11">
        <v>4.1998820754716997</v>
      </c>
      <c r="B19" s="11">
        <v>1242.1711899791201</v>
      </c>
      <c r="C19" s="10" t="s">
        <v>33</v>
      </c>
      <c r="D19" s="10" t="s">
        <v>35</v>
      </c>
      <c r="E19" s="10" t="s">
        <v>170</v>
      </c>
      <c r="F19" s="10">
        <v>0.61</v>
      </c>
      <c r="G19" s="10">
        <v>0.72</v>
      </c>
      <c r="H19" s="10">
        <v>0.67</v>
      </c>
      <c r="I19" s="10">
        <v>0.73</v>
      </c>
      <c r="J19" s="10">
        <v>1.21</v>
      </c>
      <c r="K19" s="10">
        <v>1.02</v>
      </c>
      <c r="L19" s="10">
        <v>0</v>
      </c>
      <c r="M19" s="10">
        <v>64.599999999999994</v>
      </c>
      <c r="N19" s="10" t="s">
        <v>34</v>
      </c>
      <c r="O19" s="10">
        <v>0.74</v>
      </c>
      <c r="P19" s="10">
        <v>0.51</v>
      </c>
      <c r="Q19" s="10" t="s">
        <v>34</v>
      </c>
      <c r="R19" s="10">
        <v>2.65</v>
      </c>
      <c r="S19" s="10">
        <f t="shared" si="1"/>
        <v>1.01E-3</v>
      </c>
      <c r="T19" s="10" t="s">
        <v>49</v>
      </c>
      <c r="U19" s="10" t="s">
        <v>199</v>
      </c>
      <c r="V19" s="10" t="s">
        <v>162</v>
      </c>
      <c r="W19" s="10">
        <v>12</v>
      </c>
      <c r="X19" s="10">
        <v>0.3</v>
      </c>
      <c r="Y19" s="10">
        <v>1</v>
      </c>
      <c r="Z19" s="10" t="s">
        <v>200</v>
      </c>
      <c r="AA19" s="10">
        <v>0.3</v>
      </c>
      <c r="AB19" s="10" t="s">
        <v>34</v>
      </c>
      <c r="AC19" s="10" t="s">
        <v>40</v>
      </c>
      <c r="AD19" s="10" t="s">
        <v>32</v>
      </c>
      <c r="AE19" s="10">
        <v>0.76649999999999996</v>
      </c>
      <c r="AF19" s="10" t="s">
        <v>201</v>
      </c>
      <c r="AG19" s="10">
        <v>2020</v>
      </c>
      <c r="AH19" s="10" t="s">
        <v>202</v>
      </c>
      <c r="AI19" s="10">
        <v>50</v>
      </c>
      <c r="AJ19" s="10">
        <v>2</v>
      </c>
      <c r="AK19" s="10" t="s">
        <v>34</v>
      </c>
      <c r="AL19" t="str">
        <f t="shared" si="0"/>
        <v>Hoang (2020) -Pure</v>
      </c>
    </row>
    <row r="20" spans="1:38" ht="15.6" x14ac:dyDescent="0.3">
      <c r="A20" s="11">
        <v>5.5029481132075402</v>
      </c>
      <c r="B20" s="11">
        <v>1336.1169102296401</v>
      </c>
      <c r="C20" s="10" t="s">
        <v>33</v>
      </c>
      <c r="D20" s="10" t="s">
        <v>35</v>
      </c>
      <c r="E20" s="10" t="s">
        <v>170</v>
      </c>
      <c r="F20" s="10">
        <v>0.61</v>
      </c>
      <c r="G20" s="10">
        <v>0.72</v>
      </c>
      <c r="H20" s="10">
        <v>0.67</v>
      </c>
      <c r="I20" s="10">
        <v>0.73</v>
      </c>
      <c r="J20" s="10">
        <v>1.21</v>
      </c>
      <c r="K20" s="10">
        <v>1.02</v>
      </c>
      <c r="L20" s="10">
        <v>0</v>
      </c>
      <c r="M20" s="10">
        <v>64.599999999999994</v>
      </c>
      <c r="N20" s="10" t="s">
        <v>34</v>
      </c>
      <c r="O20" s="10">
        <v>0.74</v>
      </c>
      <c r="P20" s="10">
        <v>0.51</v>
      </c>
      <c r="Q20" s="10" t="s">
        <v>34</v>
      </c>
      <c r="R20" s="10">
        <v>2.65</v>
      </c>
      <c r="S20" s="10">
        <f t="shared" si="1"/>
        <v>1.01E-3</v>
      </c>
      <c r="T20" s="10" t="s">
        <v>49</v>
      </c>
      <c r="U20" s="10" t="s">
        <v>199</v>
      </c>
      <c r="V20" s="10" t="s">
        <v>162</v>
      </c>
      <c r="W20" s="10">
        <v>12</v>
      </c>
      <c r="X20" s="10">
        <v>0.3</v>
      </c>
      <c r="Y20" s="10">
        <v>1</v>
      </c>
      <c r="Z20" s="10" t="s">
        <v>200</v>
      </c>
      <c r="AA20" s="10">
        <v>0.3</v>
      </c>
      <c r="AB20" s="10" t="s">
        <v>34</v>
      </c>
      <c r="AC20" s="10" t="s">
        <v>40</v>
      </c>
      <c r="AD20" s="10" t="s">
        <v>32</v>
      </c>
      <c r="AE20" s="10">
        <v>0.76649999999999996</v>
      </c>
      <c r="AF20" s="10" t="s">
        <v>201</v>
      </c>
      <c r="AG20" s="10">
        <v>2020</v>
      </c>
      <c r="AH20" s="10" t="s">
        <v>202</v>
      </c>
      <c r="AI20" s="10">
        <v>50</v>
      </c>
      <c r="AJ20" s="10">
        <v>2</v>
      </c>
      <c r="AK20" s="10" t="s">
        <v>34</v>
      </c>
      <c r="AL20" t="str">
        <f t="shared" si="0"/>
        <v>Hoang (2020) -Pure</v>
      </c>
    </row>
    <row r="21" spans="1:38" ht="15.6" x14ac:dyDescent="0.3">
      <c r="A21" s="11">
        <v>5.95400943396226</v>
      </c>
      <c r="B21" s="11">
        <v>1456.15866388308</v>
      </c>
      <c r="C21" s="10" t="s">
        <v>33</v>
      </c>
      <c r="D21" s="10" t="s">
        <v>35</v>
      </c>
      <c r="E21" s="10" t="s">
        <v>170</v>
      </c>
      <c r="F21" s="10">
        <v>0.61</v>
      </c>
      <c r="G21" s="10">
        <v>0.72</v>
      </c>
      <c r="H21" s="10">
        <v>0.67</v>
      </c>
      <c r="I21" s="10">
        <v>0.73</v>
      </c>
      <c r="J21" s="10">
        <v>1.21</v>
      </c>
      <c r="K21" s="10">
        <v>1.02</v>
      </c>
      <c r="L21" s="10">
        <v>0</v>
      </c>
      <c r="M21" s="10">
        <v>64.599999999999994</v>
      </c>
      <c r="N21" s="10" t="s">
        <v>34</v>
      </c>
      <c r="O21" s="10">
        <v>0.74</v>
      </c>
      <c r="P21" s="10">
        <v>0.51</v>
      </c>
      <c r="Q21" s="10" t="s">
        <v>34</v>
      </c>
      <c r="R21" s="10">
        <v>2.65</v>
      </c>
      <c r="S21" s="10">
        <f t="shared" si="1"/>
        <v>1.01E-3</v>
      </c>
      <c r="T21" s="10" t="s">
        <v>49</v>
      </c>
      <c r="U21" s="10" t="s">
        <v>199</v>
      </c>
      <c r="V21" s="10" t="s">
        <v>162</v>
      </c>
      <c r="W21" s="10">
        <v>12</v>
      </c>
      <c r="X21" s="10">
        <v>0.3</v>
      </c>
      <c r="Y21" s="10">
        <v>1</v>
      </c>
      <c r="Z21" s="10" t="s">
        <v>200</v>
      </c>
      <c r="AA21" s="10">
        <v>0.3</v>
      </c>
      <c r="AB21" s="10" t="s">
        <v>34</v>
      </c>
      <c r="AC21" s="10" t="s">
        <v>40</v>
      </c>
      <c r="AD21" s="10" t="s">
        <v>32</v>
      </c>
      <c r="AE21" s="10">
        <v>0.76649999999999996</v>
      </c>
      <c r="AF21" s="10" t="s">
        <v>201</v>
      </c>
      <c r="AG21" s="10">
        <v>2020</v>
      </c>
      <c r="AH21" s="10" t="s">
        <v>202</v>
      </c>
      <c r="AI21" s="10">
        <v>50</v>
      </c>
      <c r="AJ21" s="10">
        <v>2</v>
      </c>
      <c r="AK21" s="10" t="s">
        <v>34</v>
      </c>
      <c r="AL21" t="str">
        <f t="shared" si="0"/>
        <v>Hoang (2020) -Pure</v>
      </c>
    </row>
    <row r="22" spans="1:38" ht="15.6" x14ac:dyDescent="0.3">
      <c r="A22" s="11">
        <v>5.3425707547169798</v>
      </c>
      <c r="B22" s="11">
        <v>1127.3486430062601</v>
      </c>
      <c r="C22" s="10" t="s">
        <v>33</v>
      </c>
      <c r="D22" s="10" t="s">
        <v>35</v>
      </c>
      <c r="E22" s="10" t="s">
        <v>170</v>
      </c>
      <c r="F22" s="10">
        <v>0.61</v>
      </c>
      <c r="G22" s="10">
        <v>0.72</v>
      </c>
      <c r="H22" s="10">
        <v>0.67</v>
      </c>
      <c r="I22" s="10">
        <v>0.73</v>
      </c>
      <c r="J22" s="10">
        <v>1.21</v>
      </c>
      <c r="K22" s="10">
        <v>1.02</v>
      </c>
      <c r="L22" s="10">
        <v>0</v>
      </c>
      <c r="M22" s="10">
        <v>64.599999999999994</v>
      </c>
      <c r="N22" s="10" t="s">
        <v>34</v>
      </c>
      <c r="O22" s="10">
        <v>0.74</v>
      </c>
      <c r="P22" s="10">
        <v>0.51</v>
      </c>
      <c r="Q22" s="10" t="s">
        <v>34</v>
      </c>
      <c r="R22" s="10">
        <v>2.65</v>
      </c>
      <c r="S22" s="10">
        <f t="shared" si="1"/>
        <v>1.01E-3</v>
      </c>
      <c r="T22" s="10" t="s">
        <v>49</v>
      </c>
      <c r="U22" s="10" t="s">
        <v>199</v>
      </c>
      <c r="V22" s="10" t="s">
        <v>162</v>
      </c>
      <c r="W22" s="10">
        <v>16</v>
      </c>
      <c r="X22" s="10">
        <v>0.3</v>
      </c>
      <c r="Y22" s="10">
        <v>1</v>
      </c>
      <c r="Z22" s="10" t="s">
        <v>200</v>
      </c>
      <c r="AA22" s="10">
        <v>0.3</v>
      </c>
      <c r="AB22" s="10" t="s">
        <v>34</v>
      </c>
      <c r="AC22" s="10" t="s">
        <v>40</v>
      </c>
      <c r="AD22" s="10" t="s">
        <v>32</v>
      </c>
      <c r="AE22" s="10">
        <v>0.76649999999999996</v>
      </c>
      <c r="AF22" s="10" t="s">
        <v>201</v>
      </c>
      <c r="AG22" s="10">
        <v>2020</v>
      </c>
      <c r="AH22" s="10" t="s">
        <v>202</v>
      </c>
      <c r="AI22" s="10">
        <v>50</v>
      </c>
      <c r="AJ22" s="10">
        <v>2</v>
      </c>
      <c r="AK22" s="10" t="s">
        <v>34</v>
      </c>
      <c r="AL22" t="str">
        <f t="shared" si="0"/>
        <v>Hoang (2020) -Pure</v>
      </c>
    </row>
    <row r="23" spans="1:38" ht="15.6" x14ac:dyDescent="0.3">
      <c r="A23" s="11">
        <v>7.8685141509434002</v>
      </c>
      <c r="B23" s="11">
        <v>1513.5699373695099</v>
      </c>
      <c r="C23" s="10" t="s">
        <v>33</v>
      </c>
      <c r="D23" s="10" t="s">
        <v>35</v>
      </c>
      <c r="E23" s="10" t="s">
        <v>170</v>
      </c>
      <c r="F23" s="10">
        <v>0.61</v>
      </c>
      <c r="G23" s="10">
        <v>0.72</v>
      </c>
      <c r="H23" s="10">
        <v>0.67</v>
      </c>
      <c r="I23" s="10">
        <v>0.73</v>
      </c>
      <c r="J23" s="10">
        <v>1.21</v>
      </c>
      <c r="K23" s="10">
        <v>1.02</v>
      </c>
      <c r="L23" s="10">
        <v>0</v>
      </c>
      <c r="M23" s="10">
        <v>64.599999999999994</v>
      </c>
      <c r="N23" s="10" t="s">
        <v>34</v>
      </c>
      <c r="O23" s="10">
        <v>0.74</v>
      </c>
      <c r="P23" s="10">
        <v>0.51</v>
      </c>
      <c r="Q23" s="10" t="s">
        <v>34</v>
      </c>
      <c r="R23" s="10">
        <v>2.65</v>
      </c>
      <c r="S23" s="10">
        <f t="shared" si="1"/>
        <v>1.01E-3</v>
      </c>
      <c r="T23" s="10" t="s">
        <v>49</v>
      </c>
      <c r="U23" s="10" t="s">
        <v>199</v>
      </c>
      <c r="V23" s="10" t="s">
        <v>162</v>
      </c>
      <c r="W23" s="10">
        <v>16</v>
      </c>
      <c r="X23" s="10">
        <v>0.3</v>
      </c>
      <c r="Y23" s="10">
        <v>1</v>
      </c>
      <c r="Z23" s="10" t="s">
        <v>200</v>
      </c>
      <c r="AA23" s="10">
        <v>0.3</v>
      </c>
      <c r="AB23" s="10" t="s">
        <v>34</v>
      </c>
      <c r="AC23" s="10" t="s">
        <v>40</v>
      </c>
      <c r="AD23" s="10" t="s">
        <v>32</v>
      </c>
      <c r="AE23" s="10">
        <v>0.76649999999999996</v>
      </c>
      <c r="AF23" s="10" t="s">
        <v>201</v>
      </c>
      <c r="AG23" s="10">
        <v>2020</v>
      </c>
      <c r="AH23" s="10" t="s">
        <v>202</v>
      </c>
      <c r="AI23" s="10">
        <v>50</v>
      </c>
      <c r="AJ23" s="10">
        <v>2</v>
      </c>
      <c r="AK23" s="10" t="s">
        <v>34</v>
      </c>
      <c r="AL23" t="str">
        <f t="shared" si="0"/>
        <v>Hoang (2020) -Pure</v>
      </c>
    </row>
    <row r="24" spans="1:38" ht="15.6" x14ac:dyDescent="0.3">
      <c r="A24" s="11">
        <v>8.0689858490566007</v>
      </c>
      <c r="B24" s="11">
        <v>2366.9102296450901</v>
      </c>
      <c r="C24" s="10" t="s">
        <v>33</v>
      </c>
      <c r="D24" s="10" t="s">
        <v>35</v>
      </c>
      <c r="E24" s="10" t="s">
        <v>170</v>
      </c>
      <c r="F24" s="10">
        <v>0.61</v>
      </c>
      <c r="G24" s="10">
        <v>0.72</v>
      </c>
      <c r="H24" s="10">
        <v>0.67</v>
      </c>
      <c r="I24" s="10">
        <v>0.73</v>
      </c>
      <c r="J24" s="10">
        <v>1.21</v>
      </c>
      <c r="K24" s="10">
        <v>1.02</v>
      </c>
      <c r="L24" s="10">
        <v>0</v>
      </c>
      <c r="M24" s="10">
        <v>64.599999999999994</v>
      </c>
      <c r="N24" s="10" t="s">
        <v>34</v>
      </c>
      <c r="O24" s="10">
        <v>0.74</v>
      </c>
      <c r="P24" s="10">
        <v>0.51</v>
      </c>
      <c r="Q24" s="10" t="s">
        <v>34</v>
      </c>
      <c r="R24" s="10">
        <v>2.65</v>
      </c>
      <c r="S24" s="10">
        <f t="shared" si="1"/>
        <v>1.01E-3</v>
      </c>
      <c r="T24" s="10" t="s">
        <v>49</v>
      </c>
      <c r="U24" s="10" t="s">
        <v>199</v>
      </c>
      <c r="V24" s="10" t="s">
        <v>162</v>
      </c>
      <c r="W24" s="10">
        <v>16</v>
      </c>
      <c r="X24" s="10">
        <v>0.3</v>
      </c>
      <c r="Y24" s="10">
        <v>1</v>
      </c>
      <c r="Z24" s="10" t="s">
        <v>200</v>
      </c>
      <c r="AA24" s="10">
        <v>0.3</v>
      </c>
      <c r="AB24" s="10" t="s">
        <v>34</v>
      </c>
      <c r="AC24" s="10" t="s">
        <v>40</v>
      </c>
      <c r="AD24" s="10" t="s">
        <v>32</v>
      </c>
      <c r="AE24" s="10">
        <v>0.76649999999999996</v>
      </c>
      <c r="AF24" s="10" t="s">
        <v>201</v>
      </c>
      <c r="AG24" s="10">
        <v>2020</v>
      </c>
      <c r="AH24" s="10" t="s">
        <v>202</v>
      </c>
      <c r="AI24" s="10">
        <v>50</v>
      </c>
      <c r="AJ24" s="10">
        <v>2</v>
      </c>
      <c r="AK24" s="10" t="s">
        <v>34</v>
      </c>
      <c r="AL24" t="str">
        <f t="shared" si="0"/>
        <v>Hoang (2020) -Pure</v>
      </c>
    </row>
    <row r="25" spans="1:38" ht="15.6" x14ac:dyDescent="0.3">
      <c r="A25" s="11">
        <v>1.84413202933985</v>
      </c>
      <c r="B25" s="11">
        <v>170.85436281406999</v>
      </c>
      <c r="C25" s="10" t="s">
        <v>33</v>
      </c>
      <c r="D25" s="10" t="s">
        <v>35</v>
      </c>
      <c r="E25" s="10" t="s">
        <v>170</v>
      </c>
      <c r="F25" s="10">
        <v>0.26</v>
      </c>
      <c r="G25" s="10">
        <v>0.36</v>
      </c>
      <c r="H25" s="11">
        <v>0.314</v>
      </c>
      <c r="I25" s="10">
        <v>0.39</v>
      </c>
      <c r="J25" s="10">
        <v>1.46</v>
      </c>
      <c r="K25" s="10">
        <v>0.97</v>
      </c>
      <c r="L25" s="10">
        <v>0</v>
      </c>
      <c r="M25" s="10">
        <v>64.400000000000006</v>
      </c>
      <c r="N25" s="10" t="s">
        <v>34</v>
      </c>
      <c r="O25" s="10">
        <v>0.87</v>
      </c>
      <c r="P25" s="10">
        <v>0.55000000000000004</v>
      </c>
      <c r="Q25" s="10" t="s">
        <v>34</v>
      </c>
      <c r="R25" s="10">
        <v>2.65</v>
      </c>
      <c r="S25" s="10">
        <f t="shared" ref="S25:S33" si="2">3.2*10^-4</f>
        <v>3.2000000000000003E-4</v>
      </c>
      <c r="T25" s="10" t="s">
        <v>49</v>
      </c>
      <c r="U25" s="10" t="s">
        <v>199</v>
      </c>
      <c r="V25" s="10" t="s">
        <v>162</v>
      </c>
      <c r="W25" s="10" t="s">
        <v>34</v>
      </c>
      <c r="X25" s="10">
        <v>0.3</v>
      </c>
      <c r="Y25" s="10">
        <v>1</v>
      </c>
      <c r="Z25" s="10" t="s">
        <v>200</v>
      </c>
      <c r="AA25" s="10">
        <v>0.3</v>
      </c>
      <c r="AB25" s="10" t="s">
        <v>34</v>
      </c>
      <c r="AC25" s="10" t="s">
        <v>40</v>
      </c>
      <c r="AD25" s="10" t="s">
        <v>32</v>
      </c>
      <c r="AE25" s="10">
        <v>0.76649999999999996</v>
      </c>
      <c r="AF25" s="10" t="s">
        <v>201</v>
      </c>
      <c r="AG25" s="10">
        <v>2020</v>
      </c>
      <c r="AH25" s="10" t="s">
        <v>202</v>
      </c>
      <c r="AI25" s="10">
        <v>50</v>
      </c>
      <c r="AJ25" s="10">
        <v>2</v>
      </c>
      <c r="AK25" s="10" t="s">
        <v>34</v>
      </c>
      <c r="AL25" t="str">
        <f t="shared" si="0"/>
        <v>Hoang (2020) -Pure</v>
      </c>
    </row>
    <row r="26" spans="1:38" ht="15.6" x14ac:dyDescent="0.3">
      <c r="A26" s="11">
        <v>2.2677261613691901</v>
      </c>
      <c r="B26" s="11">
        <v>418.09053135678403</v>
      </c>
      <c r="C26" s="10" t="s">
        <v>33</v>
      </c>
      <c r="D26" s="10" t="s">
        <v>35</v>
      </c>
      <c r="E26" s="10" t="s">
        <v>170</v>
      </c>
      <c r="F26" s="10">
        <v>0.26</v>
      </c>
      <c r="G26" s="10">
        <v>0.36</v>
      </c>
      <c r="H26" s="11">
        <v>0.314</v>
      </c>
      <c r="I26" s="10">
        <v>0.39</v>
      </c>
      <c r="J26" s="10">
        <v>1.46</v>
      </c>
      <c r="K26" s="10">
        <v>0.97</v>
      </c>
      <c r="L26" s="10">
        <v>0</v>
      </c>
      <c r="M26" s="10">
        <v>64.400000000000006</v>
      </c>
      <c r="N26" s="10" t="s">
        <v>34</v>
      </c>
      <c r="O26" s="10">
        <v>0.87</v>
      </c>
      <c r="P26" s="10">
        <v>0.55000000000000004</v>
      </c>
      <c r="Q26" s="10" t="s">
        <v>34</v>
      </c>
      <c r="R26" s="10">
        <v>2.65</v>
      </c>
      <c r="S26" s="10">
        <f t="shared" si="2"/>
        <v>3.2000000000000003E-4</v>
      </c>
      <c r="T26" s="10" t="s">
        <v>49</v>
      </c>
      <c r="U26" s="10" t="s">
        <v>199</v>
      </c>
      <c r="V26" s="10" t="s">
        <v>162</v>
      </c>
      <c r="W26" s="10" t="s">
        <v>34</v>
      </c>
      <c r="X26" s="10">
        <v>0.3</v>
      </c>
      <c r="Y26" s="10">
        <v>1</v>
      </c>
      <c r="Z26" s="10" t="s">
        <v>200</v>
      </c>
      <c r="AA26" s="10">
        <v>0.3</v>
      </c>
      <c r="AB26" s="10" t="s">
        <v>34</v>
      </c>
      <c r="AC26" s="10" t="s">
        <v>40</v>
      </c>
      <c r="AD26" s="10" t="s">
        <v>32</v>
      </c>
      <c r="AE26" s="10">
        <v>0.76649999999999996</v>
      </c>
      <c r="AF26" s="10" t="s">
        <v>201</v>
      </c>
      <c r="AG26" s="10">
        <v>2020</v>
      </c>
      <c r="AH26" s="10" t="s">
        <v>202</v>
      </c>
      <c r="AI26" s="10">
        <v>50</v>
      </c>
      <c r="AJ26" s="10">
        <v>2</v>
      </c>
      <c r="AK26" s="10" t="s">
        <v>34</v>
      </c>
      <c r="AL26" t="str">
        <f t="shared" si="0"/>
        <v>Hoang (2020) -Pure</v>
      </c>
    </row>
    <row r="27" spans="1:38" s="108" customFormat="1" ht="16.2" thickBot="1" x14ac:dyDescent="0.35">
      <c r="A27" s="11">
        <v>2.31051344743276</v>
      </c>
      <c r="B27" s="11">
        <v>397.99002984924601</v>
      </c>
      <c r="C27" s="10" t="s">
        <v>33</v>
      </c>
      <c r="D27" s="10" t="s">
        <v>35</v>
      </c>
      <c r="E27" s="10" t="s">
        <v>170</v>
      </c>
      <c r="F27" s="10">
        <v>0.26</v>
      </c>
      <c r="G27" s="10">
        <v>0.36</v>
      </c>
      <c r="H27" s="11">
        <v>0.314</v>
      </c>
      <c r="I27" s="10">
        <v>0.39</v>
      </c>
      <c r="J27" s="10">
        <v>1.46</v>
      </c>
      <c r="K27" s="10">
        <v>0.97</v>
      </c>
      <c r="L27" s="10">
        <v>0</v>
      </c>
      <c r="M27" s="10">
        <v>64.400000000000006</v>
      </c>
      <c r="N27" s="10" t="s">
        <v>34</v>
      </c>
      <c r="O27" s="10">
        <v>0.87</v>
      </c>
      <c r="P27" s="10">
        <v>0.55000000000000004</v>
      </c>
      <c r="Q27" s="10" t="s">
        <v>34</v>
      </c>
      <c r="R27" s="10">
        <v>2.65</v>
      </c>
      <c r="S27" s="10">
        <f t="shared" si="2"/>
        <v>3.2000000000000003E-4</v>
      </c>
      <c r="T27" s="10" t="s">
        <v>49</v>
      </c>
      <c r="U27" s="10" t="s">
        <v>199</v>
      </c>
      <c r="V27" s="10" t="s">
        <v>162</v>
      </c>
      <c r="W27" s="10" t="s">
        <v>34</v>
      </c>
      <c r="X27" s="10">
        <v>0.3</v>
      </c>
      <c r="Y27" s="10">
        <v>1</v>
      </c>
      <c r="Z27" s="10" t="s">
        <v>200</v>
      </c>
      <c r="AA27" s="10">
        <v>0.3</v>
      </c>
      <c r="AB27" s="10" t="s">
        <v>34</v>
      </c>
      <c r="AC27" s="10" t="s">
        <v>40</v>
      </c>
      <c r="AD27" s="10" t="s">
        <v>32</v>
      </c>
      <c r="AE27" s="10">
        <v>0.76649999999999996</v>
      </c>
      <c r="AF27" s="10" t="s">
        <v>201</v>
      </c>
      <c r="AG27" s="10">
        <v>2020</v>
      </c>
      <c r="AH27" s="10" t="s">
        <v>202</v>
      </c>
      <c r="AI27" s="10">
        <v>50</v>
      </c>
      <c r="AJ27" s="10">
        <v>2</v>
      </c>
      <c r="AK27" s="10" t="s">
        <v>34</v>
      </c>
      <c r="AL27" t="str">
        <f t="shared" si="0"/>
        <v>Hoang (2020) -Pure</v>
      </c>
    </row>
    <row r="28" spans="1:38" ht="15.6" x14ac:dyDescent="0.3">
      <c r="A28" s="11">
        <v>2.4474327628361801</v>
      </c>
      <c r="B28" s="11">
        <v>381.90962864321602</v>
      </c>
      <c r="C28" s="10" t="s">
        <v>33</v>
      </c>
      <c r="D28" s="10" t="s">
        <v>35</v>
      </c>
      <c r="E28" s="10" t="s">
        <v>170</v>
      </c>
      <c r="F28" s="10">
        <v>0.26</v>
      </c>
      <c r="G28" s="10">
        <v>0.36</v>
      </c>
      <c r="H28" s="11">
        <v>0.314</v>
      </c>
      <c r="I28" s="10">
        <v>0.39</v>
      </c>
      <c r="J28" s="10">
        <v>1.46</v>
      </c>
      <c r="K28" s="10">
        <v>0.97</v>
      </c>
      <c r="L28" s="10">
        <v>0</v>
      </c>
      <c r="M28" s="10">
        <v>64.400000000000006</v>
      </c>
      <c r="N28" s="10" t="s">
        <v>34</v>
      </c>
      <c r="O28" s="10">
        <v>0.87</v>
      </c>
      <c r="P28" s="10">
        <v>0.55000000000000004</v>
      </c>
      <c r="Q28" s="10" t="s">
        <v>34</v>
      </c>
      <c r="R28" s="10">
        <v>2.65</v>
      </c>
      <c r="S28" s="10">
        <f t="shared" si="2"/>
        <v>3.2000000000000003E-4</v>
      </c>
      <c r="T28" s="10" t="s">
        <v>49</v>
      </c>
      <c r="U28" s="10" t="s">
        <v>199</v>
      </c>
      <c r="V28" s="10" t="s">
        <v>162</v>
      </c>
      <c r="W28" s="10" t="s">
        <v>34</v>
      </c>
      <c r="X28" s="10">
        <v>0.3</v>
      </c>
      <c r="Y28" s="10">
        <v>1</v>
      </c>
      <c r="Z28" s="10" t="s">
        <v>200</v>
      </c>
      <c r="AA28" s="10">
        <v>0.3</v>
      </c>
      <c r="AB28" s="10" t="s">
        <v>34</v>
      </c>
      <c r="AC28" s="10" t="s">
        <v>40</v>
      </c>
      <c r="AD28" s="10" t="s">
        <v>32</v>
      </c>
      <c r="AE28" s="10">
        <v>0.76649999999999996</v>
      </c>
      <c r="AF28" s="10" t="s">
        <v>201</v>
      </c>
      <c r="AG28" s="10">
        <v>2020</v>
      </c>
      <c r="AH28" s="10" t="s">
        <v>202</v>
      </c>
      <c r="AI28" s="10">
        <v>50</v>
      </c>
      <c r="AJ28" s="10">
        <v>2</v>
      </c>
      <c r="AK28" s="10" t="s">
        <v>34</v>
      </c>
      <c r="AL28" t="str">
        <f t="shared" si="0"/>
        <v>Hoang (2020) -Pure</v>
      </c>
    </row>
    <row r="29" spans="1:38" ht="15.6" x14ac:dyDescent="0.3">
      <c r="A29" s="11">
        <v>3.1919315403422899</v>
      </c>
      <c r="B29" s="11">
        <v>524.62318934673397</v>
      </c>
      <c r="C29" s="10" t="s">
        <v>33</v>
      </c>
      <c r="D29" s="10" t="s">
        <v>35</v>
      </c>
      <c r="E29" s="10" t="s">
        <v>170</v>
      </c>
      <c r="F29" s="10">
        <v>0.26</v>
      </c>
      <c r="G29" s="10">
        <v>0.36</v>
      </c>
      <c r="H29" s="11">
        <v>0.314</v>
      </c>
      <c r="I29" s="10">
        <v>0.39</v>
      </c>
      <c r="J29" s="10">
        <v>1.46</v>
      </c>
      <c r="K29" s="10">
        <v>0.97</v>
      </c>
      <c r="L29" s="10">
        <v>0</v>
      </c>
      <c r="M29" s="10">
        <v>64.400000000000006</v>
      </c>
      <c r="N29" s="10" t="s">
        <v>34</v>
      </c>
      <c r="O29" s="10">
        <v>0.87</v>
      </c>
      <c r="P29" s="10">
        <v>0.55000000000000004</v>
      </c>
      <c r="Q29" s="10" t="s">
        <v>34</v>
      </c>
      <c r="R29" s="10">
        <v>2.65</v>
      </c>
      <c r="S29" s="10">
        <f t="shared" si="2"/>
        <v>3.2000000000000003E-4</v>
      </c>
      <c r="T29" s="10" t="s">
        <v>49</v>
      </c>
      <c r="U29" s="10" t="s">
        <v>199</v>
      </c>
      <c r="V29" s="10" t="s">
        <v>162</v>
      </c>
      <c r="W29" s="10" t="s">
        <v>34</v>
      </c>
      <c r="X29" s="10">
        <v>0.3</v>
      </c>
      <c r="Y29" s="10">
        <v>1</v>
      </c>
      <c r="Z29" s="10" t="s">
        <v>200</v>
      </c>
      <c r="AA29" s="10">
        <v>0.3</v>
      </c>
      <c r="AB29" s="10" t="s">
        <v>34</v>
      </c>
      <c r="AC29" s="10" t="s">
        <v>40</v>
      </c>
      <c r="AD29" s="10" t="s">
        <v>32</v>
      </c>
      <c r="AE29" s="10">
        <v>0.76649999999999996</v>
      </c>
      <c r="AF29" s="10" t="s">
        <v>201</v>
      </c>
      <c r="AG29" s="10">
        <v>2020</v>
      </c>
      <c r="AH29" s="10" t="s">
        <v>202</v>
      </c>
      <c r="AI29" s="10">
        <v>50</v>
      </c>
      <c r="AJ29" s="10">
        <v>2</v>
      </c>
      <c r="AK29" s="10" t="s">
        <v>34</v>
      </c>
      <c r="AL29" t="str">
        <f t="shared" si="0"/>
        <v>Hoang (2020) -Pure</v>
      </c>
    </row>
    <row r="30" spans="1:38" ht="15.6" x14ac:dyDescent="0.3">
      <c r="A30" s="11">
        <v>3.70110024449877</v>
      </c>
      <c r="B30" s="11">
        <v>532.66338994974797</v>
      </c>
      <c r="C30" s="10" t="s">
        <v>33</v>
      </c>
      <c r="D30" s="10" t="s">
        <v>35</v>
      </c>
      <c r="E30" s="10" t="s">
        <v>170</v>
      </c>
      <c r="F30" s="10">
        <v>0.26</v>
      </c>
      <c r="G30" s="10">
        <v>0.36</v>
      </c>
      <c r="H30" s="11">
        <v>0.314</v>
      </c>
      <c r="I30" s="10">
        <v>0.39</v>
      </c>
      <c r="J30" s="10">
        <v>1.46</v>
      </c>
      <c r="K30" s="10">
        <v>0.97</v>
      </c>
      <c r="L30" s="10">
        <v>0</v>
      </c>
      <c r="M30" s="10">
        <v>64.400000000000006</v>
      </c>
      <c r="N30" s="10" t="s">
        <v>34</v>
      </c>
      <c r="O30" s="10">
        <v>0.87</v>
      </c>
      <c r="P30" s="10">
        <v>0.55000000000000004</v>
      </c>
      <c r="Q30" s="10" t="s">
        <v>34</v>
      </c>
      <c r="R30" s="10">
        <v>2.65</v>
      </c>
      <c r="S30" s="10">
        <f t="shared" si="2"/>
        <v>3.2000000000000003E-4</v>
      </c>
      <c r="T30" s="10" t="s">
        <v>49</v>
      </c>
      <c r="U30" s="10" t="s">
        <v>199</v>
      </c>
      <c r="V30" s="10" t="s">
        <v>162</v>
      </c>
      <c r="W30" s="10" t="s">
        <v>34</v>
      </c>
      <c r="X30" s="10">
        <v>0.3</v>
      </c>
      <c r="Y30" s="10">
        <v>1</v>
      </c>
      <c r="Z30" s="10" t="s">
        <v>200</v>
      </c>
      <c r="AA30" s="10">
        <v>0.3</v>
      </c>
      <c r="AB30" s="10" t="s">
        <v>34</v>
      </c>
      <c r="AC30" s="10" t="s">
        <v>40</v>
      </c>
      <c r="AD30" s="10" t="s">
        <v>32</v>
      </c>
      <c r="AE30" s="10">
        <v>0.76649999999999996</v>
      </c>
      <c r="AF30" s="10" t="s">
        <v>201</v>
      </c>
      <c r="AG30" s="10">
        <v>2020</v>
      </c>
      <c r="AH30" s="10" t="s">
        <v>202</v>
      </c>
      <c r="AI30" s="10">
        <v>50</v>
      </c>
      <c r="AJ30" s="10">
        <v>2</v>
      </c>
      <c r="AK30" s="10" t="s">
        <v>34</v>
      </c>
      <c r="AL30" t="str">
        <f t="shared" si="0"/>
        <v>Hoang (2020) -Pure</v>
      </c>
    </row>
    <row r="31" spans="1:38" ht="15.6" x14ac:dyDescent="0.3">
      <c r="A31" s="11">
        <v>5.1900977995110003</v>
      </c>
      <c r="B31" s="11">
        <v>693.46740201005002</v>
      </c>
      <c r="C31" s="10" t="s">
        <v>33</v>
      </c>
      <c r="D31" s="10" t="s">
        <v>35</v>
      </c>
      <c r="E31" s="10" t="s">
        <v>170</v>
      </c>
      <c r="F31" s="10">
        <v>0.26</v>
      </c>
      <c r="G31" s="10">
        <v>0.36</v>
      </c>
      <c r="H31" s="11">
        <v>0.314</v>
      </c>
      <c r="I31" s="10">
        <v>0.39</v>
      </c>
      <c r="J31" s="10">
        <v>1.46</v>
      </c>
      <c r="K31" s="10">
        <v>0.97</v>
      </c>
      <c r="L31" s="10">
        <v>0</v>
      </c>
      <c r="M31" s="10">
        <v>64.400000000000006</v>
      </c>
      <c r="N31" s="10" t="s">
        <v>34</v>
      </c>
      <c r="O31" s="10">
        <v>0.87</v>
      </c>
      <c r="P31" s="10">
        <v>0.55000000000000004</v>
      </c>
      <c r="Q31" s="10" t="s">
        <v>34</v>
      </c>
      <c r="R31" s="10">
        <v>2.65</v>
      </c>
      <c r="S31" s="10">
        <f t="shared" si="2"/>
        <v>3.2000000000000003E-4</v>
      </c>
      <c r="T31" s="10" t="s">
        <v>49</v>
      </c>
      <c r="U31" s="10" t="s">
        <v>199</v>
      </c>
      <c r="V31" s="10" t="s">
        <v>162</v>
      </c>
      <c r="W31" s="10" t="s">
        <v>34</v>
      </c>
      <c r="X31" s="10">
        <v>0.3</v>
      </c>
      <c r="Y31" s="10">
        <v>1</v>
      </c>
      <c r="Z31" s="10" t="s">
        <v>200</v>
      </c>
      <c r="AA31" s="10">
        <v>0.3</v>
      </c>
      <c r="AB31" s="10" t="s">
        <v>34</v>
      </c>
      <c r="AC31" s="10" t="s">
        <v>40</v>
      </c>
      <c r="AD31" s="10" t="s">
        <v>32</v>
      </c>
      <c r="AE31" s="10">
        <v>0.76649999999999996</v>
      </c>
      <c r="AF31" s="10" t="s">
        <v>201</v>
      </c>
      <c r="AG31" s="10">
        <v>2020</v>
      </c>
      <c r="AH31" s="10" t="s">
        <v>202</v>
      </c>
      <c r="AI31" s="10">
        <v>50</v>
      </c>
      <c r="AJ31" s="10">
        <v>2</v>
      </c>
      <c r="AK31" s="10" t="s">
        <v>34</v>
      </c>
      <c r="AL31" t="str">
        <f t="shared" si="0"/>
        <v>Hoang (2020) -Pure</v>
      </c>
    </row>
    <row r="32" spans="1:38" ht="15.6" x14ac:dyDescent="0.3">
      <c r="A32" s="11">
        <v>6.0501222493887497</v>
      </c>
      <c r="B32" s="11">
        <v>818.09051135678396</v>
      </c>
      <c r="C32" s="10" t="s">
        <v>33</v>
      </c>
      <c r="D32" s="10" t="s">
        <v>35</v>
      </c>
      <c r="E32" s="10" t="s">
        <v>170</v>
      </c>
      <c r="F32" s="10">
        <v>0.26</v>
      </c>
      <c r="G32" s="10">
        <v>0.36</v>
      </c>
      <c r="H32" s="11">
        <v>0.314</v>
      </c>
      <c r="I32" s="10">
        <v>0.39</v>
      </c>
      <c r="J32" s="10">
        <v>1.46</v>
      </c>
      <c r="K32" s="10">
        <v>0.97</v>
      </c>
      <c r="L32" s="10">
        <v>0</v>
      </c>
      <c r="M32" s="10">
        <v>64.400000000000006</v>
      </c>
      <c r="N32" s="10" t="s">
        <v>34</v>
      </c>
      <c r="O32" s="10">
        <v>0.87</v>
      </c>
      <c r="P32" s="10">
        <v>0.55000000000000004</v>
      </c>
      <c r="Q32" s="10" t="s">
        <v>34</v>
      </c>
      <c r="R32" s="10">
        <v>2.65</v>
      </c>
      <c r="S32" s="10">
        <f t="shared" si="2"/>
        <v>3.2000000000000003E-4</v>
      </c>
      <c r="T32" s="10" t="s">
        <v>49</v>
      </c>
      <c r="U32" s="10" t="s">
        <v>199</v>
      </c>
      <c r="V32" s="10" t="s">
        <v>162</v>
      </c>
      <c r="W32" s="10" t="s">
        <v>34</v>
      </c>
      <c r="X32" s="10">
        <v>0.3</v>
      </c>
      <c r="Y32" s="10">
        <v>1</v>
      </c>
      <c r="Z32" s="10" t="s">
        <v>200</v>
      </c>
      <c r="AA32" s="10">
        <v>0.3</v>
      </c>
      <c r="AB32" s="10" t="s">
        <v>34</v>
      </c>
      <c r="AC32" s="10" t="s">
        <v>40</v>
      </c>
      <c r="AD32" s="10" t="s">
        <v>32</v>
      </c>
      <c r="AE32" s="10">
        <v>0.76649999999999996</v>
      </c>
      <c r="AF32" s="10" t="s">
        <v>201</v>
      </c>
      <c r="AG32" s="10">
        <v>2020</v>
      </c>
      <c r="AH32" s="10" t="s">
        <v>202</v>
      </c>
      <c r="AI32" s="10">
        <v>50</v>
      </c>
      <c r="AJ32" s="10">
        <v>2</v>
      </c>
      <c r="AK32" s="10" t="s">
        <v>34</v>
      </c>
      <c r="AL32" t="str">
        <f t="shared" si="0"/>
        <v>Hoang (2020) -Pure</v>
      </c>
    </row>
    <row r="33" spans="1:38" s="108" customFormat="1" ht="16.2" thickBot="1" x14ac:dyDescent="0.35">
      <c r="A33" s="17">
        <v>6.5165036674816603</v>
      </c>
      <c r="B33" s="17">
        <v>882.41211618090404</v>
      </c>
      <c r="C33" s="14" t="s">
        <v>33</v>
      </c>
      <c r="D33" s="14" t="s">
        <v>35</v>
      </c>
      <c r="E33" s="14" t="s">
        <v>170</v>
      </c>
      <c r="F33" s="14">
        <v>0.26</v>
      </c>
      <c r="G33" s="14">
        <v>0.36</v>
      </c>
      <c r="H33" s="17">
        <v>0.314</v>
      </c>
      <c r="I33" s="14">
        <v>0.39</v>
      </c>
      <c r="J33" s="14">
        <v>1.46</v>
      </c>
      <c r="K33" s="14">
        <v>0.97</v>
      </c>
      <c r="L33" s="14">
        <v>0</v>
      </c>
      <c r="M33" s="14">
        <v>64.400000000000006</v>
      </c>
      <c r="N33" s="14" t="s">
        <v>34</v>
      </c>
      <c r="O33" s="14">
        <v>0.87</v>
      </c>
      <c r="P33" s="14">
        <v>0.55000000000000004</v>
      </c>
      <c r="Q33" s="14" t="s">
        <v>34</v>
      </c>
      <c r="R33" s="14">
        <v>2.65</v>
      </c>
      <c r="S33" s="14">
        <f t="shared" si="2"/>
        <v>3.2000000000000003E-4</v>
      </c>
      <c r="T33" s="14" t="s">
        <v>49</v>
      </c>
      <c r="U33" s="14" t="s">
        <v>199</v>
      </c>
      <c r="V33" s="14" t="s">
        <v>162</v>
      </c>
      <c r="W33" s="14" t="s">
        <v>34</v>
      </c>
      <c r="X33" s="14">
        <v>0.3</v>
      </c>
      <c r="Y33" s="14">
        <v>1</v>
      </c>
      <c r="Z33" s="14" t="s">
        <v>200</v>
      </c>
      <c r="AA33" s="14">
        <v>0.3</v>
      </c>
      <c r="AB33" s="14" t="s">
        <v>34</v>
      </c>
      <c r="AC33" s="14" t="s">
        <v>40</v>
      </c>
      <c r="AD33" s="14" t="s">
        <v>32</v>
      </c>
      <c r="AE33" s="14">
        <v>0.76649999999999996</v>
      </c>
      <c r="AF33" s="14" t="s">
        <v>201</v>
      </c>
      <c r="AG33" s="14">
        <v>2020</v>
      </c>
      <c r="AH33" s="14" t="s">
        <v>202</v>
      </c>
      <c r="AI33" s="14">
        <v>50</v>
      </c>
      <c r="AJ33" s="14">
        <v>2</v>
      </c>
      <c r="AK33" s="14" t="s">
        <v>34</v>
      </c>
      <c r="AL33" t="str">
        <f t="shared" si="0"/>
        <v>Hoang (2020) -Pure</v>
      </c>
    </row>
    <row r="34" spans="1:38" ht="15.6" x14ac:dyDescent="0.3">
      <c r="A34" s="12">
        <v>3</v>
      </c>
      <c r="B34" s="12">
        <v>53.594771241830003</v>
      </c>
      <c r="C34" s="13" t="s">
        <v>33</v>
      </c>
      <c r="D34" s="13" t="s">
        <v>35</v>
      </c>
      <c r="E34" s="13" t="s">
        <v>170</v>
      </c>
      <c r="F34" s="13">
        <v>0.25</v>
      </c>
      <c r="G34" s="13">
        <v>0.72</v>
      </c>
      <c r="H34" s="13">
        <v>0.44</v>
      </c>
      <c r="I34" s="13">
        <v>0.98</v>
      </c>
      <c r="J34" s="13">
        <v>3.92</v>
      </c>
      <c r="K34" s="12">
        <v>0.7902040816326531</v>
      </c>
      <c r="L34" s="13">
        <v>0</v>
      </c>
      <c r="M34" s="13">
        <v>20</v>
      </c>
      <c r="N34" s="13" t="s">
        <v>34</v>
      </c>
      <c r="O34" s="13">
        <v>0.74</v>
      </c>
      <c r="P34" s="13">
        <v>0.43</v>
      </c>
      <c r="Q34" s="13" t="s">
        <v>34</v>
      </c>
      <c r="R34" s="13" t="s">
        <v>34</v>
      </c>
      <c r="S34" s="13" t="s">
        <v>34</v>
      </c>
      <c r="T34" s="13" t="s">
        <v>49</v>
      </c>
      <c r="U34" s="13" t="s">
        <v>204</v>
      </c>
      <c r="V34" s="13" t="s">
        <v>162</v>
      </c>
      <c r="W34" s="13">
        <v>2</v>
      </c>
      <c r="X34" s="13">
        <v>1</v>
      </c>
      <c r="Y34" s="13">
        <v>1.5</v>
      </c>
      <c r="Z34" s="13" t="s">
        <v>204</v>
      </c>
      <c r="AA34" s="13">
        <v>0.19800000000000001</v>
      </c>
      <c r="AB34" s="13" t="s">
        <v>34</v>
      </c>
      <c r="AC34" s="13" t="s">
        <v>203</v>
      </c>
      <c r="AD34" s="13" t="s">
        <v>32</v>
      </c>
      <c r="AE34" s="13">
        <v>0.70120000000000005</v>
      </c>
      <c r="AF34" s="13" t="s">
        <v>205</v>
      </c>
      <c r="AG34" s="13">
        <v>2021</v>
      </c>
      <c r="AH34" s="13" t="s">
        <v>206</v>
      </c>
      <c r="AI34" s="13" t="s">
        <v>43</v>
      </c>
      <c r="AJ34" s="13" t="s">
        <v>43</v>
      </c>
      <c r="AK34" s="13" t="s">
        <v>43</v>
      </c>
      <c r="AL34" t="str">
        <f t="shared" si="0"/>
        <v>Martin (2021) -NFMD</v>
      </c>
    </row>
    <row r="35" spans="1:38" ht="15.6" x14ac:dyDescent="0.3">
      <c r="A35" s="11">
        <v>4.3</v>
      </c>
      <c r="B35" s="11">
        <v>223.529411764705</v>
      </c>
      <c r="C35" s="10" t="s">
        <v>33</v>
      </c>
      <c r="D35" s="10" t="s">
        <v>35</v>
      </c>
      <c r="E35" s="10" t="s">
        <v>170</v>
      </c>
      <c r="F35" s="10">
        <v>0.25</v>
      </c>
      <c r="G35" s="10">
        <v>0.72</v>
      </c>
      <c r="H35" s="10">
        <v>0.44</v>
      </c>
      <c r="I35" s="10">
        <v>0.98</v>
      </c>
      <c r="J35" s="10">
        <v>3.92</v>
      </c>
      <c r="K35" s="11">
        <v>0.7902040816326531</v>
      </c>
      <c r="L35" s="10">
        <v>0</v>
      </c>
      <c r="M35" s="10">
        <v>20</v>
      </c>
      <c r="N35" s="10" t="s">
        <v>34</v>
      </c>
      <c r="O35" s="10">
        <v>0.74</v>
      </c>
      <c r="P35" s="10">
        <v>0.43</v>
      </c>
      <c r="Q35" s="10" t="s">
        <v>34</v>
      </c>
      <c r="R35" s="10" t="s">
        <v>34</v>
      </c>
      <c r="S35" s="10" t="s">
        <v>34</v>
      </c>
      <c r="T35" s="10" t="s">
        <v>49</v>
      </c>
      <c r="U35" s="10" t="s">
        <v>204</v>
      </c>
      <c r="V35" s="10" t="s">
        <v>162</v>
      </c>
      <c r="W35" s="10">
        <v>3</v>
      </c>
      <c r="X35" s="10">
        <v>1</v>
      </c>
      <c r="Y35" s="10">
        <v>1.5</v>
      </c>
      <c r="Z35" s="10" t="s">
        <v>204</v>
      </c>
      <c r="AA35" s="10">
        <v>0.19800000000000001</v>
      </c>
      <c r="AB35" s="10" t="s">
        <v>34</v>
      </c>
      <c r="AC35" s="10" t="s">
        <v>203</v>
      </c>
      <c r="AD35" s="10" t="s">
        <v>32</v>
      </c>
      <c r="AE35" s="10">
        <v>0.70120000000000005</v>
      </c>
      <c r="AF35" s="10" t="s">
        <v>205</v>
      </c>
      <c r="AG35" s="10">
        <v>2021</v>
      </c>
      <c r="AH35" s="10" t="s">
        <v>206</v>
      </c>
      <c r="AI35" s="10" t="s">
        <v>43</v>
      </c>
      <c r="AJ35" s="10" t="s">
        <v>43</v>
      </c>
      <c r="AK35" s="10" t="s">
        <v>43</v>
      </c>
      <c r="AL35" t="str">
        <f t="shared" si="0"/>
        <v>Martin (2021) -NFMD</v>
      </c>
    </row>
    <row r="36" spans="1:38" ht="15.6" x14ac:dyDescent="0.3">
      <c r="A36" s="11">
        <v>6.3</v>
      </c>
      <c r="B36" s="11">
        <v>372.54901960784298</v>
      </c>
      <c r="C36" s="10" t="s">
        <v>33</v>
      </c>
      <c r="D36" s="10" t="s">
        <v>35</v>
      </c>
      <c r="E36" s="10" t="s">
        <v>170</v>
      </c>
      <c r="F36" s="10">
        <v>0.25</v>
      </c>
      <c r="G36" s="10">
        <v>0.72</v>
      </c>
      <c r="H36" s="10">
        <v>0.44</v>
      </c>
      <c r="I36" s="10">
        <v>0.98</v>
      </c>
      <c r="J36" s="10">
        <v>3.92</v>
      </c>
      <c r="K36" s="11">
        <v>0.7902040816326531</v>
      </c>
      <c r="L36" s="10">
        <v>0</v>
      </c>
      <c r="M36" s="10">
        <v>20</v>
      </c>
      <c r="N36" s="10" t="s">
        <v>34</v>
      </c>
      <c r="O36" s="10">
        <v>0.74</v>
      </c>
      <c r="P36" s="10">
        <v>0.43</v>
      </c>
      <c r="Q36" s="10" t="s">
        <v>34</v>
      </c>
      <c r="R36" s="10" t="s">
        <v>34</v>
      </c>
      <c r="S36" s="10" t="s">
        <v>34</v>
      </c>
      <c r="T36" s="10" t="s">
        <v>49</v>
      </c>
      <c r="U36" s="10" t="s">
        <v>204</v>
      </c>
      <c r="V36" s="10" t="s">
        <v>162</v>
      </c>
      <c r="W36" s="10">
        <v>4</v>
      </c>
      <c r="X36" s="10">
        <v>1</v>
      </c>
      <c r="Y36" s="10">
        <v>1.5</v>
      </c>
      <c r="Z36" s="10" t="s">
        <v>204</v>
      </c>
      <c r="AA36" s="10">
        <v>0.19800000000000001</v>
      </c>
      <c r="AB36" s="10" t="s">
        <v>34</v>
      </c>
      <c r="AC36" s="10" t="s">
        <v>203</v>
      </c>
      <c r="AD36" s="10" t="s">
        <v>32</v>
      </c>
      <c r="AE36" s="10">
        <v>0.70120000000000005</v>
      </c>
      <c r="AF36" s="10" t="s">
        <v>205</v>
      </c>
      <c r="AG36" s="10">
        <v>2021</v>
      </c>
      <c r="AH36" s="10" t="s">
        <v>206</v>
      </c>
      <c r="AI36" s="10" t="s">
        <v>43</v>
      </c>
      <c r="AJ36" s="10" t="s">
        <v>43</v>
      </c>
      <c r="AK36" s="10" t="s">
        <v>43</v>
      </c>
      <c r="AL36" t="str">
        <f t="shared" si="0"/>
        <v>Martin (2021) -NFMD</v>
      </c>
    </row>
    <row r="37" spans="1:38" ht="15.6" x14ac:dyDescent="0.3">
      <c r="A37" s="11">
        <v>4.0999999999999996</v>
      </c>
      <c r="B37" s="11">
        <v>100.653594771241</v>
      </c>
      <c r="C37" s="10" t="s">
        <v>33</v>
      </c>
      <c r="D37" s="10" t="s">
        <v>35</v>
      </c>
      <c r="E37" s="10" t="s">
        <v>170</v>
      </c>
      <c r="F37" s="10">
        <v>0.25</v>
      </c>
      <c r="G37" s="10">
        <v>0.72</v>
      </c>
      <c r="H37" s="10">
        <v>0.44</v>
      </c>
      <c r="I37" s="10">
        <v>0.98</v>
      </c>
      <c r="J37" s="10">
        <v>3.92</v>
      </c>
      <c r="K37" s="11">
        <v>0.7902040816326531</v>
      </c>
      <c r="L37" s="10">
        <v>0</v>
      </c>
      <c r="M37" s="10">
        <v>20</v>
      </c>
      <c r="N37" s="10" t="s">
        <v>34</v>
      </c>
      <c r="O37" s="10">
        <v>0.74</v>
      </c>
      <c r="P37" s="10">
        <v>0.43</v>
      </c>
      <c r="Q37" s="10" t="s">
        <v>34</v>
      </c>
      <c r="R37" s="10" t="s">
        <v>34</v>
      </c>
      <c r="S37" s="10" t="s">
        <v>34</v>
      </c>
      <c r="T37" s="10" t="s">
        <v>49</v>
      </c>
      <c r="U37" s="10" t="s">
        <v>204</v>
      </c>
      <c r="V37" s="10" t="s">
        <v>162</v>
      </c>
      <c r="W37" s="10">
        <v>2</v>
      </c>
      <c r="X37" s="10">
        <v>1.5</v>
      </c>
      <c r="Y37" s="10">
        <v>1.5</v>
      </c>
      <c r="Z37" s="10" t="s">
        <v>204</v>
      </c>
      <c r="AA37" s="10">
        <v>0.29699999999999999</v>
      </c>
      <c r="AB37" s="10" t="s">
        <v>34</v>
      </c>
      <c r="AC37" s="10" t="s">
        <v>203</v>
      </c>
      <c r="AD37" s="10" t="s">
        <v>32</v>
      </c>
      <c r="AE37" s="10">
        <v>0.70120000000000005</v>
      </c>
      <c r="AF37" s="10" t="s">
        <v>205</v>
      </c>
      <c r="AG37" s="10">
        <v>2021</v>
      </c>
      <c r="AH37" s="10" t="s">
        <v>206</v>
      </c>
      <c r="AI37" s="10" t="s">
        <v>43</v>
      </c>
      <c r="AJ37" s="10" t="s">
        <v>43</v>
      </c>
      <c r="AK37" s="10" t="s">
        <v>43</v>
      </c>
      <c r="AL37" t="str">
        <f t="shared" si="0"/>
        <v>Martin (2021) -NFMD</v>
      </c>
    </row>
    <row r="38" spans="1:38" ht="15.6" x14ac:dyDescent="0.3">
      <c r="A38" s="11">
        <v>5.4</v>
      </c>
      <c r="B38" s="11">
        <v>662.74509803921501</v>
      </c>
      <c r="C38" s="10" t="s">
        <v>33</v>
      </c>
      <c r="D38" s="10" t="s">
        <v>35</v>
      </c>
      <c r="E38" s="10" t="s">
        <v>170</v>
      </c>
      <c r="F38" s="10">
        <v>0.25</v>
      </c>
      <c r="G38" s="10">
        <v>0.72</v>
      </c>
      <c r="H38" s="10">
        <v>0.44</v>
      </c>
      <c r="I38" s="10">
        <v>0.98</v>
      </c>
      <c r="J38" s="10">
        <v>3.92</v>
      </c>
      <c r="K38" s="11">
        <v>0.7902040816326531</v>
      </c>
      <c r="L38" s="10">
        <v>0</v>
      </c>
      <c r="M38" s="10">
        <v>20</v>
      </c>
      <c r="N38" s="10" t="s">
        <v>34</v>
      </c>
      <c r="O38" s="10">
        <v>0.74</v>
      </c>
      <c r="P38" s="10">
        <v>0.43</v>
      </c>
      <c r="Q38" s="10" t="s">
        <v>34</v>
      </c>
      <c r="R38" s="10" t="s">
        <v>34</v>
      </c>
      <c r="S38" s="10" t="s">
        <v>34</v>
      </c>
      <c r="T38" s="10" t="s">
        <v>49</v>
      </c>
      <c r="U38" s="10" t="s">
        <v>204</v>
      </c>
      <c r="V38" s="10" t="s">
        <v>162</v>
      </c>
      <c r="W38" s="10">
        <v>3</v>
      </c>
      <c r="X38" s="10">
        <v>1.5</v>
      </c>
      <c r="Y38" s="10">
        <v>1.5</v>
      </c>
      <c r="Z38" s="10" t="s">
        <v>204</v>
      </c>
      <c r="AA38" s="10">
        <v>0.29699999999999999</v>
      </c>
      <c r="AB38" s="10" t="s">
        <v>34</v>
      </c>
      <c r="AC38" s="10" t="s">
        <v>203</v>
      </c>
      <c r="AD38" s="10" t="s">
        <v>32</v>
      </c>
      <c r="AE38" s="10">
        <v>0.70120000000000005</v>
      </c>
      <c r="AF38" s="10" t="s">
        <v>205</v>
      </c>
      <c r="AG38" s="10">
        <v>2021</v>
      </c>
      <c r="AH38" s="10" t="s">
        <v>206</v>
      </c>
      <c r="AI38" s="10" t="s">
        <v>43</v>
      </c>
      <c r="AJ38" s="10" t="s">
        <v>43</v>
      </c>
      <c r="AK38" s="10" t="s">
        <v>43</v>
      </c>
      <c r="AL38" t="str">
        <f t="shared" si="0"/>
        <v>Martin (2021) -NFMD</v>
      </c>
    </row>
    <row r="39" spans="1:38" s="117" customFormat="1" ht="16.2" thickBot="1" x14ac:dyDescent="0.35">
      <c r="A39" s="17">
        <v>6.9</v>
      </c>
      <c r="B39" s="17">
        <v>792.15686274509801</v>
      </c>
      <c r="C39" s="14" t="s">
        <v>33</v>
      </c>
      <c r="D39" s="14" t="s">
        <v>35</v>
      </c>
      <c r="E39" s="14" t="s">
        <v>170</v>
      </c>
      <c r="F39" s="14">
        <v>0.25</v>
      </c>
      <c r="G39" s="14">
        <v>0.72</v>
      </c>
      <c r="H39" s="14">
        <v>0.44</v>
      </c>
      <c r="I39" s="14">
        <v>0.98</v>
      </c>
      <c r="J39" s="14">
        <v>3.92</v>
      </c>
      <c r="K39" s="17">
        <v>0.7902040816326531</v>
      </c>
      <c r="L39" s="14">
        <v>0</v>
      </c>
      <c r="M39" s="14">
        <v>20</v>
      </c>
      <c r="N39" s="14" t="s">
        <v>34</v>
      </c>
      <c r="O39" s="14">
        <v>0.74</v>
      </c>
      <c r="P39" s="14">
        <v>0.43</v>
      </c>
      <c r="Q39" s="14" t="s">
        <v>34</v>
      </c>
      <c r="R39" s="14" t="s">
        <v>34</v>
      </c>
      <c r="S39" s="14" t="s">
        <v>34</v>
      </c>
      <c r="T39" s="14" t="s">
        <v>49</v>
      </c>
      <c r="U39" s="14" t="s">
        <v>204</v>
      </c>
      <c r="V39" s="14" t="s">
        <v>162</v>
      </c>
      <c r="W39" s="14">
        <v>4</v>
      </c>
      <c r="X39" s="14">
        <v>1.5</v>
      </c>
      <c r="Y39" s="14">
        <v>1.5</v>
      </c>
      <c r="Z39" s="14" t="s">
        <v>204</v>
      </c>
      <c r="AA39" s="14">
        <v>0.29699999999999999</v>
      </c>
      <c r="AB39" s="14" t="s">
        <v>34</v>
      </c>
      <c r="AC39" s="14" t="s">
        <v>203</v>
      </c>
      <c r="AD39" s="14" t="s">
        <v>32</v>
      </c>
      <c r="AE39" s="14">
        <v>0.70120000000000005</v>
      </c>
      <c r="AF39" s="14" t="s">
        <v>205</v>
      </c>
      <c r="AG39" s="14">
        <v>2021</v>
      </c>
      <c r="AH39" s="14" t="s">
        <v>206</v>
      </c>
      <c r="AI39" s="14" t="s">
        <v>43</v>
      </c>
      <c r="AJ39" s="14" t="s">
        <v>43</v>
      </c>
      <c r="AK39" s="14" t="s">
        <v>43</v>
      </c>
      <c r="AL39" t="str">
        <f t="shared" si="0"/>
        <v>Martin (2021) -NFMD</v>
      </c>
    </row>
    <row r="40" spans="1:38" s="118" customFormat="1" ht="16.2" thickBot="1" x14ac:dyDescent="0.35">
      <c r="A40" s="28">
        <v>2.9</v>
      </c>
      <c r="B40" s="28">
        <v>1330</v>
      </c>
      <c r="C40" s="29" t="s">
        <v>33</v>
      </c>
      <c r="D40" s="29" t="s">
        <v>47</v>
      </c>
      <c r="E40" s="29" t="s">
        <v>170</v>
      </c>
      <c r="F40" s="29">
        <v>0.26</v>
      </c>
      <c r="G40" s="29">
        <v>0.33</v>
      </c>
      <c r="H40" s="29">
        <v>0.28599999999999998</v>
      </c>
      <c r="I40" s="29">
        <v>0.35099999999999998</v>
      </c>
      <c r="J40" s="29">
        <v>1.35</v>
      </c>
      <c r="K40" s="29">
        <v>0.9</v>
      </c>
      <c r="L40" s="29" t="s">
        <v>34</v>
      </c>
      <c r="M40" s="29" t="s">
        <v>34</v>
      </c>
      <c r="N40" s="29" t="s">
        <v>34</v>
      </c>
      <c r="O40" s="29" t="s">
        <v>34</v>
      </c>
      <c r="P40" s="29" t="s">
        <v>34</v>
      </c>
      <c r="Q40" s="29" t="s">
        <v>34</v>
      </c>
      <c r="R40" s="29" t="s">
        <v>34</v>
      </c>
      <c r="S40" s="29" t="s">
        <v>34</v>
      </c>
      <c r="T40" s="29" t="s">
        <v>49</v>
      </c>
      <c r="U40" s="29" t="s">
        <v>50</v>
      </c>
      <c r="V40" s="29" t="s">
        <v>207</v>
      </c>
      <c r="W40" s="29" t="s">
        <v>34</v>
      </c>
      <c r="X40" s="29">
        <v>1</v>
      </c>
      <c r="Y40" s="29">
        <v>1.5</v>
      </c>
      <c r="Z40" s="29" t="s">
        <v>51</v>
      </c>
      <c r="AA40" s="29">
        <v>0.40699999999999997</v>
      </c>
      <c r="AB40" s="29" t="s">
        <v>34</v>
      </c>
      <c r="AC40" s="29" t="s">
        <v>40</v>
      </c>
      <c r="AD40" s="29" t="s">
        <v>32</v>
      </c>
      <c r="AE40" s="29" t="s">
        <v>34</v>
      </c>
      <c r="AF40" s="29" t="s">
        <v>208</v>
      </c>
      <c r="AG40" s="29">
        <v>2018</v>
      </c>
      <c r="AH40" s="29" t="s">
        <v>209</v>
      </c>
      <c r="AI40" s="29">
        <v>51</v>
      </c>
      <c r="AJ40" s="29" t="s">
        <v>43</v>
      </c>
      <c r="AK40" s="29">
        <v>1</v>
      </c>
      <c r="AL40" t="str">
        <f t="shared" si="0"/>
        <v>Pandey (2018) -Pure</v>
      </c>
    </row>
    <row r="41" spans="1:38" ht="15.6" x14ac:dyDescent="0.3">
      <c r="A41" s="12">
        <v>1.1458733205374201</v>
      </c>
      <c r="B41" s="12">
        <v>116.182572614107</v>
      </c>
      <c r="C41" s="13" t="s">
        <v>33</v>
      </c>
      <c r="D41" s="13" t="s">
        <v>35</v>
      </c>
      <c r="E41" s="13" t="s">
        <v>170</v>
      </c>
      <c r="F41" s="13">
        <v>0.2</v>
      </c>
      <c r="G41" s="13">
        <v>0.36</v>
      </c>
      <c r="H41" s="13">
        <v>0.31900000000000001</v>
      </c>
      <c r="I41" s="13">
        <v>0.39300000000000002</v>
      </c>
      <c r="J41" s="13">
        <v>1.9650000000000001</v>
      </c>
      <c r="K41" s="13">
        <v>1.29</v>
      </c>
      <c r="L41" s="13">
        <v>0</v>
      </c>
      <c r="M41" s="13" t="s">
        <v>34</v>
      </c>
      <c r="N41" s="13">
        <v>1600</v>
      </c>
      <c r="O41" s="13" t="s">
        <v>34</v>
      </c>
      <c r="P41" s="13" t="s">
        <v>34</v>
      </c>
      <c r="Q41" s="13">
        <v>0</v>
      </c>
      <c r="R41" s="13">
        <v>2.65</v>
      </c>
      <c r="S41" s="13" t="s">
        <v>34</v>
      </c>
      <c r="T41" s="13" t="s">
        <v>49</v>
      </c>
      <c r="U41" s="13" t="s">
        <v>50</v>
      </c>
      <c r="V41" s="13" t="s">
        <v>207</v>
      </c>
      <c r="W41" s="13" t="s">
        <v>34</v>
      </c>
      <c r="X41" s="13">
        <v>1</v>
      </c>
      <c r="Y41" s="13">
        <v>1.5</v>
      </c>
      <c r="Z41" s="13" t="s">
        <v>177</v>
      </c>
      <c r="AA41" s="13">
        <v>0.13500000000000001</v>
      </c>
      <c r="AB41" s="13" t="s">
        <v>34</v>
      </c>
      <c r="AC41" s="13" t="s">
        <v>203</v>
      </c>
      <c r="AD41" s="13" t="s">
        <v>32</v>
      </c>
      <c r="AE41" s="13">
        <v>0.84240000000000004</v>
      </c>
      <c r="AF41" s="13" t="s">
        <v>210</v>
      </c>
      <c r="AG41" s="13">
        <v>2021</v>
      </c>
      <c r="AH41" s="13" t="s">
        <v>211</v>
      </c>
      <c r="AI41" s="13">
        <v>50</v>
      </c>
      <c r="AJ41" s="13">
        <v>2</v>
      </c>
      <c r="AK41" s="13">
        <v>0.5</v>
      </c>
      <c r="AL41" t="str">
        <f t="shared" si="0"/>
        <v>Arab (2021) -NFMD</v>
      </c>
    </row>
    <row r="42" spans="1:38" ht="15.6" x14ac:dyDescent="0.3">
      <c r="A42" s="11">
        <v>1.0652591170825301</v>
      </c>
      <c r="B42" s="11">
        <v>188.796680497925</v>
      </c>
      <c r="C42" s="10" t="s">
        <v>33</v>
      </c>
      <c r="D42" s="10" t="s">
        <v>35</v>
      </c>
      <c r="E42" s="10" t="s">
        <v>170</v>
      </c>
      <c r="F42" s="10">
        <v>0.2</v>
      </c>
      <c r="G42" s="10">
        <v>0.36</v>
      </c>
      <c r="H42" s="10">
        <v>0.31900000000000001</v>
      </c>
      <c r="I42" s="10">
        <v>0.39300000000000002</v>
      </c>
      <c r="J42" s="10">
        <v>1.9650000000000001</v>
      </c>
      <c r="K42" s="10">
        <v>1.29</v>
      </c>
      <c r="L42" s="10">
        <v>0</v>
      </c>
      <c r="M42" s="10" t="s">
        <v>34</v>
      </c>
      <c r="N42" s="10">
        <v>1600</v>
      </c>
      <c r="O42" s="10" t="s">
        <v>34</v>
      </c>
      <c r="P42" s="10" t="s">
        <v>34</v>
      </c>
      <c r="Q42" s="10">
        <v>0</v>
      </c>
      <c r="R42" s="10">
        <v>2.65</v>
      </c>
      <c r="S42" s="10" t="s">
        <v>34</v>
      </c>
      <c r="T42" s="10" t="s">
        <v>49</v>
      </c>
      <c r="U42" s="10" t="s">
        <v>50</v>
      </c>
      <c r="V42" s="10" t="s">
        <v>207</v>
      </c>
      <c r="W42" s="10" t="s">
        <v>34</v>
      </c>
      <c r="X42" s="10">
        <v>1</v>
      </c>
      <c r="Y42" s="10">
        <v>1.5</v>
      </c>
      <c r="Z42" s="10" t="s">
        <v>177</v>
      </c>
      <c r="AA42" s="10">
        <v>0.13500000000000001</v>
      </c>
      <c r="AB42" s="10" t="s">
        <v>34</v>
      </c>
      <c r="AC42" s="10" t="s">
        <v>203</v>
      </c>
      <c r="AD42" s="10" t="s">
        <v>32</v>
      </c>
      <c r="AE42" s="10">
        <v>0.84240000000000004</v>
      </c>
      <c r="AF42" s="10" t="s">
        <v>210</v>
      </c>
      <c r="AG42" s="10">
        <v>2021</v>
      </c>
      <c r="AH42" s="10" t="s">
        <v>211</v>
      </c>
      <c r="AI42" s="10">
        <v>50</v>
      </c>
      <c r="AJ42" s="10">
        <v>2</v>
      </c>
      <c r="AK42" s="10">
        <v>0.5</v>
      </c>
      <c r="AL42" t="str">
        <f t="shared" si="0"/>
        <v>Arab (2021) -NFMD</v>
      </c>
    </row>
    <row r="43" spans="1:38" ht="15.6" x14ac:dyDescent="0.3">
      <c r="A43" s="11">
        <v>1.08829174664107</v>
      </c>
      <c r="B43" s="11">
        <v>210.58091286307101</v>
      </c>
      <c r="C43" s="10" t="s">
        <v>33</v>
      </c>
      <c r="D43" s="10" t="s">
        <v>35</v>
      </c>
      <c r="E43" s="10" t="s">
        <v>170</v>
      </c>
      <c r="F43" s="10">
        <v>0.2</v>
      </c>
      <c r="G43" s="10">
        <v>0.36</v>
      </c>
      <c r="H43" s="10">
        <v>0.31900000000000001</v>
      </c>
      <c r="I43" s="10">
        <v>0.39300000000000002</v>
      </c>
      <c r="J43" s="10">
        <v>1.9650000000000001</v>
      </c>
      <c r="K43" s="10">
        <v>1.29</v>
      </c>
      <c r="L43" s="10">
        <v>0</v>
      </c>
      <c r="M43" s="10" t="s">
        <v>34</v>
      </c>
      <c r="N43" s="10">
        <v>1600</v>
      </c>
      <c r="O43" s="10" t="s">
        <v>34</v>
      </c>
      <c r="P43" s="10" t="s">
        <v>34</v>
      </c>
      <c r="Q43" s="10">
        <v>0</v>
      </c>
      <c r="R43" s="10">
        <v>2.65</v>
      </c>
      <c r="S43" s="10" t="s">
        <v>34</v>
      </c>
      <c r="T43" s="10" t="s">
        <v>49</v>
      </c>
      <c r="U43" s="10" t="s">
        <v>50</v>
      </c>
      <c r="V43" s="10" t="s">
        <v>207</v>
      </c>
      <c r="W43" s="10" t="s">
        <v>34</v>
      </c>
      <c r="X43" s="10">
        <v>1</v>
      </c>
      <c r="Y43" s="10">
        <v>1.5</v>
      </c>
      <c r="Z43" s="10" t="s">
        <v>177</v>
      </c>
      <c r="AA43" s="10">
        <v>0.13500000000000001</v>
      </c>
      <c r="AB43" s="10" t="s">
        <v>34</v>
      </c>
      <c r="AC43" s="10" t="s">
        <v>203</v>
      </c>
      <c r="AD43" s="10" t="s">
        <v>32</v>
      </c>
      <c r="AE43" s="10">
        <v>0.84240000000000004</v>
      </c>
      <c r="AF43" s="10" t="s">
        <v>210</v>
      </c>
      <c r="AG43" s="10">
        <v>2021</v>
      </c>
      <c r="AH43" s="10" t="s">
        <v>211</v>
      </c>
      <c r="AI43" s="10">
        <v>50</v>
      </c>
      <c r="AJ43" s="10">
        <v>2</v>
      </c>
      <c r="AK43" s="10">
        <v>0.5</v>
      </c>
      <c r="AL43" t="str">
        <f t="shared" si="0"/>
        <v>Arab (2021) -NFMD</v>
      </c>
    </row>
    <row r="44" spans="1:38" ht="15.6" x14ac:dyDescent="0.3">
      <c r="A44" s="11">
        <v>1.20345489443378</v>
      </c>
      <c r="B44" s="11">
        <v>239.62655601659799</v>
      </c>
      <c r="C44" s="10" t="s">
        <v>33</v>
      </c>
      <c r="D44" s="10" t="s">
        <v>35</v>
      </c>
      <c r="E44" s="10" t="s">
        <v>170</v>
      </c>
      <c r="F44" s="10">
        <v>0.2</v>
      </c>
      <c r="G44" s="10">
        <v>0.36</v>
      </c>
      <c r="H44" s="10">
        <v>0.31900000000000001</v>
      </c>
      <c r="I44" s="10">
        <v>0.39300000000000002</v>
      </c>
      <c r="J44" s="10">
        <v>1.9650000000000001</v>
      </c>
      <c r="K44" s="10">
        <v>1.29</v>
      </c>
      <c r="L44" s="10">
        <v>0</v>
      </c>
      <c r="M44" s="10" t="s">
        <v>34</v>
      </c>
      <c r="N44" s="10">
        <v>1600</v>
      </c>
      <c r="O44" s="10" t="s">
        <v>34</v>
      </c>
      <c r="P44" s="10" t="s">
        <v>34</v>
      </c>
      <c r="Q44" s="10">
        <v>0</v>
      </c>
      <c r="R44" s="10">
        <v>2.65</v>
      </c>
      <c r="S44" s="10" t="s">
        <v>34</v>
      </c>
      <c r="T44" s="10" t="s">
        <v>49</v>
      </c>
      <c r="U44" s="10" t="s">
        <v>50</v>
      </c>
      <c r="V44" s="10" t="s">
        <v>207</v>
      </c>
      <c r="W44" s="10" t="s">
        <v>34</v>
      </c>
      <c r="X44" s="10">
        <v>1</v>
      </c>
      <c r="Y44" s="10">
        <v>1.5</v>
      </c>
      <c r="Z44" s="10" t="s">
        <v>177</v>
      </c>
      <c r="AA44" s="10">
        <v>0.13500000000000001</v>
      </c>
      <c r="AB44" s="10" t="s">
        <v>34</v>
      </c>
      <c r="AC44" s="10" t="s">
        <v>203</v>
      </c>
      <c r="AD44" s="10" t="s">
        <v>32</v>
      </c>
      <c r="AE44" s="10">
        <v>0.84240000000000004</v>
      </c>
      <c r="AF44" s="10" t="s">
        <v>210</v>
      </c>
      <c r="AG44" s="10">
        <v>2021</v>
      </c>
      <c r="AH44" s="10" t="s">
        <v>211</v>
      </c>
      <c r="AI44" s="10">
        <v>50</v>
      </c>
      <c r="AJ44" s="10">
        <v>2</v>
      </c>
      <c r="AK44" s="10">
        <v>0.5</v>
      </c>
      <c r="AL44" t="str">
        <f t="shared" si="0"/>
        <v>Arab (2021) -NFMD</v>
      </c>
    </row>
    <row r="45" spans="1:38" ht="15.6" x14ac:dyDescent="0.3">
      <c r="A45" s="11">
        <v>1.1285988483685201</v>
      </c>
      <c r="B45" s="11">
        <v>275.93360995850702</v>
      </c>
      <c r="C45" s="10" t="s">
        <v>33</v>
      </c>
      <c r="D45" s="10" t="s">
        <v>35</v>
      </c>
      <c r="E45" s="10" t="s">
        <v>170</v>
      </c>
      <c r="F45" s="10">
        <v>0.2</v>
      </c>
      <c r="G45" s="10">
        <v>0.36</v>
      </c>
      <c r="H45" s="10">
        <v>0.31900000000000001</v>
      </c>
      <c r="I45" s="10">
        <v>0.39300000000000002</v>
      </c>
      <c r="J45" s="10">
        <v>1.9650000000000001</v>
      </c>
      <c r="K45" s="10">
        <v>1.29</v>
      </c>
      <c r="L45" s="10">
        <v>0</v>
      </c>
      <c r="M45" s="10" t="s">
        <v>34</v>
      </c>
      <c r="N45" s="10">
        <v>1600</v>
      </c>
      <c r="O45" s="10" t="s">
        <v>34</v>
      </c>
      <c r="P45" s="10" t="s">
        <v>34</v>
      </c>
      <c r="Q45" s="10">
        <v>0</v>
      </c>
      <c r="R45" s="10">
        <v>2.65</v>
      </c>
      <c r="S45" s="10" t="s">
        <v>34</v>
      </c>
      <c r="T45" s="10" t="s">
        <v>49</v>
      </c>
      <c r="U45" s="10" t="s">
        <v>50</v>
      </c>
      <c r="V45" s="10" t="s">
        <v>207</v>
      </c>
      <c r="W45" s="10" t="s">
        <v>34</v>
      </c>
      <c r="X45" s="10">
        <v>1</v>
      </c>
      <c r="Y45" s="10">
        <v>1.5</v>
      </c>
      <c r="Z45" s="10" t="s">
        <v>177</v>
      </c>
      <c r="AA45" s="10">
        <v>0.13500000000000001</v>
      </c>
      <c r="AB45" s="10" t="s">
        <v>34</v>
      </c>
      <c r="AC45" s="10" t="s">
        <v>203</v>
      </c>
      <c r="AD45" s="10" t="s">
        <v>32</v>
      </c>
      <c r="AE45" s="10">
        <v>0.84240000000000004</v>
      </c>
      <c r="AF45" s="10" t="s">
        <v>210</v>
      </c>
      <c r="AG45" s="10">
        <v>2021</v>
      </c>
      <c r="AH45" s="10" t="s">
        <v>211</v>
      </c>
      <c r="AI45" s="10">
        <v>50</v>
      </c>
      <c r="AJ45" s="10">
        <v>2</v>
      </c>
      <c r="AK45" s="10">
        <v>0.5</v>
      </c>
      <c r="AL45" t="str">
        <f t="shared" si="0"/>
        <v>Arab (2021) -NFMD</v>
      </c>
    </row>
    <row r="46" spans="1:38" ht="15.6" x14ac:dyDescent="0.3">
      <c r="A46" s="11">
        <v>1.19769673704414</v>
      </c>
      <c r="B46" s="11">
        <v>268.67219917012397</v>
      </c>
      <c r="C46" s="10" t="s">
        <v>33</v>
      </c>
      <c r="D46" s="10" t="s">
        <v>35</v>
      </c>
      <c r="E46" s="10" t="s">
        <v>170</v>
      </c>
      <c r="F46" s="10">
        <v>0.2</v>
      </c>
      <c r="G46" s="10">
        <v>0.36</v>
      </c>
      <c r="H46" s="10">
        <v>0.31900000000000001</v>
      </c>
      <c r="I46" s="10">
        <v>0.39300000000000002</v>
      </c>
      <c r="J46" s="10">
        <v>1.9650000000000001</v>
      </c>
      <c r="K46" s="10">
        <v>1.29</v>
      </c>
      <c r="L46" s="10">
        <v>0</v>
      </c>
      <c r="M46" s="10" t="s">
        <v>34</v>
      </c>
      <c r="N46" s="10">
        <v>1600</v>
      </c>
      <c r="O46" s="10" t="s">
        <v>34</v>
      </c>
      <c r="P46" s="10" t="s">
        <v>34</v>
      </c>
      <c r="Q46" s="10">
        <v>0</v>
      </c>
      <c r="R46" s="10">
        <v>2.65</v>
      </c>
      <c r="S46" s="10" t="s">
        <v>34</v>
      </c>
      <c r="T46" s="10" t="s">
        <v>49</v>
      </c>
      <c r="U46" s="10" t="s">
        <v>50</v>
      </c>
      <c r="V46" s="10" t="s">
        <v>207</v>
      </c>
      <c r="W46" s="10" t="s">
        <v>34</v>
      </c>
      <c r="X46" s="10">
        <v>1</v>
      </c>
      <c r="Y46" s="10">
        <v>1.5</v>
      </c>
      <c r="Z46" s="10" t="s">
        <v>177</v>
      </c>
      <c r="AA46" s="10">
        <v>0.13500000000000001</v>
      </c>
      <c r="AB46" s="10" t="s">
        <v>34</v>
      </c>
      <c r="AC46" s="10" t="s">
        <v>203</v>
      </c>
      <c r="AD46" s="10" t="s">
        <v>32</v>
      </c>
      <c r="AE46" s="10">
        <v>0.84240000000000004</v>
      </c>
      <c r="AF46" s="10" t="s">
        <v>210</v>
      </c>
      <c r="AG46" s="10">
        <v>2021</v>
      </c>
      <c r="AH46" s="10" t="s">
        <v>211</v>
      </c>
      <c r="AI46" s="10">
        <v>50</v>
      </c>
      <c r="AJ46" s="10">
        <v>2</v>
      </c>
      <c r="AK46" s="10">
        <v>0.5</v>
      </c>
      <c r="AL46" t="str">
        <f t="shared" si="0"/>
        <v>Arab (2021) -NFMD</v>
      </c>
    </row>
    <row r="47" spans="1:38" ht="15.6" x14ac:dyDescent="0.3">
      <c r="A47" s="11">
        <v>1.3243761996161201</v>
      </c>
      <c r="B47" s="11">
        <v>308.60995850622402</v>
      </c>
      <c r="C47" s="10" t="s">
        <v>33</v>
      </c>
      <c r="D47" s="10" t="s">
        <v>35</v>
      </c>
      <c r="E47" s="10" t="s">
        <v>170</v>
      </c>
      <c r="F47" s="10">
        <v>0.2</v>
      </c>
      <c r="G47" s="10">
        <v>0.36</v>
      </c>
      <c r="H47" s="10">
        <v>0.31900000000000001</v>
      </c>
      <c r="I47" s="10">
        <v>0.39300000000000002</v>
      </c>
      <c r="J47" s="10">
        <v>1.9650000000000001</v>
      </c>
      <c r="K47" s="10">
        <v>1.29</v>
      </c>
      <c r="L47" s="10">
        <v>0</v>
      </c>
      <c r="M47" s="10" t="s">
        <v>34</v>
      </c>
      <c r="N47" s="10">
        <v>1600</v>
      </c>
      <c r="O47" s="10" t="s">
        <v>34</v>
      </c>
      <c r="P47" s="10" t="s">
        <v>34</v>
      </c>
      <c r="Q47" s="10">
        <v>0</v>
      </c>
      <c r="R47" s="10">
        <v>2.65</v>
      </c>
      <c r="S47" s="10" t="s">
        <v>34</v>
      </c>
      <c r="T47" s="10" t="s">
        <v>49</v>
      </c>
      <c r="U47" s="10" t="s">
        <v>50</v>
      </c>
      <c r="V47" s="10" t="s">
        <v>207</v>
      </c>
      <c r="W47" s="10" t="s">
        <v>34</v>
      </c>
      <c r="X47" s="10">
        <v>1</v>
      </c>
      <c r="Y47" s="10">
        <v>1.5</v>
      </c>
      <c r="Z47" s="10" t="s">
        <v>177</v>
      </c>
      <c r="AA47" s="10">
        <v>0.13500000000000001</v>
      </c>
      <c r="AB47" s="10" t="s">
        <v>34</v>
      </c>
      <c r="AC47" s="10" t="s">
        <v>203</v>
      </c>
      <c r="AD47" s="10" t="s">
        <v>32</v>
      </c>
      <c r="AE47" s="10">
        <v>0.84240000000000004</v>
      </c>
      <c r="AF47" s="10" t="s">
        <v>210</v>
      </c>
      <c r="AG47" s="10">
        <v>2021</v>
      </c>
      <c r="AH47" s="10" t="s">
        <v>211</v>
      </c>
      <c r="AI47" s="10">
        <v>50</v>
      </c>
      <c r="AJ47" s="10">
        <v>2</v>
      </c>
      <c r="AK47" s="10">
        <v>0.5</v>
      </c>
      <c r="AL47" t="str">
        <f t="shared" si="0"/>
        <v>Arab (2021) -NFMD</v>
      </c>
    </row>
    <row r="48" spans="1:38" ht="15.6" x14ac:dyDescent="0.3">
      <c r="A48" s="11">
        <v>1.2725527831093999</v>
      </c>
      <c r="B48" s="11">
        <v>355.80912863070603</v>
      </c>
      <c r="C48" s="10" t="s">
        <v>33</v>
      </c>
      <c r="D48" s="10" t="s">
        <v>35</v>
      </c>
      <c r="E48" s="10" t="s">
        <v>170</v>
      </c>
      <c r="F48" s="10">
        <v>0.2</v>
      </c>
      <c r="G48" s="10">
        <v>0.36</v>
      </c>
      <c r="H48" s="10">
        <v>0.31900000000000001</v>
      </c>
      <c r="I48" s="10">
        <v>0.39300000000000002</v>
      </c>
      <c r="J48" s="10">
        <v>1.9650000000000001</v>
      </c>
      <c r="K48" s="10">
        <v>1.29</v>
      </c>
      <c r="L48" s="10">
        <v>0</v>
      </c>
      <c r="M48" s="10" t="s">
        <v>34</v>
      </c>
      <c r="N48" s="10">
        <v>1600</v>
      </c>
      <c r="O48" s="10" t="s">
        <v>34</v>
      </c>
      <c r="P48" s="10" t="s">
        <v>34</v>
      </c>
      <c r="Q48" s="10">
        <v>0</v>
      </c>
      <c r="R48" s="10">
        <v>2.65</v>
      </c>
      <c r="S48" s="10" t="s">
        <v>34</v>
      </c>
      <c r="T48" s="10" t="s">
        <v>49</v>
      </c>
      <c r="U48" s="10" t="s">
        <v>50</v>
      </c>
      <c r="V48" s="10" t="s">
        <v>207</v>
      </c>
      <c r="W48" s="10" t="s">
        <v>34</v>
      </c>
      <c r="X48" s="10">
        <v>1</v>
      </c>
      <c r="Y48" s="10">
        <v>1.5</v>
      </c>
      <c r="Z48" s="10" t="s">
        <v>177</v>
      </c>
      <c r="AA48" s="10">
        <v>0.13500000000000001</v>
      </c>
      <c r="AB48" s="10" t="s">
        <v>34</v>
      </c>
      <c r="AC48" s="10" t="s">
        <v>203</v>
      </c>
      <c r="AD48" s="10" t="s">
        <v>32</v>
      </c>
      <c r="AE48" s="10">
        <v>0.84240000000000004</v>
      </c>
      <c r="AF48" s="10" t="s">
        <v>210</v>
      </c>
      <c r="AG48" s="10">
        <v>2021</v>
      </c>
      <c r="AH48" s="10" t="s">
        <v>211</v>
      </c>
      <c r="AI48" s="10">
        <v>50</v>
      </c>
      <c r="AJ48" s="10">
        <v>2</v>
      </c>
      <c r="AK48" s="10">
        <v>0.5</v>
      </c>
      <c r="AL48" t="str">
        <f t="shared" si="0"/>
        <v>Arab (2021) -NFMD</v>
      </c>
    </row>
    <row r="49" spans="1:38" ht="15.6" x14ac:dyDescent="0.3">
      <c r="A49" s="11">
        <v>2.0671785028790701</v>
      </c>
      <c r="B49" s="11">
        <v>279.56431535269701</v>
      </c>
      <c r="C49" s="10" t="s">
        <v>33</v>
      </c>
      <c r="D49" s="10" t="s">
        <v>35</v>
      </c>
      <c r="E49" s="10" t="s">
        <v>170</v>
      </c>
      <c r="F49" s="10">
        <v>0.2</v>
      </c>
      <c r="G49" s="10">
        <v>0.36</v>
      </c>
      <c r="H49" s="10">
        <v>0.31900000000000001</v>
      </c>
      <c r="I49" s="10">
        <v>0.39300000000000002</v>
      </c>
      <c r="J49" s="10">
        <v>1.9650000000000001</v>
      </c>
      <c r="K49" s="10">
        <v>1.29</v>
      </c>
      <c r="L49" s="10">
        <v>0</v>
      </c>
      <c r="M49" s="10" t="s">
        <v>34</v>
      </c>
      <c r="N49" s="10">
        <v>1600</v>
      </c>
      <c r="O49" s="10" t="s">
        <v>34</v>
      </c>
      <c r="P49" s="10" t="s">
        <v>34</v>
      </c>
      <c r="Q49" s="10">
        <v>0</v>
      </c>
      <c r="R49" s="10">
        <v>2.65</v>
      </c>
      <c r="S49" s="10" t="s">
        <v>34</v>
      </c>
      <c r="T49" s="10" t="s">
        <v>49</v>
      </c>
      <c r="U49" s="10" t="s">
        <v>50</v>
      </c>
      <c r="V49" s="10" t="s">
        <v>207</v>
      </c>
      <c r="W49" s="10" t="s">
        <v>34</v>
      </c>
      <c r="X49" s="10">
        <v>2</v>
      </c>
      <c r="Y49" s="10">
        <v>1.5</v>
      </c>
      <c r="Z49" s="10" t="s">
        <v>177</v>
      </c>
      <c r="AA49" s="10">
        <v>0.27</v>
      </c>
      <c r="AB49" s="10" t="s">
        <v>34</v>
      </c>
      <c r="AC49" s="10" t="s">
        <v>203</v>
      </c>
      <c r="AD49" s="10" t="s">
        <v>32</v>
      </c>
      <c r="AE49" s="10">
        <v>0.84240000000000004</v>
      </c>
      <c r="AF49" s="10" t="s">
        <v>210</v>
      </c>
      <c r="AG49" s="10">
        <v>2021</v>
      </c>
      <c r="AH49" s="10" t="s">
        <v>211</v>
      </c>
      <c r="AI49" s="10">
        <v>50</v>
      </c>
      <c r="AJ49" s="10">
        <v>2</v>
      </c>
      <c r="AK49" s="10">
        <v>0.5</v>
      </c>
      <c r="AL49" t="str">
        <f t="shared" si="0"/>
        <v>Arab (2021) -NFMD</v>
      </c>
    </row>
    <row r="50" spans="1:38" ht="15.6" x14ac:dyDescent="0.3">
      <c r="A50" s="11">
        <v>2.17082533589251</v>
      </c>
      <c r="B50" s="11">
        <v>312.24066390041497</v>
      </c>
      <c r="C50" s="10" t="s">
        <v>33</v>
      </c>
      <c r="D50" s="10" t="s">
        <v>35</v>
      </c>
      <c r="E50" s="10" t="s">
        <v>170</v>
      </c>
      <c r="F50" s="10">
        <v>0.2</v>
      </c>
      <c r="G50" s="10">
        <v>0.36</v>
      </c>
      <c r="H50" s="10">
        <v>0.31900000000000001</v>
      </c>
      <c r="I50" s="10">
        <v>0.39300000000000002</v>
      </c>
      <c r="J50" s="10">
        <v>1.9650000000000001</v>
      </c>
      <c r="K50" s="10">
        <v>1.29</v>
      </c>
      <c r="L50" s="10">
        <v>0</v>
      </c>
      <c r="M50" s="10" t="s">
        <v>34</v>
      </c>
      <c r="N50" s="10">
        <v>1600</v>
      </c>
      <c r="O50" s="10" t="s">
        <v>34</v>
      </c>
      <c r="P50" s="10" t="s">
        <v>34</v>
      </c>
      <c r="Q50" s="10">
        <v>0</v>
      </c>
      <c r="R50" s="10">
        <v>2.65</v>
      </c>
      <c r="S50" s="10" t="s">
        <v>34</v>
      </c>
      <c r="T50" s="10" t="s">
        <v>49</v>
      </c>
      <c r="U50" s="10" t="s">
        <v>50</v>
      </c>
      <c r="V50" s="10" t="s">
        <v>207</v>
      </c>
      <c r="W50" s="10" t="s">
        <v>34</v>
      </c>
      <c r="X50" s="10">
        <v>2</v>
      </c>
      <c r="Y50" s="10">
        <v>1.5</v>
      </c>
      <c r="Z50" s="10" t="s">
        <v>177</v>
      </c>
      <c r="AA50" s="10">
        <v>0.27</v>
      </c>
      <c r="AB50" s="10" t="s">
        <v>34</v>
      </c>
      <c r="AC50" s="10" t="s">
        <v>203</v>
      </c>
      <c r="AD50" s="10" t="s">
        <v>32</v>
      </c>
      <c r="AE50" s="10">
        <v>0.84240000000000004</v>
      </c>
      <c r="AF50" s="10" t="s">
        <v>210</v>
      </c>
      <c r="AG50" s="10">
        <v>2021</v>
      </c>
      <c r="AH50" s="10" t="s">
        <v>211</v>
      </c>
      <c r="AI50" s="10">
        <v>50</v>
      </c>
      <c r="AJ50" s="10">
        <v>2</v>
      </c>
      <c r="AK50" s="10">
        <v>0.5</v>
      </c>
      <c r="AL50" t="str">
        <f t="shared" si="0"/>
        <v>Arab (2021) -NFMD</v>
      </c>
    </row>
    <row r="51" spans="1:38" ht="15.6" x14ac:dyDescent="0.3">
      <c r="A51" s="11">
        <v>2.2341650671785001</v>
      </c>
      <c r="B51" s="11">
        <v>301.34854771784302</v>
      </c>
      <c r="C51" s="10" t="s">
        <v>33</v>
      </c>
      <c r="D51" s="10" t="s">
        <v>35</v>
      </c>
      <c r="E51" s="10" t="s">
        <v>170</v>
      </c>
      <c r="F51" s="10">
        <v>0.2</v>
      </c>
      <c r="G51" s="10">
        <v>0.36</v>
      </c>
      <c r="H51" s="10">
        <v>0.31900000000000001</v>
      </c>
      <c r="I51" s="10">
        <v>0.39300000000000002</v>
      </c>
      <c r="J51" s="10">
        <v>1.9650000000000001</v>
      </c>
      <c r="K51" s="10">
        <v>1.29</v>
      </c>
      <c r="L51" s="10">
        <v>0</v>
      </c>
      <c r="M51" s="10" t="s">
        <v>34</v>
      </c>
      <c r="N51" s="10">
        <v>1600</v>
      </c>
      <c r="O51" s="10" t="s">
        <v>34</v>
      </c>
      <c r="P51" s="10" t="s">
        <v>34</v>
      </c>
      <c r="Q51" s="10">
        <v>0</v>
      </c>
      <c r="R51" s="10">
        <v>2.65</v>
      </c>
      <c r="S51" s="10" t="s">
        <v>34</v>
      </c>
      <c r="T51" s="10" t="s">
        <v>49</v>
      </c>
      <c r="U51" s="10" t="s">
        <v>50</v>
      </c>
      <c r="V51" s="10" t="s">
        <v>207</v>
      </c>
      <c r="W51" s="10" t="s">
        <v>34</v>
      </c>
      <c r="X51" s="10">
        <v>2</v>
      </c>
      <c r="Y51" s="10">
        <v>1.5</v>
      </c>
      <c r="Z51" s="10" t="s">
        <v>177</v>
      </c>
      <c r="AA51" s="10">
        <v>0.27</v>
      </c>
      <c r="AB51" s="10" t="s">
        <v>34</v>
      </c>
      <c r="AC51" s="10" t="s">
        <v>203</v>
      </c>
      <c r="AD51" s="10" t="s">
        <v>32</v>
      </c>
      <c r="AE51" s="10">
        <v>0.84240000000000004</v>
      </c>
      <c r="AF51" s="10" t="s">
        <v>210</v>
      </c>
      <c r="AG51" s="10">
        <v>2021</v>
      </c>
      <c r="AH51" s="10" t="s">
        <v>211</v>
      </c>
      <c r="AI51" s="10">
        <v>50</v>
      </c>
      <c r="AJ51" s="10">
        <v>2</v>
      </c>
      <c r="AK51" s="10">
        <v>0.5</v>
      </c>
      <c r="AL51" t="str">
        <f t="shared" si="0"/>
        <v>Arab (2021) -NFMD</v>
      </c>
    </row>
    <row r="52" spans="1:38" ht="15.6" x14ac:dyDescent="0.3">
      <c r="A52" s="11">
        <v>2.3378119001919302</v>
      </c>
      <c r="B52" s="11">
        <v>315.87136929460502</v>
      </c>
      <c r="C52" s="10" t="s">
        <v>33</v>
      </c>
      <c r="D52" s="10" t="s">
        <v>35</v>
      </c>
      <c r="E52" s="10" t="s">
        <v>170</v>
      </c>
      <c r="F52" s="10">
        <v>0.2</v>
      </c>
      <c r="G52" s="10">
        <v>0.36</v>
      </c>
      <c r="H52" s="10">
        <v>0.31900000000000001</v>
      </c>
      <c r="I52" s="10">
        <v>0.39300000000000002</v>
      </c>
      <c r="J52" s="10">
        <v>1.9650000000000001</v>
      </c>
      <c r="K52" s="10">
        <v>1.29</v>
      </c>
      <c r="L52" s="10">
        <v>0</v>
      </c>
      <c r="M52" s="10" t="s">
        <v>34</v>
      </c>
      <c r="N52" s="10">
        <v>1600</v>
      </c>
      <c r="O52" s="10" t="s">
        <v>34</v>
      </c>
      <c r="P52" s="10" t="s">
        <v>34</v>
      </c>
      <c r="Q52" s="10">
        <v>0</v>
      </c>
      <c r="R52" s="10">
        <v>2.65</v>
      </c>
      <c r="S52" s="10" t="s">
        <v>34</v>
      </c>
      <c r="T52" s="10" t="s">
        <v>49</v>
      </c>
      <c r="U52" s="10" t="s">
        <v>50</v>
      </c>
      <c r="V52" s="10" t="s">
        <v>207</v>
      </c>
      <c r="W52" s="10" t="s">
        <v>34</v>
      </c>
      <c r="X52" s="10">
        <v>2</v>
      </c>
      <c r="Y52" s="10">
        <v>1.5</v>
      </c>
      <c r="Z52" s="10" t="s">
        <v>177</v>
      </c>
      <c r="AA52" s="10">
        <v>0.27</v>
      </c>
      <c r="AB52" s="10" t="s">
        <v>34</v>
      </c>
      <c r="AC52" s="10" t="s">
        <v>203</v>
      </c>
      <c r="AD52" s="10" t="s">
        <v>32</v>
      </c>
      <c r="AE52" s="10">
        <v>0.84240000000000004</v>
      </c>
      <c r="AF52" s="10" t="s">
        <v>210</v>
      </c>
      <c r="AG52" s="10">
        <v>2021</v>
      </c>
      <c r="AH52" s="10" t="s">
        <v>211</v>
      </c>
      <c r="AI52" s="10">
        <v>50</v>
      </c>
      <c r="AJ52" s="10">
        <v>2</v>
      </c>
      <c r="AK52" s="10">
        <v>0.5</v>
      </c>
      <c r="AL52" t="str">
        <f t="shared" si="0"/>
        <v>Arab (2021) -NFMD</v>
      </c>
    </row>
    <row r="53" spans="1:38" ht="15.6" x14ac:dyDescent="0.3">
      <c r="A53" s="11">
        <v>2.4587332053742799</v>
      </c>
      <c r="B53" s="11">
        <v>406.639004149377</v>
      </c>
      <c r="C53" s="10" t="s">
        <v>33</v>
      </c>
      <c r="D53" s="10" t="s">
        <v>35</v>
      </c>
      <c r="E53" s="10" t="s">
        <v>170</v>
      </c>
      <c r="F53" s="10">
        <v>0.2</v>
      </c>
      <c r="G53" s="10">
        <v>0.36</v>
      </c>
      <c r="H53" s="10">
        <v>0.31900000000000001</v>
      </c>
      <c r="I53" s="10">
        <v>0.39300000000000002</v>
      </c>
      <c r="J53" s="10">
        <v>1.9650000000000001</v>
      </c>
      <c r="K53" s="10">
        <v>1.29</v>
      </c>
      <c r="L53" s="10">
        <v>0</v>
      </c>
      <c r="M53" s="10" t="s">
        <v>34</v>
      </c>
      <c r="N53" s="10">
        <v>1600</v>
      </c>
      <c r="O53" s="10" t="s">
        <v>34</v>
      </c>
      <c r="P53" s="10" t="s">
        <v>34</v>
      </c>
      <c r="Q53" s="10">
        <v>0</v>
      </c>
      <c r="R53" s="10">
        <v>2.65</v>
      </c>
      <c r="S53" s="10" t="s">
        <v>34</v>
      </c>
      <c r="T53" s="10" t="s">
        <v>49</v>
      </c>
      <c r="U53" s="10" t="s">
        <v>50</v>
      </c>
      <c r="V53" s="10" t="s">
        <v>207</v>
      </c>
      <c r="W53" s="10" t="s">
        <v>34</v>
      </c>
      <c r="X53" s="10">
        <v>2</v>
      </c>
      <c r="Y53" s="10">
        <v>1.5</v>
      </c>
      <c r="Z53" s="10" t="s">
        <v>177</v>
      </c>
      <c r="AA53" s="10">
        <v>0.27</v>
      </c>
      <c r="AB53" s="10" t="s">
        <v>34</v>
      </c>
      <c r="AC53" s="10" t="s">
        <v>203</v>
      </c>
      <c r="AD53" s="10" t="s">
        <v>32</v>
      </c>
      <c r="AE53" s="10">
        <v>0.84240000000000004</v>
      </c>
      <c r="AF53" s="10" t="s">
        <v>210</v>
      </c>
      <c r="AG53" s="10">
        <v>2021</v>
      </c>
      <c r="AH53" s="10" t="s">
        <v>211</v>
      </c>
      <c r="AI53" s="10">
        <v>50</v>
      </c>
      <c r="AJ53" s="10">
        <v>2</v>
      </c>
      <c r="AK53" s="10">
        <v>0.5</v>
      </c>
      <c r="AL53" t="str">
        <f t="shared" si="0"/>
        <v>Arab (2021) -NFMD</v>
      </c>
    </row>
    <row r="54" spans="1:38" ht="15.6" x14ac:dyDescent="0.3">
      <c r="A54" s="11">
        <v>2.4414587332053701</v>
      </c>
      <c r="B54" s="11">
        <v>435.68464730290498</v>
      </c>
      <c r="C54" s="10" t="s">
        <v>33</v>
      </c>
      <c r="D54" s="10" t="s">
        <v>35</v>
      </c>
      <c r="E54" s="10" t="s">
        <v>170</v>
      </c>
      <c r="F54" s="10">
        <v>0.2</v>
      </c>
      <c r="G54" s="10">
        <v>0.36</v>
      </c>
      <c r="H54" s="10">
        <v>0.31900000000000001</v>
      </c>
      <c r="I54" s="10">
        <v>0.39300000000000002</v>
      </c>
      <c r="J54" s="10">
        <v>1.9650000000000001</v>
      </c>
      <c r="K54" s="10">
        <v>1.29</v>
      </c>
      <c r="L54" s="10">
        <v>0</v>
      </c>
      <c r="M54" s="10" t="s">
        <v>34</v>
      </c>
      <c r="N54" s="10">
        <v>1600</v>
      </c>
      <c r="O54" s="10" t="s">
        <v>34</v>
      </c>
      <c r="P54" s="10" t="s">
        <v>34</v>
      </c>
      <c r="Q54" s="10">
        <v>0</v>
      </c>
      <c r="R54" s="10">
        <v>2.65</v>
      </c>
      <c r="S54" s="10" t="s">
        <v>34</v>
      </c>
      <c r="T54" s="10" t="s">
        <v>49</v>
      </c>
      <c r="U54" s="10" t="s">
        <v>50</v>
      </c>
      <c r="V54" s="10" t="s">
        <v>207</v>
      </c>
      <c r="W54" s="10" t="s">
        <v>34</v>
      </c>
      <c r="X54" s="10">
        <v>2</v>
      </c>
      <c r="Y54" s="10">
        <v>1.5</v>
      </c>
      <c r="Z54" s="10" t="s">
        <v>177</v>
      </c>
      <c r="AA54" s="10">
        <v>0.27</v>
      </c>
      <c r="AB54" s="10" t="s">
        <v>34</v>
      </c>
      <c r="AC54" s="10" t="s">
        <v>203</v>
      </c>
      <c r="AD54" s="10" t="s">
        <v>32</v>
      </c>
      <c r="AE54" s="10">
        <v>0.84240000000000004</v>
      </c>
      <c r="AF54" s="10" t="s">
        <v>210</v>
      </c>
      <c r="AG54" s="10">
        <v>2021</v>
      </c>
      <c r="AH54" s="10" t="s">
        <v>211</v>
      </c>
      <c r="AI54" s="10">
        <v>50</v>
      </c>
      <c r="AJ54" s="10">
        <v>2</v>
      </c>
      <c r="AK54" s="10">
        <v>0.5</v>
      </c>
      <c r="AL54" t="str">
        <f t="shared" si="0"/>
        <v>Arab (2021) -NFMD</v>
      </c>
    </row>
    <row r="55" spans="1:38" ht="15.6" x14ac:dyDescent="0.3">
      <c r="A55" s="11">
        <v>2.4529750479846402</v>
      </c>
      <c r="B55" s="11">
        <v>475.62240663900297</v>
      </c>
      <c r="C55" s="10" t="s">
        <v>33</v>
      </c>
      <c r="D55" s="10" t="s">
        <v>35</v>
      </c>
      <c r="E55" s="10" t="s">
        <v>170</v>
      </c>
      <c r="F55" s="10">
        <v>0.2</v>
      </c>
      <c r="G55" s="10">
        <v>0.36</v>
      </c>
      <c r="H55" s="10">
        <v>0.31900000000000001</v>
      </c>
      <c r="I55" s="10">
        <v>0.39300000000000002</v>
      </c>
      <c r="J55" s="10">
        <v>1.9650000000000001</v>
      </c>
      <c r="K55" s="10">
        <v>1.29</v>
      </c>
      <c r="L55" s="10">
        <v>0</v>
      </c>
      <c r="M55" s="10" t="s">
        <v>34</v>
      </c>
      <c r="N55" s="10">
        <v>1600</v>
      </c>
      <c r="O55" s="10" t="s">
        <v>34</v>
      </c>
      <c r="P55" s="10" t="s">
        <v>34</v>
      </c>
      <c r="Q55" s="10">
        <v>0</v>
      </c>
      <c r="R55" s="10">
        <v>2.65</v>
      </c>
      <c r="S55" s="10" t="s">
        <v>34</v>
      </c>
      <c r="T55" s="10" t="s">
        <v>49</v>
      </c>
      <c r="U55" s="10" t="s">
        <v>50</v>
      </c>
      <c r="V55" s="10" t="s">
        <v>207</v>
      </c>
      <c r="W55" s="10" t="s">
        <v>34</v>
      </c>
      <c r="X55" s="10">
        <v>2</v>
      </c>
      <c r="Y55" s="10">
        <v>1.5</v>
      </c>
      <c r="Z55" s="10" t="s">
        <v>177</v>
      </c>
      <c r="AA55" s="10">
        <v>0.27</v>
      </c>
      <c r="AB55" s="10" t="s">
        <v>34</v>
      </c>
      <c r="AC55" s="10" t="s">
        <v>203</v>
      </c>
      <c r="AD55" s="10" t="s">
        <v>32</v>
      </c>
      <c r="AE55" s="10">
        <v>0.84240000000000004</v>
      </c>
      <c r="AF55" s="10" t="s">
        <v>210</v>
      </c>
      <c r="AG55" s="10">
        <v>2021</v>
      </c>
      <c r="AH55" s="10" t="s">
        <v>211</v>
      </c>
      <c r="AI55" s="10">
        <v>50</v>
      </c>
      <c r="AJ55" s="10">
        <v>2</v>
      </c>
      <c r="AK55" s="10">
        <v>0.5</v>
      </c>
      <c r="AL55" t="str">
        <f t="shared" si="0"/>
        <v>Arab (2021) -NFMD</v>
      </c>
    </row>
    <row r="56" spans="1:38" ht="15.6" x14ac:dyDescent="0.3">
      <c r="A56" s="11">
        <v>2.4932821497120901</v>
      </c>
      <c r="B56" s="11">
        <v>501.03734439834</v>
      </c>
      <c r="C56" s="10" t="s">
        <v>33</v>
      </c>
      <c r="D56" s="10" t="s">
        <v>35</v>
      </c>
      <c r="E56" s="10" t="s">
        <v>170</v>
      </c>
      <c r="F56" s="10">
        <v>0.2</v>
      </c>
      <c r="G56" s="10">
        <v>0.36</v>
      </c>
      <c r="H56" s="10">
        <v>0.31900000000000001</v>
      </c>
      <c r="I56" s="10">
        <v>0.39300000000000002</v>
      </c>
      <c r="J56" s="10">
        <v>1.9650000000000001</v>
      </c>
      <c r="K56" s="10">
        <v>1.29</v>
      </c>
      <c r="L56" s="10">
        <v>0</v>
      </c>
      <c r="M56" s="10" t="s">
        <v>34</v>
      </c>
      <c r="N56" s="10">
        <v>1600</v>
      </c>
      <c r="O56" s="10" t="s">
        <v>34</v>
      </c>
      <c r="P56" s="10" t="s">
        <v>34</v>
      </c>
      <c r="Q56" s="10">
        <v>0</v>
      </c>
      <c r="R56" s="10">
        <v>2.65</v>
      </c>
      <c r="S56" s="10" t="s">
        <v>34</v>
      </c>
      <c r="T56" s="10" t="s">
        <v>49</v>
      </c>
      <c r="U56" s="10" t="s">
        <v>50</v>
      </c>
      <c r="V56" s="10" t="s">
        <v>207</v>
      </c>
      <c r="W56" s="10" t="s">
        <v>34</v>
      </c>
      <c r="X56" s="10">
        <v>2</v>
      </c>
      <c r="Y56" s="10">
        <v>1.5</v>
      </c>
      <c r="Z56" s="10" t="s">
        <v>177</v>
      </c>
      <c r="AA56" s="10">
        <v>0.27</v>
      </c>
      <c r="AB56" s="10" t="s">
        <v>34</v>
      </c>
      <c r="AC56" s="10" t="s">
        <v>203</v>
      </c>
      <c r="AD56" s="10" t="s">
        <v>32</v>
      </c>
      <c r="AE56" s="10">
        <v>0.84240000000000004</v>
      </c>
      <c r="AF56" s="10" t="s">
        <v>210</v>
      </c>
      <c r="AG56" s="10">
        <v>2021</v>
      </c>
      <c r="AH56" s="10" t="s">
        <v>211</v>
      </c>
      <c r="AI56" s="10">
        <v>50</v>
      </c>
      <c r="AJ56" s="10">
        <v>2</v>
      </c>
      <c r="AK56" s="10">
        <v>0.5</v>
      </c>
      <c r="AL56" t="str">
        <f t="shared" si="0"/>
        <v>Arab (2021) -NFMD</v>
      </c>
    </row>
    <row r="57" spans="1:38" ht="15.6" x14ac:dyDescent="0.3">
      <c r="A57" s="11">
        <v>3.2706333973128499</v>
      </c>
      <c r="B57" s="11">
        <v>504.66804979253197</v>
      </c>
      <c r="C57" s="10" t="s">
        <v>33</v>
      </c>
      <c r="D57" s="10" t="s">
        <v>35</v>
      </c>
      <c r="E57" s="10" t="s">
        <v>170</v>
      </c>
      <c r="F57" s="10">
        <v>0.2</v>
      </c>
      <c r="G57" s="10">
        <v>0.36</v>
      </c>
      <c r="H57" s="10">
        <v>0.31900000000000001</v>
      </c>
      <c r="I57" s="10">
        <v>0.39300000000000002</v>
      </c>
      <c r="J57" s="10">
        <v>1.9650000000000001</v>
      </c>
      <c r="K57" s="10">
        <v>1.29</v>
      </c>
      <c r="L57" s="10">
        <v>0</v>
      </c>
      <c r="M57" s="10" t="s">
        <v>34</v>
      </c>
      <c r="N57" s="10">
        <v>1600</v>
      </c>
      <c r="O57" s="10" t="s">
        <v>34</v>
      </c>
      <c r="P57" s="10" t="s">
        <v>34</v>
      </c>
      <c r="Q57" s="10">
        <v>0</v>
      </c>
      <c r="R57" s="10">
        <v>2.65</v>
      </c>
      <c r="S57" s="10" t="s">
        <v>34</v>
      </c>
      <c r="T57" s="10" t="s">
        <v>49</v>
      </c>
      <c r="U57" s="10" t="s">
        <v>50</v>
      </c>
      <c r="V57" s="10" t="s">
        <v>207</v>
      </c>
      <c r="W57" s="10" t="s">
        <v>34</v>
      </c>
      <c r="X57" s="10">
        <v>3</v>
      </c>
      <c r="Y57" s="10">
        <v>1.5</v>
      </c>
      <c r="Z57" s="10" t="s">
        <v>177</v>
      </c>
      <c r="AA57" s="10">
        <v>0.40500000000000003</v>
      </c>
      <c r="AB57" s="10" t="s">
        <v>34</v>
      </c>
      <c r="AC57" s="10" t="s">
        <v>203</v>
      </c>
      <c r="AD57" s="10" t="s">
        <v>32</v>
      </c>
      <c r="AE57" s="10">
        <v>0.84240000000000004</v>
      </c>
      <c r="AF57" s="10" t="s">
        <v>210</v>
      </c>
      <c r="AG57" s="10">
        <v>2021</v>
      </c>
      <c r="AH57" s="10" t="s">
        <v>211</v>
      </c>
      <c r="AI57" s="10">
        <v>50</v>
      </c>
      <c r="AJ57" s="10">
        <v>2</v>
      </c>
      <c r="AK57" s="10">
        <v>0.5</v>
      </c>
      <c r="AL57" t="str">
        <f t="shared" si="0"/>
        <v>Arab (2021) -NFMD</v>
      </c>
    </row>
    <row r="58" spans="1:38" ht="15.6" x14ac:dyDescent="0.3">
      <c r="A58" s="11">
        <v>3.16122840690978</v>
      </c>
      <c r="B58" s="11">
        <v>508.29875518672202</v>
      </c>
      <c r="C58" s="10" t="s">
        <v>33</v>
      </c>
      <c r="D58" s="10" t="s">
        <v>35</v>
      </c>
      <c r="E58" s="10" t="s">
        <v>170</v>
      </c>
      <c r="F58" s="10">
        <v>0.2</v>
      </c>
      <c r="G58" s="10">
        <v>0.36</v>
      </c>
      <c r="H58" s="10">
        <v>0.31900000000000001</v>
      </c>
      <c r="I58" s="10">
        <v>0.39300000000000002</v>
      </c>
      <c r="J58" s="10">
        <v>1.9650000000000001</v>
      </c>
      <c r="K58" s="10">
        <v>1.29</v>
      </c>
      <c r="L58" s="10">
        <v>0</v>
      </c>
      <c r="M58" s="10" t="s">
        <v>34</v>
      </c>
      <c r="N58" s="10">
        <v>1600</v>
      </c>
      <c r="O58" s="10" t="s">
        <v>34</v>
      </c>
      <c r="P58" s="10" t="s">
        <v>34</v>
      </c>
      <c r="Q58" s="10">
        <v>0</v>
      </c>
      <c r="R58" s="10">
        <v>2.65</v>
      </c>
      <c r="S58" s="10" t="s">
        <v>34</v>
      </c>
      <c r="T58" s="10" t="s">
        <v>49</v>
      </c>
      <c r="U58" s="10" t="s">
        <v>50</v>
      </c>
      <c r="V58" s="10" t="s">
        <v>207</v>
      </c>
      <c r="W58" s="10" t="s">
        <v>34</v>
      </c>
      <c r="X58" s="10">
        <v>3</v>
      </c>
      <c r="Y58" s="10">
        <v>1.5</v>
      </c>
      <c r="Z58" s="10" t="s">
        <v>177</v>
      </c>
      <c r="AA58" s="10">
        <v>0.40500000000000003</v>
      </c>
      <c r="AB58" s="10" t="s">
        <v>34</v>
      </c>
      <c r="AC58" s="10" t="s">
        <v>203</v>
      </c>
      <c r="AD58" s="10" t="s">
        <v>32</v>
      </c>
      <c r="AE58" s="10">
        <v>0.84240000000000004</v>
      </c>
      <c r="AF58" s="10" t="s">
        <v>210</v>
      </c>
      <c r="AG58" s="10">
        <v>2021</v>
      </c>
      <c r="AH58" s="10" t="s">
        <v>211</v>
      </c>
      <c r="AI58" s="10">
        <v>50</v>
      </c>
      <c r="AJ58" s="10">
        <v>2</v>
      </c>
      <c r="AK58" s="10">
        <v>0.5</v>
      </c>
      <c r="AL58" t="str">
        <f t="shared" si="0"/>
        <v>Arab (2021) -NFMD</v>
      </c>
    </row>
    <row r="59" spans="1:38" ht="15.6" x14ac:dyDescent="0.3">
      <c r="A59" s="11">
        <v>3.1036468330134301</v>
      </c>
      <c r="B59" s="11">
        <v>809.64730290456396</v>
      </c>
      <c r="C59" s="10" t="s">
        <v>33</v>
      </c>
      <c r="D59" s="10" t="s">
        <v>35</v>
      </c>
      <c r="E59" s="10" t="s">
        <v>170</v>
      </c>
      <c r="F59" s="10">
        <v>0.2</v>
      </c>
      <c r="G59" s="10">
        <v>0.36</v>
      </c>
      <c r="H59" s="10">
        <v>0.31900000000000001</v>
      </c>
      <c r="I59" s="10">
        <v>0.39300000000000002</v>
      </c>
      <c r="J59" s="10">
        <v>1.9650000000000001</v>
      </c>
      <c r="K59" s="10">
        <v>1.29</v>
      </c>
      <c r="L59" s="10">
        <v>0</v>
      </c>
      <c r="M59" s="10" t="s">
        <v>34</v>
      </c>
      <c r="N59" s="10">
        <v>1600</v>
      </c>
      <c r="O59" s="10" t="s">
        <v>34</v>
      </c>
      <c r="P59" s="10" t="s">
        <v>34</v>
      </c>
      <c r="Q59" s="10">
        <v>0</v>
      </c>
      <c r="R59" s="10">
        <v>2.65</v>
      </c>
      <c r="S59" s="10" t="s">
        <v>34</v>
      </c>
      <c r="T59" s="10" t="s">
        <v>49</v>
      </c>
      <c r="U59" s="10" t="s">
        <v>50</v>
      </c>
      <c r="V59" s="10" t="s">
        <v>207</v>
      </c>
      <c r="W59" s="10" t="s">
        <v>34</v>
      </c>
      <c r="X59" s="10">
        <v>3</v>
      </c>
      <c r="Y59" s="10">
        <v>1.5</v>
      </c>
      <c r="Z59" s="10" t="s">
        <v>177</v>
      </c>
      <c r="AA59" s="10">
        <v>0.40500000000000003</v>
      </c>
      <c r="AB59" s="10" t="s">
        <v>34</v>
      </c>
      <c r="AC59" s="10" t="s">
        <v>203</v>
      </c>
      <c r="AD59" s="10" t="s">
        <v>32</v>
      </c>
      <c r="AE59" s="10">
        <v>0.84240000000000004</v>
      </c>
      <c r="AF59" s="10" t="s">
        <v>210</v>
      </c>
      <c r="AG59" s="10">
        <v>2021</v>
      </c>
      <c r="AH59" s="10" t="s">
        <v>211</v>
      </c>
      <c r="AI59" s="10">
        <v>50</v>
      </c>
      <c r="AJ59" s="10">
        <v>2</v>
      </c>
      <c r="AK59" s="10">
        <v>0.5</v>
      </c>
      <c r="AL59" t="str">
        <f t="shared" si="0"/>
        <v>Arab (2021) -NFMD</v>
      </c>
    </row>
    <row r="60" spans="1:38" ht="15.6" x14ac:dyDescent="0.3">
      <c r="A60" s="11">
        <v>4.1401151631477902</v>
      </c>
      <c r="B60" s="11">
        <v>1110.9958506224</v>
      </c>
      <c r="C60" s="10" t="s">
        <v>33</v>
      </c>
      <c r="D60" s="10" t="s">
        <v>35</v>
      </c>
      <c r="E60" s="10" t="s">
        <v>170</v>
      </c>
      <c r="F60" s="10">
        <v>0.2</v>
      </c>
      <c r="G60" s="10">
        <v>0.36</v>
      </c>
      <c r="H60" s="10">
        <v>0.31900000000000001</v>
      </c>
      <c r="I60" s="10">
        <v>0.39300000000000002</v>
      </c>
      <c r="J60" s="10">
        <v>1.9650000000000001</v>
      </c>
      <c r="K60" s="10">
        <v>1.29</v>
      </c>
      <c r="L60" s="10">
        <v>0</v>
      </c>
      <c r="M60" s="10" t="s">
        <v>34</v>
      </c>
      <c r="N60" s="10">
        <v>1600</v>
      </c>
      <c r="O60" s="10" t="s">
        <v>34</v>
      </c>
      <c r="P60" s="10" t="s">
        <v>34</v>
      </c>
      <c r="Q60" s="10">
        <v>0</v>
      </c>
      <c r="R60" s="10">
        <v>2.65</v>
      </c>
      <c r="S60" s="10" t="s">
        <v>34</v>
      </c>
      <c r="T60" s="10" t="s">
        <v>49</v>
      </c>
      <c r="U60" s="10" t="s">
        <v>50</v>
      </c>
      <c r="V60" s="10" t="s">
        <v>207</v>
      </c>
      <c r="W60" s="10" t="s">
        <v>34</v>
      </c>
      <c r="X60" s="10">
        <v>3</v>
      </c>
      <c r="Y60" s="10">
        <v>1.5</v>
      </c>
      <c r="Z60" s="10" t="s">
        <v>177</v>
      </c>
      <c r="AA60" s="10">
        <v>0.40500000000000003</v>
      </c>
      <c r="AB60" s="10" t="s">
        <v>34</v>
      </c>
      <c r="AC60" s="10" t="s">
        <v>203</v>
      </c>
      <c r="AD60" s="10" t="s">
        <v>32</v>
      </c>
      <c r="AE60" s="10">
        <v>0.84240000000000004</v>
      </c>
      <c r="AF60" s="10" t="s">
        <v>210</v>
      </c>
      <c r="AG60" s="10">
        <v>2021</v>
      </c>
      <c r="AH60" s="10" t="s">
        <v>211</v>
      </c>
      <c r="AI60" s="10">
        <v>50</v>
      </c>
      <c r="AJ60" s="10">
        <v>2</v>
      </c>
      <c r="AK60" s="10">
        <v>0.5</v>
      </c>
      <c r="AL60" t="str">
        <f t="shared" si="0"/>
        <v>Arab (2021) -NFMD</v>
      </c>
    </row>
    <row r="61" spans="1:38" ht="15.6" x14ac:dyDescent="0.3">
      <c r="A61" s="11">
        <v>4.1228406909788804</v>
      </c>
      <c r="B61" s="11">
        <v>1089.2116182572599</v>
      </c>
      <c r="C61" s="10" t="s">
        <v>33</v>
      </c>
      <c r="D61" s="10" t="s">
        <v>35</v>
      </c>
      <c r="E61" s="10" t="s">
        <v>170</v>
      </c>
      <c r="F61" s="10">
        <v>0.2</v>
      </c>
      <c r="G61" s="10">
        <v>0.36</v>
      </c>
      <c r="H61" s="10">
        <v>0.31900000000000001</v>
      </c>
      <c r="I61" s="10">
        <v>0.39300000000000002</v>
      </c>
      <c r="J61" s="10">
        <v>1.9650000000000001</v>
      </c>
      <c r="K61" s="10">
        <v>1.29</v>
      </c>
      <c r="L61" s="10">
        <v>0</v>
      </c>
      <c r="M61" s="10" t="s">
        <v>34</v>
      </c>
      <c r="N61" s="10">
        <v>1600</v>
      </c>
      <c r="O61" s="10" t="s">
        <v>34</v>
      </c>
      <c r="P61" s="10" t="s">
        <v>34</v>
      </c>
      <c r="Q61" s="10">
        <v>0</v>
      </c>
      <c r="R61" s="10">
        <v>2.65</v>
      </c>
      <c r="S61" s="10" t="s">
        <v>34</v>
      </c>
      <c r="T61" s="10" t="s">
        <v>49</v>
      </c>
      <c r="U61" s="10" t="s">
        <v>50</v>
      </c>
      <c r="V61" s="10" t="s">
        <v>207</v>
      </c>
      <c r="W61" s="10" t="s">
        <v>34</v>
      </c>
      <c r="X61" s="10">
        <v>3</v>
      </c>
      <c r="Y61" s="10">
        <v>1.5</v>
      </c>
      <c r="Z61" s="10" t="s">
        <v>177</v>
      </c>
      <c r="AA61" s="10">
        <v>0.40500000000000003</v>
      </c>
      <c r="AB61" s="10" t="s">
        <v>34</v>
      </c>
      <c r="AC61" s="10" t="s">
        <v>203</v>
      </c>
      <c r="AD61" s="10" t="s">
        <v>32</v>
      </c>
      <c r="AE61" s="10">
        <v>0.84240000000000004</v>
      </c>
      <c r="AF61" s="10" t="s">
        <v>210</v>
      </c>
      <c r="AG61" s="10">
        <v>2021</v>
      </c>
      <c r="AH61" s="10" t="s">
        <v>211</v>
      </c>
      <c r="AI61" s="10">
        <v>50</v>
      </c>
      <c r="AJ61" s="10">
        <v>2</v>
      </c>
      <c r="AK61" s="10">
        <v>0.5</v>
      </c>
      <c r="AL61" t="str">
        <f t="shared" si="0"/>
        <v>Arab (2021) -NFMD</v>
      </c>
    </row>
    <row r="62" spans="1:38" ht="15.6" x14ac:dyDescent="0.3">
      <c r="A62" s="11">
        <v>4.1285988483685196</v>
      </c>
      <c r="B62" s="11">
        <v>1143.6721991701199</v>
      </c>
      <c r="C62" s="10" t="s">
        <v>33</v>
      </c>
      <c r="D62" s="10" t="s">
        <v>35</v>
      </c>
      <c r="E62" s="10" t="s">
        <v>170</v>
      </c>
      <c r="F62" s="10">
        <v>0.2</v>
      </c>
      <c r="G62" s="10">
        <v>0.36</v>
      </c>
      <c r="H62" s="10">
        <v>0.31900000000000001</v>
      </c>
      <c r="I62" s="10">
        <v>0.39300000000000002</v>
      </c>
      <c r="J62" s="10">
        <v>1.9650000000000001</v>
      </c>
      <c r="K62" s="10">
        <v>1.29</v>
      </c>
      <c r="L62" s="10">
        <v>0</v>
      </c>
      <c r="M62" s="10" t="s">
        <v>34</v>
      </c>
      <c r="N62" s="10">
        <v>1600</v>
      </c>
      <c r="O62" s="10" t="s">
        <v>34</v>
      </c>
      <c r="P62" s="10" t="s">
        <v>34</v>
      </c>
      <c r="Q62" s="10">
        <v>0</v>
      </c>
      <c r="R62" s="10">
        <v>2.65</v>
      </c>
      <c r="S62" s="10" t="s">
        <v>34</v>
      </c>
      <c r="T62" s="10" t="s">
        <v>49</v>
      </c>
      <c r="U62" s="10" t="s">
        <v>50</v>
      </c>
      <c r="V62" s="10" t="s">
        <v>207</v>
      </c>
      <c r="W62" s="10" t="s">
        <v>34</v>
      </c>
      <c r="X62" s="10">
        <v>3</v>
      </c>
      <c r="Y62" s="10">
        <v>1.5</v>
      </c>
      <c r="Z62" s="10" t="s">
        <v>177</v>
      </c>
      <c r="AA62" s="10">
        <v>0.40500000000000003</v>
      </c>
      <c r="AB62" s="10" t="s">
        <v>34</v>
      </c>
      <c r="AC62" s="10" t="s">
        <v>203</v>
      </c>
      <c r="AD62" s="10" t="s">
        <v>32</v>
      </c>
      <c r="AE62" s="10">
        <v>0.84240000000000004</v>
      </c>
      <c r="AF62" s="10" t="s">
        <v>210</v>
      </c>
      <c r="AG62" s="10">
        <v>2021</v>
      </c>
      <c r="AH62" s="10" t="s">
        <v>211</v>
      </c>
      <c r="AI62" s="10">
        <v>50</v>
      </c>
      <c r="AJ62" s="10">
        <v>2</v>
      </c>
      <c r="AK62" s="10">
        <v>0.5</v>
      </c>
      <c r="AL62" t="str">
        <f t="shared" si="0"/>
        <v>Arab (2021) -NFMD</v>
      </c>
    </row>
    <row r="63" spans="1:38" ht="15.6" x14ac:dyDescent="0.3">
      <c r="A63" s="11">
        <v>4.2495201535508604</v>
      </c>
      <c r="B63" s="11">
        <v>1274.37759336099</v>
      </c>
      <c r="C63" s="10" t="s">
        <v>33</v>
      </c>
      <c r="D63" s="10" t="s">
        <v>35</v>
      </c>
      <c r="E63" s="10" t="s">
        <v>170</v>
      </c>
      <c r="F63" s="10">
        <v>0.2</v>
      </c>
      <c r="G63" s="10">
        <v>0.36</v>
      </c>
      <c r="H63" s="10">
        <v>0.31900000000000001</v>
      </c>
      <c r="I63" s="10">
        <v>0.39300000000000002</v>
      </c>
      <c r="J63" s="10">
        <v>1.9650000000000001</v>
      </c>
      <c r="K63" s="10">
        <v>1.29</v>
      </c>
      <c r="L63" s="10">
        <v>0</v>
      </c>
      <c r="M63" s="10" t="s">
        <v>34</v>
      </c>
      <c r="N63" s="10">
        <v>1600</v>
      </c>
      <c r="O63" s="10" t="s">
        <v>34</v>
      </c>
      <c r="P63" s="10" t="s">
        <v>34</v>
      </c>
      <c r="Q63" s="10">
        <v>0</v>
      </c>
      <c r="R63" s="10">
        <v>2.65</v>
      </c>
      <c r="S63" s="10" t="s">
        <v>34</v>
      </c>
      <c r="T63" s="10" t="s">
        <v>49</v>
      </c>
      <c r="U63" s="10" t="s">
        <v>50</v>
      </c>
      <c r="V63" s="10" t="s">
        <v>207</v>
      </c>
      <c r="W63" s="10" t="s">
        <v>34</v>
      </c>
      <c r="X63" s="10">
        <v>3</v>
      </c>
      <c r="Y63" s="10">
        <v>1.5</v>
      </c>
      <c r="Z63" s="10" t="s">
        <v>177</v>
      </c>
      <c r="AA63" s="10">
        <v>0.40500000000000003</v>
      </c>
      <c r="AB63" s="10" t="s">
        <v>34</v>
      </c>
      <c r="AC63" s="10" t="s">
        <v>203</v>
      </c>
      <c r="AD63" s="10" t="s">
        <v>32</v>
      </c>
      <c r="AE63" s="10">
        <v>0.84240000000000004</v>
      </c>
      <c r="AF63" s="10" t="s">
        <v>210</v>
      </c>
      <c r="AG63" s="10">
        <v>2021</v>
      </c>
      <c r="AH63" s="10" t="s">
        <v>211</v>
      </c>
      <c r="AI63" s="10">
        <v>50</v>
      </c>
      <c r="AJ63" s="10">
        <v>2</v>
      </c>
      <c r="AK63" s="10">
        <v>0.5</v>
      </c>
      <c r="AL63" t="str">
        <f t="shared" si="0"/>
        <v>Arab (2021) -NFMD</v>
      </c>
    </row>
    <row r="64" spans="1:38" ht="15.6" x14ac:dyDescent="0.3">
      <c r="A64" s="11">
        <v>4.2322456813819596</v>
      </c>
      <c r="B64" s="11">
        <v>1238.07053941908</v>
      </c>
      <c r="C64" s="10" t="s">
        <v>33</v>
      </c>
      <c r="D64" s="10" t="s">
        <v>35</v>
      </c>
      <c r="E64" s="10" t="s">
        <v>170</v>
      </c>
      <c r="F64" s="10">
        <v>0.2</v>
      </c>
      <c r="G64" s="10">
        <v>0.36</v>
      </c>
      <c r="H64" s="10">
        <v>0.31900000000000001</v>
      </c>
      <c r="I64" s="10">
        <v>0.39300000000000002</v>
      </c>
      <c r="J64" s="10">
        <v>1.9650000000000001</v>
      </c>
      <c r="K64" s="10">
        <v>1.29</v>
      </c>
      <c r="L64" s="10">
        <v>0</v>
      </c>
      <c r="M64" s="10" t="s">
        <v>34</v>
      </c>
      <c r="N64" s="10">
        <v>1600</v>
      </c>
      <c r="O64" s="10" t="s">
        <v>34</v>
      </c>
      <c r="P64" s="10" t="s">
        <v>34</v>
      </c>
      <c r="Q64" s="10">
        <v>0</v>
      </c>
      <c r="R64" s="10">
        <v>2.65</v>
      </c>
      <c r="S64" s="10" t="s">
        <v>34</v>
      </c>
      <c r="T64" s="10" t="s">
        <v>49</v>
      </c>
      <c r="U64" s="10" t="s">
        <v>50</v>
      </c>
      <c r="V64" s="10" t="s">
        <v>207</v>
      </c>
      <c r="W64" s="10" t="s">
        <v>34</v>
      </c>
      <c r="X64" s="10">
        <v>3</v>
      </c>
      <c r="Y64" s="10">
        <v>1.5</v>
      </c>
      <c r="Z64" s="10" t="s">
        <v>177</v>
      </c>
      <c r="AA64" s="10">
        <v>0.40500000000000003</v>
      </c>
      <c r="AB64" s="10" t="s">
        <v>34</v>
      </c>
      <c r="AC64" s="10" t="s">
        <v>203</v>
      </c>
      <c r="AD64" s="10" t="s">
        <v>32</v>
      </c>
      <c r="AE64" s="10">
        <v>0.84240000000000004</v>
      </c>
      <c r="AF64" s="10" t="s">
        <v>210</v>
      </c>
      <c r="AG64" s="10">
        <v>2021</v>
      </c>
      <c r="AH64" s="10" t="s">
        <v>211</v>
      </c>
      <c r="AI64" s="10">
        <v>50</v>
      </c>
      <c r="AJ64" s="10">
        <v>2</v>
      </c>
      <c r="AK64" s="10">
        <v>0.5</v>
      </c>
      <c r="AL64" t="str">
        <f t="shared" si="0"/>
        <v>Arab (2021) -NFMD</v>
      </c>
    </row>
    <row r="65" spans="1:38" ht="15.6" x14ac:dyDescent="0.3">
      <c r="A65" s="11">
        <v>4.1631477927063303</v>
      </c>
      <c r="B65" s="11">
        <v>1292.53112033195</v>
      </c>
      <c r="C65" s="10" t="s">
        <v>33</v>
      </c>
      <c r="D65" s="10" t="s">
        <v>35</v>
      </c>
      <c r="E65" s="10" t="s">
        <v>170</v>
      </c>
      <c r="F65" s="10">
        <v>0.2</v>
      </c>
      <c r="G65" s="10">
        <v>0.36</v>
      </c>
      <c r="H65" s="10">
        <v>0.31900000000000001</v>
      </c>
      <c r="I65" s="10">
        <v>0.39300000000000002</v>
      </c>
      <c r="J65" s="10">
        <v>1.9650000000000001</v>
      </c>
      <c r="K65" s="10">
        <v>1.29</v>
      </c>
      <c r="L65" s="10">
        <v>0</v>
      </c>
      <c r="M65" s="10" t="s">
        <v>34</v>
      </c>
      <c r="N65" s="10">
        <v>1600</v>
      </c>
      <c r="O65" s="10" t="s">
        <v>34</v>
      </c>
      <c r="P65" s="10" t="s">
        <v>34</v>
      </c>
      <c r="Q65" s="10">
        <v>0</v>
      </c>
      <c r="R65" s="10">
        <v>2.65</v>
      </c>
      <c r="S65" s="10" t="s">
        <v>34</v>
      </c>
      <c r="T65" s="10" t="s">
        <v>49</v>
      </c>
      <c r="U65" s="10" t="s">
        <v>50</v>
      </c>
      <c r="V65" s="10" t="s">
        <v>207</v>
      </c>
      <c r="W65" s="10" t="s">
        <v>34</v>
      </c>
      <c r="X65" s="10">
        <v>3</v>
      </c>
      <c r="Y65" s="10">
        <v>1.5</v>
      </c>
      <c r="Z65" s="10" t="s">
        <v>177</v>
      </c>
      <c r="AA65" s="10">
        <v>0.40500000000000003</v>
      </c>
      <c r="AB65" s="10" t="s">
        <v>34</v>
      </c>
      <c r="AC65" s="10" t="s">
        <v>203</v>
      </c>
      <c r="AD65" s="10" t="s">
        <v>32</v>
      </c>
      <c r="AE65" s="10">
        <v>0.84240000000000004</v>
      </c>
      <c r="AF65" s="10" t="s">
        <v>210</v>
      </c>
      <c r="AG65" s="10">
        <v>2021</v>
      </c>
      <c r="AH65" s="10" t="s">
        <v>211</v>
      </c>
      <c r="AI65" s="10">
        <v>50</v>
      </c>
      <c r="AJ65" s="10">
        <v>2</v>
      </c>
      <c r="AK65" s="10">
        <v>0.5</v>
      </c>
      <c r="AL65" t="str">
        <f t="shared" si="0"/>
        <v>Arab (2021) -NFMD</v>
      </c>
    </row>
    <row r="66" spans="1:38" ht="15.6" x14ac:dyDescent="0.3">
      <c r="A66" s="11">
        <v>4.2898272552782997</v>
      </c>
      <c r="B66" s="11">
        <v>1405.08298755186</v>
      </c>
      <c r="C66" s="10" t="s">
        <v>33</v>
      </c>
      <c r="D66" s="10" t="s">
        <v>35</v>
      </c>
      <c r="E66" s="10" t="s">
        <v>170</v>
      </c>
      <c r="F66" s="10">
        <v>0.2</v>
      </c>
      <c r="G66" s="10">
        <v>0.36</v>
      </c>
      <c r="H66" s="10">
        <v>0.31900000000000001</v>
      </c>
      <c r="I66" s="10">
        <v>0.39300000000000002</v>
      </c>
      <c r="J66" s="10">
        <v>1.9650000000000001</v>
      </c>
      <c r="K66" s="10">
        <v>1.29</v>
      </c>
      <c r="L66" s="10">
        <v>0</v>
      </c>
      <c r="M66" s="10" t="s">
        <v>34</v>
      </c>
      <c r="N66" s="10">
        <v>1600</v>
      </c>
      <c r="O66" s="10" t="s">
        <v>34</v>
      </c>
      <c r="P66" s="10" t="s">
        <v>34</v>
      </c>
      <c r="Q66" s="10">
        <v>0</v>
      </c>
      <c r="R66" s="10">
        <v>2.65</v>
      </c>
      <c r="S66" s="10" t="s">
        <v>34</v>
      </c>
      <c r="T66" s="10" t="s">
        <v>49</v>
      </c>
      <c r="U66" s="10" t="s">
        <v>50</v>
      </c>
      <c r="V66" s="10" t="s">
        <v>207</v>
      </c>
      <c r="W66" s="10" t="s">
        <v>34</v>
      </c>
      <c r="X66" s="10">
        <v>3</v>
      </c>
      <c r="Y66" s="10">
        <v>1.5</v>
      </c>
      <c r="Z66" s="10" t="s">
        <v>177</v>
      </c>
      <c r="AA66" s="10">
        <v>0.40500000000000003</v>
      </c>
      <c r="AB66" s="10" t="s">
        <v>34</v>
      </c>
      <c r="AC66" s="10" t="s">
        <v>203</v>
      </c>
      <c r="AD66" s="10" t="s">
        <v>32</v>
      </c>
      <c r="AE66" s="10">
        <v>0.84240000000000004</v>
      </c>
      <c r="AF66" s="10" t="s">
        <v>210</v>
      </c>
      <c r="AG66" s="10">
        <v>2021</v>
      </c>
      <c r="AH66" s="10" t="s">
        <v>211</v>
      </c>
      <c r="AI66" s="10">
        <v>50</v>
      </c>
      <c r="AJ66" s="10">
        <v>2</v>
      </c>
      <c r="AK66" s="10">
        <v>0.5</v>
      </c>
      <c r="AL66" t="str">
        <f t="shared" si="0"/>
        <v>Arab (2021) -NFMD</v>
      </c>
    </row>
    <row r="67" spans="1:38" ht="15.6" x14ac:dyDescent="0.3">
      <c r="A67" s="11">
        <v>4.3416506717850201</v>
      </c>
      <c r="B67" s="11">
        <v>1445.0207468879601</v>
      </c>
      <c r="C67" s="10" t="s">
        <v>33</v>
      </c>
      <c r="D67" s="10" t="s">
        <v>35</v>
      </c>
      <c r="E67" s="10" t="s">
        <v>170</v>
      </c>
      <c r="F67" s="10">
        <v>0.2</v>
      </c>
      <c r="G67" s="10">
        <v>0.36</v>
      </c>
      <c r="H67" s="10">
        <v>0.31900000000000001</v>
      </c>
      <c r="I67" s="10">
        <v>0.39300000000000002</v>
      </c>
      <c r="J67" s="10">
        <v>1.9650000000000001</v>
      </c>
      <c r="K67" s="10">
        <v>1.29</v>
      </c>
      <c r="L67" s="10">
        <v>0</v>
      </c>
      <c r="M67" s="10" t="s">
        <v>34</v>
      </c>
      <c r="N67" s="10">
        <v>1600</v>
      </c>
      <c r="O67" s="10" t="s">
        <v>34</v>
      </c>
      <c r="P67" s="10" t="s">
        <v>34</v>
      </c>
      <c r="Q67" s="10">
        <v>0</v>
      </c>
      <c r="R67" s="10">
        <v>2.65</v>
      </c>
      <c r="S67" s="10" t="s">
        <v>34</v>
      </c>
      <c r="T67" s="10" t="s">
        <v>49</v>
      </c>
      <c r="U67" s="10" t="s">
        <v>50</v>
      </c>
      <c r="V67" s="10" t="s">
        <v>207</v>
      </c>
      <c r="W67" s="10" t="s">
        <v>34</v>
      </c>
      <c r="X67" s="10">
        <v>3</v>
      </c>
      <c r="Y67" s="10">
        <v>1.5</v>
      </c>
      <c r="Z67" s="10" t="s">
        <v>177</v>
      </c>
      <c r="AA67" s="10">
        <v>0.40500000000000003</v>
      </c>
      <c r="AB67" s="10" t="s">
        <v>34</v>
      </c>
      <c r="AC67" s="10" t="s">
        <v>203</v>
      </c>
      <c r="AD67" s="10" t="s">
        <v>32</v>
      </c>
      <c r="AE67" s="10">
        <v>0.84240000000000004</v>
      </c>
      <c r="AF67" s="10" t="s">
        <v>210</v>
      </c>
      <c r="AG67" s="10">
        <v>2021</v>
      </c>
      <c r="AH67" s="10" t="s">
        <v>211</v>
      </c>
      <c r="AI67" s="10">
        <v>50</v>
      </c>
      <c r="AJ67" s="10">
        <v>2</v>
      </c>
      <c r="AK67" s="10">
        <v>0.5</v>
      </c>
      <c r="AL67" t="str">
        <f t="shared" ref="AL67:AL130" si="3">CONCATENATE(AF67," (",AG67,") -",AC67)</f>
        <v>Arab (2021) -NFMD</v>
      </c>
    </row>
    <row r="68" spans="1:38" ht="15.6" x14ac:dyDescent="0.3">
      <c r="A68" s="11">
        <v>4.3416506717850298</v>
      </c>
      <c r="B68" s="11">
        <v>1543.0497925311199</v>
      </c>
      <c r="C68" s="10" t="s">
        <v>33</v>
      </c>
      <c r="D68" s="10" t="s">
        <v>35</v>
      </c>
      <c r="E68" s="10" t="s">
        <v>170</v>
      </c>
      <c r="F68" s="10">
        <v>0.2</v>
      </c>
      <c r="G68" s="10">
        <v>0.36</v>
      </c>
      <c r="H68" s="10">
        <v>0.31900000000000001</v>
      </c>
      <c r="I68" s="10">
        <v>0.39300000000000002</v>
      </c>
      <c r="J68" s="10">
        <v>1.9650000000000001</v>
      </c>
      <c r="K68" s="10">
        <v>1.29</v>
      </c>
      <c r="L68" s="10">
        <v>0</v>
      </c>
      <c r="M68" s="10" t="s">
        <v>34</v>
      </c>
      <c r="N68" s="10">
        <v>1600</v>
      </c>
      <c r="O68" s="10" t="s">
        <v>34</v>
      </c>
      <c r="P68" s="10" t="s">
        <v>34</v>
      </c>
      <c r="Q68" s="10">
        <v>0</v>
      </c>
      <c r="R68" s="10">
        <v>2.65</v>
      </c>
      <c r="S68" s="10" t="s">
        <v>34</v>
      </c>
      <c r="T68" s="10" t="s">
        <v>49</v>
      </c>
      <c r="U68" s="10" t="s">
        <v>50</v>
      </c>
      <c r="V68" s="10" t="s">
        <v>207</v>
      </c>
      <c r="W68" s="10" t="s">
        <v>34</v>
      </c>
      <c r="X68" s="10">
        <v>3</v>
      </c>
      <c r="Y68" s="10">
        <v>1.5</v>
      </c>
      <c r="Z68" s="10" t="s">
        <v>177</v>
      </c>
      <c r="AA68" s="10">
        <v>0.40500000000000003</v>
      </c>
      <c r="AB68" s="10" t="s">
        <v>34</v>
      </c>
      <c r="AC68" s="10" t="s">
        <v>203</v>
      </c>
      <c r="AD68" s="10" t="s">
        <v>32</v>
      </c>
      <c r="AE68" s="10">
        <v>0.84240000000000004</v>
      </c>
      <c r="AF68" s="10" t="s">
        <v>210</v>
      </c>
      <c r="AG68" s="10">
        <v>2021</v>
      </c>
      <c r="AH68" s="10" t="s">
        <v>211</v>
      </c>
      <c r="AI68" s="10">
        <v>50</v>
      </c>
      <c r="AJ68" s="10">
        <v>2</v>
      </c>
      <c r="AK68" s="10">
        <v>0.5</v>
      </c>
      <c r="AL68" t="str">
        <f t="shared" si="3"/>
        <v>Arab (2021) -NFMD</v>
      </c>
    </row>
    <row r="69" spans="1:38" ht="15.6" x14ac:dyDescent="0.3">
      <c r="A69" s="11">
        <v>4.3761996161228396</v>
      </c>
      <c r="B69" s="11">
        <v>1699.17012448132</v>
      </c>
      <c r="C69" s="10" t="s">
        <v>33</v>
      </c>
      <c r="D69" s="10" t="s">
        <v>35</v>
      </c>
      <c r="E69" s="10" t="s">
        <v>170</v>
      </c>
      <c r="F69" s="10">
        <v>0.2</v>
      </c>
      <c r="G69" s="10">
        <v>0.36</v>
      </c>
      <c r="H69" s="10">
        <v>0.31900000000000001</v>
      </c>
      <c r="I69" s="10">
        <v>0.39300000000000002</v>
      </c>
      <c r="J69" s="10">
        <v>1.9650000000000001</v>
      </c>
      <c r="K69" s="10">
        <v>1.29</v>
      </c>
      <c r="L69" s="10">
        <v>0</v>
      </c>
      <c r="M69" s="10" t="s">
        <v>34</v>
      </c>
      <c r="N69" s="10">
        <v>1600</v>
      </c>
      <c r="O69" s="10" t="s">
        <v>34</v>
      </c>
      <c r="P69" s="10" t="s">
        <v>34</v>
      </c>
      <c r="Q69" s="10">
        <v>0</v>
      </c>
      <c r="R69" s="10">
        <v>2.65</v>
      </c>
      <c r="S69" s="10" t="s">
        <v>34</v>
      </c>
      <c r="T69" s="10" t="s">
        <v>49</v>
      </c>
      <c r="U69" s="10" t="s">
        <v>50</v>
      </c>
      <c r="V69" s="10" t="s">
        <v>207</v>
      </c>
      <c r="W69" s="10" t="s">
        <v>34</v>
      </c>
      <c r="X69" s="10">
        <v>3</v>
      </c>
      <c r="Y69" s="10">
        <v>1.5</v>
      </c>
      <c r="Z69" s="10" t="s">
        <v>177</v>
      </c>
      <c r="AA69" s="10">
        <v>0.40500000000000003</v>
      </c>
      <c r="AB69" s="10" t="s">
        <v>34</v>
      </c>
      <c r="AC69" s="10" t="s">
        <v>203</v>
      </c>
      <c r="AD69" s="10" t="s">
        <v>32</v>
      </c>
      <c r="AE69" s="10">
        <v>0.84240000000000004</v>
      </c>
      <c r="AF69" s="10" t="s">
        <v>210</v>
      </c>
      <c r="AG69" s="10">
        <v>2021</v>
      </c>
      <c r="AH69" s="10" t="s">
        <v>211</v>
      </c>
      <c r="AI69" s="10">
        <v>50</v>
      </c>
      <c r="AJ69" s="10">
        <v>2</v>
      </c>
      <c r="AK69" s="10">
        <v>0.5</v>
      </c>
      <c r="AL69" t="str">
        <f t="shared" si="3"/>
        <v>Arab (2021) -NFMD</v>
      </c>
    </row>
    <row r="70" spans="1:38" ht="15.6" x14ac:dyDescent="0.3">
      <c r="A70" s="11">
        <v>4.4222648752399198</v>
      </c>
      <c r="B70" s="11">
        <v>1742.7385892116099</v>
      </c>
      <c r="C70" s="10" t="s">
        <v>33</v>
      </c>
      <c r="D70" s="10" t="s">
        <v>35</v>
      </c>
      <c r="E70" s="10" t="s">
        <v>170</v>
      </c>
      <c r="F70" s="10">
        <v>0.2</v>
      </c>
      <c r="G70" s="10">
        <v>0.36</v>
      </c>
      <c r="H70" s="10">
        <v>0.31900000000000001</v>
      </c>
      <c r="I70" s="10">
        <v>0.39300000000000002</v>
      </c>
      <c r="J70" s="10">
        <v>1.9650000000000001</v>
      </c>
      <c r="K70" s="10">
        <v>1.29</v>
      </c>
      <c r="L70" s="10">
        <v>0</v>
      </c>
      <c r="M70" s="10" t="s">
        <v>34</v>
      </c>
      <c r="N70" s="10">
        <v>1600</v>
      </c>
      <c r="O70" s="10" t="s">
        <v>34</v>
      </c>
      <c r="P70" s="10" t="s">
        <v>34</v>
      </c>
      <c r="Q70" s="10">
        <v>0</v>
      </c>
      <c r="R70" s="10">
        <v>2.65</v>
      </c>
      <c r="S70" s="10" t="s">
        <v>34</v>
      </c>
      <c r="T70" s="10" t="s">
        <v>49</v>
      </c>
      <c r="U70" s="10" t="s">
        <v>50</v>
      </c>
      <c r="V70" s="10" t="s">
        <v>207</v>
      </c>
      <c r="W70" s="10" t="s">
        <v>34</v>
      </c>
      <c r="X70" s="10">
        <v>3</v>
      </c>
      <c r="Y70" s="10">
        <v>1.5</v>
      </c>
      <c r="Z70" s="10" t="s">
        <v>177</v>
      </c>
      <c r="AA70" s="10">
        <v>0.40500000000000003</v>
      </c>
      <c r="AB70" s="10" t="s">
        <v>34</v>
      </c>
      <c r="AC70" s="10" t="s">
        <v>203</v>
      </c>
      <c r="AD70" s="10" t="s">
        <v>32</v>
      </c>
      <c r="AE70" s="10">
        <v>0.84240000000000004</v>
      </c>
      <c r="AF70" s="10" t="s">
        <v>210</v>
      </c>
      <c r="AG70" s="10">
        <v>2021</v>
      </c>
      <c r="AH70" s="10" t="s">
        <v>211</v>
      </c>
      <c r="AI70" s="10">
        <v>50</v>
      </c>
      <c r="AJ70" s="10">
        <v>2</v>
      </c>
      <c r="AK70" s="10">
        <v>0.5</v>
      </c>
      <c r="AL70" t="str">
        <f t="shared" si="3"/>
        <v>Arab (2021) -NFMD</v>
      </c>
    </row>
    <row r="71" spans="1:38" ht="15.6" x14ac:dyDescent="0.3">
      <c r="A71" s="11">
        <v>4.0652591170825296</v>
      </c>
      <c r="B71" s="11">
        <v>1731.84647302904</v>
      </c>
      <c r="C71" s="10" t="s">
        <v>33</v>
      </c>
      <c r="D71" s="10" t="s">
        <v>35</v>
      </c>
      <c r="E71" s="10" t="s">
        <v>170</v>
      </c>
      <c r="F71" s="10">
        <v>0.2</v>
      </c>
      <c r="G71" s="10">
        <v>0.36</v>
      </c>
      <c r="H71" s="10">
        <v>0.31900000000000001</v>
      </c>
      <c r="I71" s="10">
        <v>0.39300000000000002</v>
      </c>
      <c r="J71" s="10">
        <v>1.9650000000000001</v>
      </c>
      <c r="K71" s="10">
        <v>1.29</v>
      </c>
      <c r="L71" s="10">
        <v>0</v>
      </c>
      <c r="M71" s="10" t="s">
        <v>34</v>
      </c>
      <c r="N71" s="10">
        <v>1600</v>
      </c>
      <c r="O71" s="10" t="s">
        <v>34</v>
      </c>
      <c r="P71" s="10" t="s">
        <v>34</v>
      </c>
      <c r="Q71" s="10">
        <v>0</v>
      </c>
      <c r="R71" s="10">
        <v>2.65</v>
      </c>
      <c r="S71" s="10" t="s">
        <v>34</v>
      </c>
      <c r="T71" s="10" t="s">
        <v>49</v>
      </c>
      <c r="U71" s="10" t="s">
        <v>50</v>
      </c>
      <c r="V71" s="10" t="s">
        <v>207</v>
      </c>
      <c r="W71" s="10" t="s">
        <v>34</v>
      </c>
      <c r="X71" s="10">
        <v>3</v>
      </c>
      <c r="Y71" s="10">
        <v>1.5</v>
      </c>
      <c r="Z71" s="10" t="s">
        <v>177</v>
      </c>
      <c r="AA71" s="10">
        <v>0.40500000000000003</v>
      </c>
      <c r="AB71" s="10" t="s">
        <v>34</v>
      </c>
      <c r="AC71" s="10" t="s">
        <v>203</v>
      </c>
      <c r="AD71" s="10" t="s">
        <v>32</v>
      </c>
      <c r="AE71" s="10">
        <v>0.84240000000000004</v>
      </c>
      <c r="AF71" s="10" t="s">
        <v>210</v>
      </c>
      <c r="AG71" s="10">
        <v>2021</v>
      </c>
      <c r="AH71" s="10" t="s">
        <v>211</v>
      </c>
      <c r="AI71" s="10">
        <v>50</v>
      </c>
      <c r="AJ71" s="10">
        <v>2</v>
      </c>
      <c r="AK71" s="10">
        <v>0.5</v>
      </c>
      <c r="AL71" t="str">
        <f t="shared" si="3"/>
        <v>Arab (2021) -NFMD</v>
      </c>
    </row>
    <row r="72" spans="1:38" ht="15.6" x14ac:dyDescent="0.3">
      <c r="A72" s="11">
        <v>4.3128598848368496</v>
      </c>
      <c r="B72" s="11">
        <v>1931.53526970954</v>
      </c>
      <c r="C72" s="10" t="s">
        <v>33</v>
      </c>
      <c r="D72" s="10" t="s">
        <v>35</v>
      </c>
      <c r="E72" s="10" t="s">
        <v>170</v>
      </c>
      <c r="F72" s="10">
        <v>0.2</v>
      </c>
      <c r="G72" s="10">
        <v>0.36</v>
      </c>
      <c r="H72" s="10">
        <v>0.31900000000000001</v>
      </c>
      <c r="I72" s="10">
        <v>0.39300000000000002</v>
      </c>
      <c r="J72" s="10">
        <v>1.9650000000000001</v>
      </c>
      <c r="K72" s="10">
        <v>1.29</v>
      </c>
      <c r="L72" s="10">
        <v>0</v>
      </c>
      <c r="M72" s="10" t="s">
        <v>34</v>
      </c>
      <c r="N72" s="10">
        <v>1600</v>
      </c>
      <c r="O72" s="10" t="s">
        <v>34</v>
      </c>
      <c r="P72" s="10" t="s">
        <v>34</v>
      </c>
      <c r="Q72" s="10">
        <v>0</v>
      </c>
      <c r="R72" s="10">
        <v>2.65</v>
      </c>
      <c r="S72" s="10" t="s">
        <v>34</v>
      </c>
      <c r="T72" s="10" t="s">
        <v>49</v>
      </c>
      <c r="U72" s="10" t="s">
        <v>50</v>
      </c>
      <c r="V72" s="10" t="s">
        <v>207</v>
      </c>
      <c r="W72" s="10" t="s">
        <v>34</v>
      </c>
      <c r="X72" s="10">
        <v>3</v>
      </c>
      <c r="Y72" s="10">
        <v>1.5</v>
      </c>
      <c r="Z72" s="10" t="s">
        <v>177</v>
      </c>
      <c r="AA72" s="10">
        <v>0.40500000000000003</v>
      </c>
      <c r="AB72" s="10" t="s">
        <v>34</v>
      </c>
      <c r="AC72" s="10" t="s">
        <v>203</v>
      </c>
      <c r="AD72" s="10" t="s">
        <v>32</v>
      </c>
      <c r="AE72" s="10">
        <v>0.84240000000000004</v>
      </c>
      <c r="AF72" s="10" t="s">
        <v>210</v>
      </c>
      <c r="AG72" s="10">
        <v>2021</v>
      </c>
      <c r="AH72" s="10" t="s">
        <v>211</v>
      </c>
      <c r="AI72" s="10">
        <v>50</v>
      </c>
      <c r="AJ72" s="10">
        <v>2</v>
      </c>
      <c r="AK72" s="10">
        <v>0.5</v>
      </c>
      <c r="AL72" t="str">
        <f t="shared" si="3"/>
        <v>Arab (2021) -NFMD</v>
      </c>
    </row>
    <row r="73" spans="1:38" ht="15.6" x14ac:dyDescent="0.3">
      <c r="A73" s="11">
        <v>4.3358925143953897</v>
      </c>
      <c r="B73" s="11">
        <v>2058.6099585062202</v>
      </c>
      <c r="C73" s="10" t="s">
        <v>33</v>
      </c>
      <c r="D73" s="10" t="s">
        <v>35</v>
      </c>
      <c r="E73" s="10" t="s">
        <v>170</v>
      </c>
      <c r="F73" s="10">
        <v>0.2</v>
      </c>
      <c r="G73" s="10">
        <v>0.36</v>
      </c>
      <c r="H73" s="10">
        <v>0.31900000000000001</v>
      </c>
      <c r="I73" s="10">
        <v>0.39300000000000002</v>
      </c>
      <c r="J73" s="10">
        <v>1.9650000000000001</v>
      </c>
      <c r="K73" s="10">
        <v>1.29</v>
      </c>
      <c r="L73" s="10">
        <v>0</v>
      </c>
      <c r="M73" s="10" t="s">
        <v>34</v>
      </c>
      <c r="N73" s="10">
        <v>1600</v>
      </c>
      <c r="O73" s="10" t="s">
        <v>34</v>
      </c>
      <c r="P73" s="10" t="s">
        <v>34</v>
      </c>
      <c r="Q73" s="10">
        <v>0</v>
      </c>
      <c r="R73" s="10">
        <v>2.65</v>
      </c>
      <c r="S73" s="10" t="s">
        <v>34</v>
      </c>
      <c r="T73" s="10" t="s">
        <v>49</v>
      </c>
      <c r="U73" s="10" t="s">
        <v>50</v>
      </c>
      <c r="V73" s="10" t="s">
        <v>207</v>
      </c>
      <c r="W73" s="10" t="s">
        <v>34</v>
      </c>
      <c r="X73" s="10">
        <v>3</v>
      </c>
      <c r="Y73" s="10">
        <v>1.5</v>
      </c>
      <c r="Z73" s="10" t="s">
        <v>177</v>
      </c>
      <c r="AA73" s="10">
        <v>0.40500000000000003</v>
      </c>
      <c r="AB73" s="10" t="s">
        <v>34</v>
      </c>
      <c r="AC73" s="10" t="s">
        <v>203</v>
      </c>
      <c r="AD73" s="10" t="s">
        <v>32</v>
      </c>
      <c r="AE73" s="10">
        <v>0.84240000000000004</v>
      </c>
      <c r="AF73" s="10" t="s">
        <v>210</v>
      </c>
      <c r="AG73" s="10">
        <v>2021</v>
      </c>
      <c r="AH73" s="10" t="s">
        <v>211</v>
      </c>
      <c r="AI73" s="10">
        <v>50</v>
      </c>
      <c r="AJ73" s="10">
        <v>2</v>
      </c>
      <c r="AK73" s="10">
        <v>0.5</v>
      </c>
      <c r="AL73" t="str">
        <f t="shared" si="3"/>
        <v>Arab (2021) -NFMD</v>
      </c>
    </row>
    <row r="74" spans="1:38" ht="15.6" x14ac:dyDescent="0.3">
      <c r="A74" s="11">
        <v>4.2207293666026802</v>
      </c>
      <c r="B74" s="11">
        <v>2058.6099585062202</v>
      </c>
      <c r="C74" s="10" t="s">
        <v>33</v>
      </c>
      <c r="D74" s="10" t="s">
        <v>35</v>
      </c>
      <c r="E74" s="10" t="s">
        <v>170</v>
      </c>
      <c r="F74" s="10">
        <v>0.2</v>
      </c>
      <c r="G74" s="10">
        <v>0.36</v>
      </c>
      <c r="H74" s="10">
        <v>0.31900000000000001</v>
      </c>
      <c r="I74" s="10">
        <v>0.39300000000000002</v>
      </c>
      <c r="J74" s="10">
        <v>1.9650000000000001</v>
      </c>
      <c r="K74" s="10">
        <v>1.29</v>
      </c>
      <c r="L74" s="10">
        <v>0</v>
      </c>
      <c r="M74" s="10" t="s">
        <v>34</v>
      </c>
      <c r="N74" s="10">
        <v>1600</v>
      </c>
      <c r="O74" s="10" t="s">
        <v>34</v>
      </c>
      <c r="P74" s="10" t="s">
        <v>34</v>
      </c>
      <c r="Q74" s="10">
        <v>0</v>
      </c>
      <c r="R74" s="10">
        <v>2.65</v>
      </c>
      <c r="S74" s="10" t="s">
        <v>34</v>
      </c>
      <c r="T74" s="10" t="s">
        <v>49</v>
      </c>
      <c r="U74" s="10" t="s">
        <v>50</v>
      </c>
      <c r="V74" s="10" t="s">
        <v>207</v>
      </c>
      <c r="W74" s="10" t="s">
        <v>34</v>
      </c>
      <c r="X74" s="10">
        <v>3</v>
      </c>
      <c r="Y74" s="10">
        <v>1.5</v>
      </c>
      <c r="Z74" s="10" t="s">
        <v>177</v>
      </c>
      <c r="AA74" s="10">
        <v>0.40500000000000003</v>
      </c>
      <c r="AB74" s="10" t="s">
        <v>34</v>
      </c>
      <c r="AC74" s="10" t="s">
        <v>203</v>
      </c>
      <c r="AD74" s="10" t="s">
        <v>32</v>
      </c>
      <c r="AE74" s="10">
        <v>0.84240000000000004</v>
      </c>
      <c r="AF74" s="10" t="s">
        <v>210</v>
      </c>
      <c r="AG74" s="10">
        <v>2021</v>
      </c>
      <c r="AH74" s="10" t="s">
        <v>211</v>
      </c>
      <c r="AI74" s="10">
        <v>50</v>
      </c>
      <c r="AJ74" s="10">
        <v>2</v>
      </c>
      <c r="AK74" s="10">
        <v>0.5</v>
      </c>
      <c r="AL74" t="str">
        <f t="shared" si="3"/>
        <v>Arab (2021) -NFMD</v>
      </c>
    </row>
    <row r="75" spans="1:38" ht="15.6" x14ac:dyDescent="0.3">
      <c r="A75" s="11">
        <v>4.2840690978886702</v>
      </c>
      <c r="B75" s="11">
        <v>2116.70124481327</v>
      </c>
      <c r="C75" s="10" t="s">
        <v>33</v>
      </c>
      <c r="D75" s="10" t="s">
        <v>35</v>
      </c>
      <c r="E75" s="10" t="s">
        <v>170</v>
      </c>
      <c r="F75" s="10">
        <v>0.2</v>
      </c>
      <c r="G75" s="10">
        <v>0.36</v>
      </c>
      <c r="H75" s="10">
        <v>0.31900000000000001</v>
      </c>
      <c r="I75" s="10">
        <v>0.39300000000000002</v>
      </c>
      <c r="J75" s="10">
        <v>1.9650000000000001</v>
      </c>
      <c r="K75" s="10">
        <v>1.29</v>
      </c>
      <c r="L75" s="10">
        <v>0</v>
      </c>
      <c r="M75" s="10" t="s">
        <v>34</v>
      </c>
      <c r="N75" s="10">
        <v>1600</v>
      </c>
      <c r="O75" s="10" t="s">
        <v>34</v>
      </c>
      <c r="P75" s="10" t="s">
        <v>34</v>
      </c>
      <c r="Q75" s="10">
        <v>0</v>
      </c>
      <c r="R75" s="10">
        <v>2.65</v>
      </c>
      <c r="S75" s="10" t="s">
        <v>34</v>
      </c>
      <c r="T75" s="10" t="s">
        <v>49</v>
      </c>
      <c r="U75" s="10" t="s">
        <v>50</v>
      </c>
      <c r="V75" s="10" t="s">
        <v>207</v>
      </c>
      <c r="W75" s="10" t="s">
        <v>34</v>
      </c>
      <c r="X75" s="10">
        <v>3</v>
      </c>
      <c r="Y75" s="10">
        <v>1.5</v>
      </c>
      <c r="Z75" s="10" t="s">
        <v>177</v>
      </c>
      <c r="AA75" s="10">
        <v>0.40500000000000003</v>
      </c>
      <c r="AB75" s="10" t="s">
        <v>34</v>
      </c>
      <c r="AC75" s="10" t="s">
        <v>203</v>
      </c>
      <c r="AD75" s="10" t="s">
        <v>32</v>
      </c>
      <c r="AE75" s="10">
        <v>0.84240000000000004</v>
      </c>
      <c r="AF75" s="10" t="s">
        <v>210</v>
      </c>
      <c r="AG75" s="10">
        <v>2021</v>
      </c>
      <c r="AH75" s="10" t="s">
        <v>211</v>
      </c>
      <c r="AI75" s="10">
        <v>50</v>
      </c>
      <c r="AJ75" s="10">
        <v>2</v>
      </c>
      <c r="AK75" s="10">
        <v>0.5</v>
      </c>
      <c r="AL75" t="str">
        <f t="shared" si="3"/>
        <v>Arab (2021) -NFMD</v>
      </c>
    </row>
    <row r="76" spans="1:38" ht="15.6" x14ac:dyDescent="0.3">
      <c r="A76" s="11">
        <v>4.5489443378118999</v>
      </c>
      <c r="B76" s="11">
        <v>2610.4771784232298</v>
      </c>
      <c r="C76" s="10" t="s">
        <v>33</v>
      </c>
      <c r="D76" s="10" t="s">
        <v>35</v>
      </c>
      <c r="E76" s="10" t="s">
        <v>170</v>
      </c>
      <c r="F76" s="10">
        <v>0.2</v>
      </c>
      <c r="G76" s="10">
        <v>0.36</v>
      </c>
      <c r="H76" s="10">
        <v>0.31900000000000001</v>
      </c>
      <c r="I76" s="10">
        <v>0.39300000000000002</v>
      </c>
      <c r="J76" s="10">
        <v>1.9650000000000001</v>
      </c>
      <c r="K76" s="10">
        <v>1.29</v>
      </c>
      <c r="L76" s="10">
        <v>0</v>
      </c>
      <c r="M76" s="10" t="s">
        <v>34</v>
      </c>
      <c r="N76" s="10">
        <v>1600</v>
      </c>
      <c r="O76" s="10" t="s">
        <v>34</v>
      </c>
      <c r="P76" s="10" t="s">
        <v>34</v>
      </c>
      <c r="Q76" s="10">
        <v>0</v>
      </c>
      <c r="R76" s="10">
        <v>2.65</v>
      </c>
      <c r="S76" s="10" t="s">
        <v>34</v>
      </c>
      <c r="T76" s="10" t="s">
        <v>49</v>
      </c>
      <c r="U76" s="10" t="s">
        <v>50</v>
      </c>
      <c r="V76" s="10" t="s">
        <v>207</v>
      </c>
      <c r="W76" s="10" t="s">
        <v>34</v>
      </c>
      <c r="X76" s="10">
        <v>3</v>
      </c>
      <c r="Y76" s="10">
        <v>1.5</v>
      </c>
      <c r="Z76" s="10" t="s">
        <v>177</v>
      </c>
      <c r="AA76" s="10">
        <v>0.40500000000000003</v>
      </c>
      <c r="AB76" s="10" t="s">
        <v>34</v>
      </c>
      <c r="AC76" s="10" t="s">
        <v>203</v>
      </c>
      <c r="AD76" s="10" t="s">
        <v>32</v>
      </c>
      <c r="AE76" s="10">
        <v>0.84240000000000004</v>
      </c>
      <c r="AF76" s="10" t="s">
        <v>210</v>
      </c>
      <c r="AG76" s="10">
        <v>2021</v>
      </c>
      <c r="AH76" s="10" t="s">
        <v>211</v>
      </c>
      <c r="AI76" s="10">
        <v>50</v>
      </c>
      <c r="AJ76" s="10">
        <v>2</v>
      </c>
      <c r="AK76" s="10">
        <v>0.5</v>
      </c>
      <c r="AL76" t="str">
        <f t="shared" si="3"/>
        <v>Arab (2021) -NFMD</v>
      </c>
    </row>
    <row r="77" spans="1:38" ht="15.6" x14ac:dyDescent="0.3">
      <c r="A77" s="11">
        <v>5.5911708253358903</v>
      </c>
      <c r="B77" s="11">
        <v>2984.4398340248899</v>
      </c>
      <c r="C77" s="10" t="s">
        <v>33</v>
      </c>
      <c r="D77" s="10" t="s">
        <v>35</v>
      </c>
      <c r="E77" s="10" t="s">
        <v>170</v>
      </c>
      <c r="F77" s="10">
        <v>0.2</v>
      </c>
      <c r="G77" s="10">
        <v>0.36</v>
      </c>
      <c r="H77" s="10">
        <v>0.31900000000000001</v>
      </c>
      <c r="I77" s="10">
        <v>0.39300000000000002</v>
      </c>
      <c r="J77" s="10">
        <v>1.9650000000000001</v>
      </c>
      <c r="K77" s="10">
        <v>1.29</v>
      </c>
      <c r="L77" s="10">
        <v>0</v>
      </c>
      <c r="M77" s="10" t="s">
        <v>34</v>
      </c>
      <c r="N77" s="10">
        <v>1600</v>
      </c>
      <c r="O77" s="10" t="s">
        <v>34</v>
      </c>
      <c r="P77" s="10" t="s">
        <v>34</v>
      </c>
      <c r="Q77" s="10">
        <v>0</v>
      </c>
      <c r="R77" s="10">
        <v>2.65</v>
      </c>
      <c r="S77" s="10" t="s">
        <v>34</v>
      </c>
      <c r="T77" s="10" t="s">
        <v>49</v>
      </c>
      <c r="U77" s="10" t="s">
        <v>50</v>
      </c>
      <c r="V77" s="10" t="s">
        <v>207</v>
      </c>
      <c r="W77" s="10" t="s">
        <v>34</v>
      </c>
      <c r="X77" s="10">
        <v>3</v>
      </c>
      <c r="Y77" s="10">
        <v>1.5</v>
      </c>
      <c r="Z77" s="10" t="s">
        <v>177</v>
      </c>
      <c r="AA77" s="10">
        <v>0.40500000000000003</v>
      </c>
      <c r="AB77" s="10" t="s">
        <v>34</v>
      </c>
      <c r="AC77" s="10" t="s">
        <v>203</v>
      </c>
      <c r="AD77" s="10" t="s">
        <v>32</v>
      </c>
      <c r="AE77" s="10">
        <v>0.84240000000000004</v>
      </c>
      <c r="AF77" s="10" t="s">
        <v>210</v>
      </c>
      <c r="AG77" s="10">
        <v>2021</v>
      </c>
      <c r="AH77" s="10" t="s">
        <v>211</v>
      </c>
      <c r="AI77" s="10">
        <v>50</v>
      </c>
      <c r="AJ77" s="10">
        <v>2</v>
      </c>
      <c r="AK77" s="10">
        <v>0.5</v>
      </c>
      <c r="AL77" t="str">
        <f t="shared" si="3"/>
        <v>Arab (2021) -NFMD</v>
      </c>
    </row>
    <row r="78" spans="1:38" ht="15.6" x14ac:dyDescent="0.3">
      <c r="A78" s="11">
        <v>4.3243761996161201</v>
      </c>
      <c r="B78" s="11">
        <v>1412.3443983402401</v>
      </c>
      <c r="C78" s="10" t="s">
        <v>33</v>
      </c>
      <c r="D78" s="10" t="s">
        <v>35</v>
      </c>
      <c r="E78" s="10" t="s">
        <v>170</v>
      </c>
      <c r="F78" s="10">
        <v>0.2</v>
      </c>
      <c r="G78" s="10">
        <v>0.36</v>
      </c>
      <c r="H78" s="10">
        <v>0.31900000000000001</v>
      </c>
      <c r="I78" s="10">
        <v>0.39300000000000002</v>
      </c>
      <c r="J78" s="10">
        <v>1.9650000000000001</v>
      </c>
      <c r="K78" s="10">
        <v>1.29</v>
      </c>
      <c r="L78" s="10">
        <v>0</v>
      </c>
      <c r="M78" s="10" t="s">
        <v>34</v>
      </c>
      <c r="N78" s="10">
        <v>1600</v>
      </c>
      <c r="O78" s="10" t="s">
        <v>34</v>
      </c>
      <c r="P78" s="10" t="s">
        <v>34</v>
      </c>
      <c r="Q78" s="10">
        <v>0</v>
      </c>
      <c r="R78" s="10">
        <v>2.65</v>
      </c>
      <c r="S78" s="10" t="s">
        <v>34</v>
      </c>
      <c r="T78" s="10" t="s">
        <v>49</v>
      </c>
      <c r="U78" s="10" t="s">
        <v>50</v>
      </c>
      <c r="V78" s="10" t="s">
        <v>207</v>
      </c>
      <c r="W78" s="10" t="s">
        <v>34</v>
      </c>
      <c r="X78" s="10">
        <v>3</v>
      </c>
      <c r="Y78" s="10">
        <v>1.5</v>
      </c>
      <c r="Z78" s="10" t="s">
        <v>177</v>
      </c>
      <c r="AA78" s="10">
        <v>0.40500000000000003</v>
      </c>
      <c r="AB78" s="10" t="s">
        <v>34</v>
      </c>
      <c r="AC78" s="10" t="s">
        <v>203</v>
      </c>
      <c r="AD78" s="10" t="s">
        <v>32</v>
      </c>
      <c r="AE78" s="10">
        <v>0.84240000000000004</v>
      </c>
      <c r="AF78" s="10" t="s">
        <v>210</v>
      </c>
      <c r="AG78" s="10">
        <v>2021</v>
      </c>
      <c r="AH78" s="10" t="s">
        <v>211</v>
      </c>
      <c r="AI78" s="10">
        <v>50</v>
      </c>
      <c r="AJ78" s="10">
        <v>2</v>
      </c>
      <c r="AK78" s="10">
        <v>0.5</v>
      </c>
      <c r="AL78" t="str">
        <f t="shared" si="3"/>
        <v>Arab (2021) -NFMD</v>
      </c>
    </row>
    <row r="79" spans="1:38" ht="15.6" x14ac:dyDescent="0.3">
      <c r="A79" s="11">
        <v>4.3761996161228396</v>
      </c>
      <c r="B79" s="11">
        <v>1593.8796680497901</v>
      </c>
      <c r="C79" s="10" t="s">
        <v>33</v>
      </c>
      <c r="D79" s="10" t="s">
        <v>35</v>
      </c>
      <c r="E79" s="10" t="s">
        <v>170</v>
      </c>
      <c r="F79" s="10">
        <v>0.2</v>
      </c>
      <c r="G79" s="10">
        <v>0.36</v>
      </c>
      <c r="H79" s="10">
        <v>0.31900000000000001</v>
      </c>
      <c r="I79" s="10">
        <v>0.39300000000000002</v>
      </c>
      <c r="J79" s="10">
        <v>1.9650000000000001</v>
      </c>
      <c r="K79" s="10">
        <v>1.29</v>
      </c>
      <c r="L79" s="10">
        <v>0</v>
      </c>
      <c r="M79" s="10" t="s">
        <v>34</v>
      </c>
      <c r="N79" s="10">
        <v>1600</v>
      </c>
      <c r="O79" s="10" t="s">
        <v>34</v>
      </c>
      <c r="P79" s="10" t="s">
        <v>34</v>
      </c>
      <c r="Q79" s="10">
        <v>0</v>
      </c>
      <c r="R79" s="10">
        <v>2.65</v>
      </c>
      <c r="S79" s="10" t="s">
        <v>34</v>
      </c>
      <c r="T79" s="10" t="s">
        <v>49</v>
      </c>
      <c r="U79" s="10" t="s">
        <v>50</v>
      </c>
      <c r="V79" s="10" t="s">
        <v>207</v>
      </c>
      <c r="W79" s="10" t="s">
        <v>34</v>
      </c>
      <c r="X79" s="10">
        <v>3</v>
      </c>
      <c r="Y79" s="10">
        <v>1.5</v>
      </c>
      <c r="Z79" s="10" t="s">
        <v>177</v>
      </c>
      <c r="AA79" s="10">
        <v>0.40500000000000003</v>
      </c>
      <c r="AB79" s="10" t="s">
        <v>34</v>
      </c>
      <c r="AC79" s="10" t="s">
        <v>203</v>
      </c>
      <c r="AD79" s="10" t="s">
        <v>32</v>
      </c>
      <c r="AE79" s="10">
        <v>0.84240000000000004</v>
      </c>
      <c r="AF79" s="10" t="s">
        <v>210</v>
      </c>
      <c r="AG79" s="10">
        <v>2021</v>
      </c>
      <c r="AH79" s="10" t="s">
        <v>211</v>
      </c>
      <c r="AI79" s="10">
        <v>50</v>
      </c>
      <c r="AJ79" s="10">
        <v>2</v>
      </c>
      <c r="AK79" s="10">
        <v>0.5</v>
      </c>
      <c r="AL79" t="str">
        <f t="shared" si="3"/>
        <v>Arab (2021) -NFMD</v>
      </c>
    </row>
    <row r="80" spans="1:38" ht="15.6" x14ac:dyDescent="0.3">
      <c r="A80" s="11">
        <v>4.4798464491362697</v>
      </c>
      <c r="B80" s="11">
        <v>1604.77178423236</v>
      </c>
      <c r="C80" s="10" t="s">
        <v>33</v>
      </c>
      <c r="D80" s="10" t="s">
        <v>35</v>
      </c>
      <c r="E80" s="10" t="s">
        <v>170</v>
      </c>
      <c r="F80" s="10">
        <v>0.2</v>
      </c>
      <c r="G80" s="10">
        <v>0.36</v>
      </c>
      <c r="H80" s="10">
        <v>0.31900000000000001</v>
      </c>
      <c r="I80" s="10">
        <v>0.39300000000000002</v>
      </c>
      <c r="J80" s="10">
        <v>1.9650000000000001</v>
      </c>
      <c r="K80" s="10">
        <v>1.29</v>
      </c>
      <c r="L80" s="10">
        <v>0</v>
      </c>
      <c r="M80" s="10" t="s">
        <v>34</v>
      </c>
      <c r="N80" s="10">
        <v>1600</v>
      </c>
      <c r="O80" s="10" t="s">
        <v>34</v>
      </c>
      <c r="P80" s="10" t="s">
        <v>34</v>
      </c>
      <c r="Q80" s="10">
        <v>0</v>
      </c>
      <c r="R80" s="10">
        <v>2.65</v>
      </c>
      <c r="S80" s="10" t="s">
        <v>34</v>
      </c>
      <c r="T80" s="10" t="s">
        <v>49</v>
      </c>
      <c r="U80" s="10" t="s">
        <v>50</v>
      </c>
      <c r="V80" s="10" t="s">
        <v>207</v>
      </c>
      <c r="W80" s="10" t="s">
        <v>34</v>
      </c>
      <c r="X80" s="10">
        <v>3</v>
      </c>
      <c r="Y80" s="10">
        <v>1.5</v>
      </c>
      <c r="Z80" s="10" t="s">
        <v>177</v>
      </c>
      <c r="AA80" s="10">
        <v>0.40500000000000003</v>
      </c>
      <c r="AB80" s="10" t="s">
        <v>34</v>
      </c>
      <c r="AC80" s="10" t="s">
        <v>203</v>
      </c>
      <c r="AD80" s="10" t="s">
        <v>32</v>
      </c>
      <c r="AE80" s="10">
        <v>0.84240000000000004</v>
      </c>
      <c r="AF80" s="10" t="s">
        <v>210</v>
      </c>
      <c r="AG80" s="10">
        <v>2021</v>
      </c>
      <c r="AH80" s="10" t="s">
        <v>211</v>
      </c>
      <c r="AI80" s="10">
        <v>50</v>
      </c>
      <c r="AJ80" s="10">
        <v>2</v>
      </c>
      <c r="AK80" s="10">
        <v>0.5</v>
      </c>
      <c r="AL80" t="str">
        <f t="shared" si="3"/>
        <v>Arab (2021) -NFMD</v>
      </c>
    </row>
    <row r="81" spans="1:38" ht="15.6" x14ac:dyDescent="0.3">
      <c r="A81" s="11">
        <v>3.42034548944337</v>
      </c>
      <c r="B81" s="11">
        <v>806.016597510373</v>
      </c>
      <c r="C81" s="10" t="s">
        <v>33</v>
      </c>
      <c r="D81" s="10" t="s">
        <v>35</v>
      </c>
      <c r="E81" s="10" t="s">
        <v>170</v>
      </c>
      <c r="F81" s="10">
        <v>0.2</v>
      </c>
      <c r="G81" s="10">
        <v>0.36</v>
      </c>
      <c r="H81" s="10">
        <v>0.31900000000000001</v>
      </c>
      <c r="I81" s="10">
        <v>0.39300000000000002</v>
      </c>
      <c r="J81" s="10">
        <v>1.9650000000000001</v>
      </c>
      <c r="K81" s="10">
        <v>1.29</v>
      </c>
      <c r="L81" s="10">
        <v>0</v>
      </c>
      <c r="M81" s="10" t="s">
        <v>34</v>
      </c>
      <c r="N81" s="10">
        <v>1600</v>
      </c>
      <c r="O81" s="10" t="s">
        <v>34</v>
      </c>
      <c r="P81" s="10" t="s">
        <v>34</v>
      </c>
      <c r="Q81" s="10">
        <v>0</v>
      </c>
      <c r="R81" s="10">
        <v>2.65</v>
      </c>
      <c r="S81" s="10" t="s">
        <v>34</v>
      </c>
      <c r="T81" s="10" t="s">
        <v>49</v>
      </c>
      <c r="U81" s="10" t="s">
        <v>50</v>
      </c>
      <c r="V81" s="10" t="s">
        <v>207</v>
      </c>
      <c r="W81" s="10" t="s">
        <v>34</v>
      </c>
      <c r="X81" s="10">
        <v>3</v>
      </c>
      <c r="Y81" s="10">
        <v>1.5</v>
      </c>
      <c r="Z81" s="10" t="s">
        <v>177</v>
      </c>
      <c r="AA81" s="10">
        <v>0.40500000000000003</v>
      </c>
      <c r="AB81" s="10" t="s">
        <v>34</v>
      </c>
      <c r="AC81" s="10" t="s">
        <v>203</v>
      </c>
      <c r="AD81" s="10" t="s">
        <v>32</v>
      </c>
      <c r="AE81" s="10">
        <v>0.84240000000000004</v>
      </c>
      <c r="AF81" s="10" t="s">
        <v>210</v>
      </c>
      <c r="AG81" s="10">
        <v>2021</v>
      </c>
      <c r="AH81" s="10" t="s">
        <v>211</v>
      </c>
      <c r="AI81" s="10">
        <v>50</v>
      </c>
      <c r="AJ81" s="10">
        <v>2</v>
      </c>
      <c r="AK81" s="10">
        <v>0.5</v>
      </c>
      <c r="AL81" t="str">
        <f t="shared" si="3"/>
        <v>Arab (2021) -NFMD</v>
      </c>
    </row>
    <row r="82" spans="1:38" ht="15.6" x14ac:dyDescent="0.3">
      <c r="A82" s="11">
        <v>3.3224568138195698</v>
      </c>
      <c r="B82" s="11">
        <v>824.170124481328</v>
      </c>
      <c r="C82" s="10" t="s">
        <v>33</v>
      </c>
      <c r="D82" s="10" t="s">
        <v>35</v>
      </c>
      <c r="E82" s="10" t="s">
        <v>170</v>
      </c>
      <c r="F82" s="10">
        <v>0.2</v>
      </c>
      <c r="G82" s="10">
        <v>0.36</v>
      </c>
      <c r="H82" s="10">
        <v>0.31900000000000001</v>
      </c>
      <c r="I82" s="10">
        <v>0.39300000000000002</v>
      </c>
      <c r="J82" s="10">
        <v>1.9650000000000001</v>
      </c>
      <c r="K82" s="10">
        <v>1.29</v>
      </c>
      <c r="L82" s="10">
        <v>0</v>
      </c>
      <c r="M82" s="10" t="s">
        <v>34</v>
      </c>
      <c r="N82" s="10">
        <v>1600</v>
      </c>
      <c r="O82" s="10" t="s">
        <v>34</v>
      </c>
      <c r="P82" s="10" t="s">
        <v>34</v>
      </c>
      <c r="Q82" s="10">
        <v>0</v>
      </c>
      <c r="R82" s="10">
        <v>2.65</v>
      </c>
      <c r="S82" s="10" t="s">
        <v>34</v>
      </c>
      <c r="T82" s="10" t="s">
        <v>49</v>
      </c>
      <c r="U82" s="10" t="s">
        <v>50</v>
      </c>
      <c r="V82" s="10" t="s">
        <v>207</v>
      </c>
      <c r="W82" s="10" t="s">
        <v>34</v>
      </c>
      <c r="X82" s="10">
        <v>3</v>
      </c>
      <c r="Y82" s="10">
        <v>1.5</v>
      </c>
      <c r="Z82" s="10" t="s">
        <v>177</v>
      </c>
      <c r="AA82" s="10">
        <v>0.40500000000000003</v>
      </c>
      <c r="AB82" s="10" t="s">
        <v>34</v>
      </c>
      <c r="AC82" s="10" t="s">
        <v>203</v>
      </c>
      <c r="AD82" s="10" t="s">
        <v>32</v>
      </c>
      <c r="AE82" s="10">
        <v>0.84240000000000004</v>
      </c>
      <c r="AF82" s="10" t="s">
        <v>210</v>
      </c>
      <c r="AG82" s="10">
        <v>2021</v>
      </c>
      <c r="AH82" s="10" t="s">
        <v>211</v>
      </c>
      <c r="AI82" s="10">
        <v>50</v>
      </c>
      <c r="AJ82" s="10">
        <v>2</v>
      </c>
      <c r="AK82" s="10">
        <v>0.5</v>
      </c>
      <c r="AL82" t="str">
        <f t="shared" si="3"/>
        <v>Arab (2021) -NFMD</v>
      </c>
    </row>
    <row r="83" spans="1:38" s="117" customFormat="1" ht="16.2" thickBot="1" x14ac:dyDescent="0.35">
      <c r="A83" s="17">
        <v>2.3608445297504699</v>
      </c>
      <c r="B83" s="17">
        <v>377.59336099584999</v>
      </c>
      <c r="C83" s="14" t="s">
        <v>33</v>
      </c>
      <c r="D83" s="14" t="s">
        <v>35</v>
      </c>
      <c r="E83" s="14" t="s">
        <v>170</v>
      </c>
      <c r="F83" s="14">
        <v>0.2</v>
      </c>
      <c r="G83" s="14">
        <v>0.36</v>
      </c>
      <c r="H83" s="14">
        <v>0.31900000000000001</v>
      </c>
      <c r="I83" s="14">
        <v>0.39300000000000002</v>
      </c>
      <c r="J83" s="14">
        <v>1.9650000000000001</v>
      </c>
      <c r="K83" s="14">
        <v>1.29</v>
      </c>
      <c r="L83" s="14">
        <v>0</v>
      </c>
      <c r="M83" s="14" t="s">
        <v>34</v>
      </c>
      <c r="N83" s="14">
        <v>1600</v>
      </c>
      <c r="O83" s="14" t="s">
        <v>34</v>
      </c>
      <c r="P83" s="14" t="s">
        <v>34</v>
      </c>
      <c r="Q83" s="14">
        <v>0</v>
      </c>
      <c r="R83" s="14">
        <v>2.65</v>
      </c>
      <c r="S83" s="14" t="s">
        <v>34</v>
      </c>
      <c r="T83" s="14" t="s">
        <v>49</v>
      </c>
      <c r="U83" s="14" t="s">
        <v>50</v>
      </c>
      <c r="V83" s="14" t="s">
        <v>207</v>
      </c>
      <c r="W83" s="14" t="s">
        <v>34</v>
      </c>
      <c r="X83" s="14">
        <v>3</v>
      </c>
      <c r="Y83" s="14">
        <v>1.5</v>
      </c>
      <c r="Z83" s="14" t="s">
        <v>177</v>
      </c>
      <c r="AA83" s="14">
        <v>0.40500000000000003</v>
      </c>
      <c r="AB83" s="14" t="s">
        <v>34</v>
      </c>
      <c r="AC83" s="14" t="s">
        <v>203</v>
      </c>
      <c r="AD83" s="14" t="s">
        <v>32</v>
      </c>
      <c r="AE83" s="14">
        <v>0.84240000000000004</v>
      </c>
      <c r="AF83" s="14" t="s">
        <v>210</v>
      </c>
      <c r="AG83" s="14">
        <v>2021</v>
      </c>
      <c r="AH83" s="14" t="s">
        <v>211</v>
      </c>
      <c r="AI83" s="14">
        <v>50</v>
      </c>
      <c r="AJ83" s="14">
        <v>2</v>
      </c>
      <c r="AK83" s="14">
        <v>0.5</v>
      </c>
      <c r="AL83" t="str">
        <f t="shared" si="3"/>
        <v>Arab (2021) -NFMD</v>
      </c>
    </row>
    <row r="84" spans="1:38" ht="15.6" x14ac:dyDescent="0.3">
      <c r="A84" s="12">
        <v>1.5486891385767714</v>
      </c>
      <c r="B84" s="12">
        <v>745.88014981273398</v>
      </c>
      <c r="C84" s="13" t="s">
        <v>33</v>
      </c>
      <c r="D84" s="13" t="s">
        <v>212</v>
      </c>
      <c r="E84" s="13" t="s">
        <v>170</v>
      </c>
      <c r="F84" s="13">
        <v>0.6</v>
      </c>
      <c r="G84" s="13">
        <v>0.7</v>
      </c>
      <c r="H84" s="13" t="s">
        <v>34</v>
      </c>
      <c r="I84" s="13" t="s">
        <v>34</v>
      </c>
      <c r="J84" s="13" t="s">
        <v>34</v>
      </c>
      <c r="K84" s="13" t="s">
        <v>34</v>
      </c>
      <c r="L84" s="13">
        <v>0</v>
      </c>
      <c r="M84" s="13">
        <v>78</v>
      </c>
      <c r="N84" s="13" t="s">
        <v>34</v>
      </c>
      <c r="O84" s="13">
        <v>0.74</v>
      </c>
      <c r="P84" s="13">
        <v>0.5</v>
      </c>
      <c r="Q84" s="13">
        <v>20.86</v>
      </c>
      <c r="R84" s="13">
        <v>2.65</v>
      </c>
      <c r="S84" s="13" t="s">
        <v>34</v>
      </c>
      <c r="T84" s="13" t="s">
        <v>49</v>
      </c>
      <c r="U84" s="13" t="s">
        <v>204</v>
      </c>
      <c r="V84" s="13" t="s">
        <v>162</v>
      </c>
      <c r="W84" s="13" t="s">
        <v>34</v>
      </c>
      <c r="X84" s="13">
        <v>1</v>
      </c>
      <c r="Y84" s="13">
        <v>1.5</v>
      </c>
      <c r="Z84" s="13" t="s">
        <v>217</v>
      </c>
      <c r="AA84" s="13">
        <v>0.39</v>
      </c>
      <c r="AB84" s="13">
        <v>7.7</v>
      </c>
      <c r="AC84" s="13" t="s">
        <v>203</v>
      </c>
      <c r="AD84" s="13" t="s">
        <v>32</v>
      </c>
      <c r="AE84" s="13">
        <v>5.8000000000000003E-2</v>
      </c>
      <c r="AF84" s="13" t="s">
        <v>221</v>
      </c>
      <c r="AG84" s="13">
        <v>2020</v>
      </c>
      <c r="AH84" s="13" t="s">
        <v>222</v>
      </c>
      <c r="AI84" s="13">
        <v>51</v>
      </c>
      <c r="AJ84" s="13">
        <v>2</v>
      </c>
      <c r="AK84" s="13">
        <v>1.2450000000000001</v>
      </c>
      <c r="AL84" t="str">
        <f t="shared" si="3"/>
        <v>Khodadadi Tirkolaei (2020) -NFMD</v>
      </c>
    </row>
    <row r="85" spans="1:38" ht="15.6" x14ac:dyDescent="0.3">
      <c r="A85" s="11">
        <v>1.5805243445692856</v>
      </c>
      <c r="B85" s="11">
        <v>630.52434456928802</v>
      </c>
      <c r="C85" s="10" t="s">
        <v>33</v>
      </c>
      <c r="D85" s="10" t="s">
        <v>212</v>
      </c>
      <c r="E85" s="10" t="s">
        <v>170</v>
      </c>
      <c r="F85" s="10">
        <v>0.6</v>
      </c>
      <c r="G85" s="10">
        <v>0.7</v>
      </c>
      <c r="H85" s="10" t="s">
        <v>34</v>
      </c>
      <c r="I85" s="10" t="s">
        <v>34</v>
      </c>
      <c r="J85" s="10" t="s">
        <v>34</v>
      </c>
      <c r="K85" s="10" t="s">
        <v>34</v>
      </c>
      <c r="L85" s="10">
        <v>0</v>
      </c>
      <c r="M85" s="10">
        <v>78</v>
      </c>
      <c r="N85" s="10" t="s">
        <v>34</v>
      </c>
      <c r="O85" s="10">
        <v>0.74</v>
      </c>
      <c r="P85" s="10">
        <v>0.5</v>
      </c>
      <c r="Q85" s="10">
        <v>20.86</v>
      </c>
      <c r="R85" s="10">
        <v>2.65</v>
      </c>
      <c r="S85" s="10" t="s">
        <v>34</v>
      </c>
      <c r="T85" s="10" t="s">
        <v>49</v>
      </c>
      <c r="U85" s="10" t="s">
        <v>204</v>
      </c>
      <c r="V85" s="10" t="s">
        <v>162</v>
      </c>
      <c r="W85" s="10" t="s">
        <v>34</v>
      </c>
      <c r="X85" s="10">
        <v>1</v>
      </c>
      <c r="Y85" s="10">
        <v>1.5</v>
      </c>
      <c r="Z85" s="10" t="s">
        <v>218</v>
      </c>
      <c r="AA85" s="10">
        <v>0.39</v>
      </c>
      <c r="AB85" s="10">
        <v>7.7</v>
      </c>
      <c r="AC85" s="10" t="s">
        <v>203</v>
      </c>
      <c r="AD85" s="10" t="s">
        <v>32</v>
      </c>
      <c r="AE85" s="10">
        <v>5.8000000000000003E-2</v>
      </c>
      <c r="AF85" s="10" t="s">
        <v>221</v>
      </c>
      <c r="AG85" s="10">
        <v>2020</v>
      </c>
      <c r="AH85" s="10" t="s">
        <v>222</v>
      </c>
      <c r="AI85" s="10">
        <v>51</v>
      </c>
      <c r="AJ85" s="10">
        <v>2</v>
      </c>
      <c r="AK85" s="10">
        <v>1.2450000000000001</v>
      </c>
      <c r="AL85" t="str">
        <f t="shared" si="3"/>
        <v>Khodadadi Tirkolaei (2020) -NFMD</v>
      </c>
    </row>
    <row r="86" spans="1:38" ht="15.6" x14ac:dyDescent="0.3">
      <c r="A86" s="11">
        <v>1.7172284644194715</v>
      </c>
      <c r="B86" s="11">
        <v>996.25468164793995</v>
      </c>
      <c r="C86" s="10" t="s">
        <v>33</v>
      </c>
      <c r="D86" s="10" t="s">
        <v>212</v>
      </c>
      <c r="E86" s="10" t="s">
        <v>170</v>
      </c>
      <c r="F86" s="10">
        <v>0.6</v>
      </c>
      <c r="G86" s="10">
        <v>0.7</v>
      </c>
      <c r="H86" s="10" t="s">
        <v>34</v>
      </c>
      <c r="I86" s="10" t="s">
        <v>34</v>
      </c>
      <c r="J86" s="10" t="s">
        <v>34</v>
      </c>
      <c r="K86" s="10" t="s">
        <v>34</v>
      </c>
      <c r="L86" s="10">
        <v>0</v>
      </c>
      <c r="M86" s="10">
        <v>78</v>
      </c>
      <c r="N86" s="10" t="s">
        <v>34</v>
      </c>
      <c r="O86" s="10">
        <v>0.74</v>
      </c>
      <c r="P86" s="10">
        <v>0.5</v>
      </c>
      <c r="Q86" s="10">
        <v>20.86</v>
      </c>
      <c r="R86" s="10">
        <v>2.65</v>
      </c>
      <c r="S86" s="10" t="s">
        <v>34</v>
      </c>
      <c r="T86" s="10" t="s">
        <v>49</v>
      </c>
      <c r="U86" s="10" t="s">
        <v>50</v>
      </c>
      <c r="V86" s="10" t="s">
        <v>162</v>
      </c>
      <c r="W86" s="10" t="s">
        <v>34</v>
      </c>
      <c r="X86" s="10">
        <v>1</v>
      </c>
      <c r="Y86" s="10">
        <v>1.5</v>
      </c>
      <c r="Z86" s="10" t="s">
        <v>51</v>
      </c>
      <c r="AA86" s="10">
        <v>0.39</v>
      </c>
      <c r="AB86" s="10">
        <v>7.7</v>
      </c>
      <c r="AC86" s="10" t="s">
        <v>203</v>
      </c>
      <c r="AD86" s="10" t="s">
        <v>32</v>
      </c>
      <c r="AE86" s="10">
        <v>5.8000000000000003E-2</v>
      </c>
      <c r="AF86" s="10" t="s">
        <v>221</v>
      </c>
      <c r="AG86" s="10">
        <v>2020</v>
      </c>
      <c r="AH86" s="10" t="s">
        <v>222</v>
      </c>
      <c r="AI86" s="10">
        <v>51</v>
      </c>
      <c r="AJ86" s="10">
        <v>2</v>
      </c>
      <c r="AK86" s="10">
        <v>1.2450000000000001</v>
      </c>
      <c r="AL86" t="str">
        <f t="shared" si="3"/>
        <v>Khodadadi Tirkolaei (2020) -NFMD</v>
      </c>
    </row>
    <row r="87" spans="1:38" ht="15.6" x14ac:dyDescent="0.3">
      <c r="A87" s="11">
        <v>1.7172284644194715</v>
      </c>
      <c r="B87" s="11">
        <v>188.76404494381899</v>
      </c>
      <c r="C87" s="10" t="s">
        <v>33</v>
      </c>
      <c r="D87" s="10" t="s">
        <v>212</v>
      </c>
      <c r="E87" s="10" t="s">
        <v>170</v>
      </c>
      <c r="F87" s="10">
        <v>0.6</v>
      </c>
      <c r="G87" s="10">
        <v>0.7</v>
      </c>
      <c r="H87" s="10" t="s">
        <v>34</v>
      </c>
      <c r="I87" s="10" t="s">
        <v>34</v>
      </c>
      <c r="J87" s="10" t="s">
        <v>34</v>
      </c>
      <c r="K87" s="10" t="s">
        <v>34</v>
      </c>
      <c r="L87" s="10">
        <v>0</v>
      </c>
      <c r="M87" s="10">
        <v>78</v>
      </c>
      <c r="N87" s="10" t="s">
        <v>34</v>
      </c>
      <c r="O87" s="10">
        <v>0.74</v>
      </c>
      <c r="P87" s="10">
        <v>0.5</v>
      </c>
      <c r="Q87" s="10">
        <v>20.86</v>
      </c>
      <c r="R87" s="10">
        <v>2.65</v>
      </c>
      <c r="S87" s="10" t="s">
        <v>34</v>
      </c>
      <c r="T87" s="10" t="s">
        <v>49</v>
      </c>
      <c r="U87" s="10" t="s">
        <v>50</v>
      </c>
      <c r="V87" s="10" t="s">
        <v>162</v>
      </c>
      <c r="W87" s="10" t="s">
        <v>34</v>
      </c>
      <c r="X87" s="10">
        <v>1</v>
      </c>
      <c r="Y87" s="10">
        <v>1.5</v>
      </c>
      <c r="Z87" s="10" t="s">
        <v>219</v>
      </c>
      <c r="AA87" s="10">
        <v>0.39</v>
      </c>
      <c r="AB87" s="10">
        <v>7.7</v>
      </c>
      <c r="AC87" s="10" t="s">
        <v>203</v>
      </c>
      <c r="AD87" s="10" t="s">
        <v>32</v>
      </c>
      <c r="AE87" s="10">
        <v>5.8000000000000003E-2</v>
      </c>
      <c r="AF87" s="10" t="s">
        <v>221</v>
      </c>
      <c r="AG87" s="10">
        <v>2020</v>
      </c>
      <c r="AH87" s="10" t="s">
        <v>222</v>
      </c>
      <c r="AI87" s="10">
        <v>51</v>
      </c>
      <c r="AJ87" s="10">
        <v>2</v>
      </c>
      <c r="AK87" s="10">
        <v>1.2450000000000001</v>
      </c>
      <c r="AL87" t="str">
        <f t="shared" si="3"/>
        <v>Khodadadi Tirkolaei (2020) -NFMD</v>
      </c>
    </row>
    <row r="88" spans="1:38" s="117" customFormat="1" ht="16.2" thickBot="1" x14ac:dyDescent="0.35">
      <c r="A88" s="17">
        <v>1.6591760299625429</v>
      </c>
      <c r="B88" s="17">
        <v>294.94382022471802</v>
      </c>
      <c r="C88" s="14" t="s">
        <v>33</v>
      </c>
      <c r="D88" s="14" t="s">
        <v>212</v>
      </c>
      <c r="E88" s="14" t="s">
        <v>170</v>
      </c>
      <c r="F88" s="14">
        <v>0.6</v>
      </c>
      <c r="G88" s="14">
        <v>0.7</v>
      </c>
      <c r="H88" s="14" t="s">
        <v>34</v>
      </c>
      <c r="I88" s="14" t="s">
        <v>34</v>
      </c>
      <c r="J88" s="14" t="s">
        <v>34</v>
      </c>
      <c r="K88" s="14" t="s">
        <v>34</v>
      </c>
      <c r="L88" s="14">
        <v>0</v>
      </c>
      <c r="M88" s="14">
        <v>78</v>
      </c>
      <c r="N88" s="14" t="s">
        <v>34</v>
      </c>
      <c r="O88" s="14">
        <v>0.74</v>
      </c>
      <c r="P88" s="14">
        <v>0.5</v>
      </c>
      <c r="Q88" s="14">
        <v>20.86</v>
      </c>
      <c r="R88" s="14">
        <v>2.65</v>
      </c>
      <c r="S88" s="14" t="s">
        <v>34</v>
      </c>
      <c r="T88" s="14" t="s">
        <v>49</v>
      </c>
      <c r="U88" s="14" t="s">
        <v>50</v>
      </c>
      <c r="V88" s="14" t="s">
        <v>162</v>
      </c>
      <c r="W88" s="14" t="s">
        <v>34</v>
      </c>
      <c r="X88" s="14">
        <v>1</v>
      </c>
      <c r="Y88" s="14">
        <v>1.5</v>
      </c>
      <c r="Z88" s="14" t="s">
        <v>220</v>
      </c>
      <c r="AA88" s="14">
        <v>0.39</v>
      </c>
      <c r="AB88" s="14">
        <v>7.7</v>
      </c>
      <c r="AC88" s="14" t="s">
        <v>203</v>
      </c>
      <c r="AD88" s="14" t="s">
        <v>32</v>
      </c>
      <c r="AE88" s="14">
        <v>5.8000000000000003E-2</v>
      </c>
      <c r="AF88" s="14" t="s">
        <v>221</v>
      </c>
      <c r="AG88" s="14">
        <v>2020</v>
      </c>
      <c r="AH88" s="14" t="s">
        <v>222</v>
      </c>
      <c r="AI88" s="14">
        <v>51</v>
      </c>
      <c r="AJ88" s="14">
        <v>2</v>
      </c>
      <c r="AK88" s="14">
        <v>1.2450000000000001</v>
      </c>
      <c r="AL88" t="str">
        <f t="shared" si="3"/>
        <v>Khodadadi Tirkolaei (2020) -NFMD</v>
      </c>
    </row>
    <row r="89" spans="1:38" ht="15.6" x14ac:dyDescent="0.3">
      <c r="A89" s="12">
        <v>10.442307692307599</v>
      </c>
      <c r="B89" s="12">
        <v>376.168224299065</v>
      </c>
      <c r="C89" s="13" t="s">
        <v>33</v>
      </c>
      <c r="D89" s="13" t="s">
        <v>35</v>
      </c>
      <c r="E89" s="13" t="s">
        <v>170</v>
      </c>
      <c r="F89" s="13">
        <v>0.14000000000000001</v>
      </c>
      <c r="G89" s="13">
        <v>0.3</v>
      </c>
      <c r="H89" s="13">
        <v>0.22700000000000001</v>
      </c>
      <c r="I89" s="13">
        <v>0.316</v>
      </c>
      <c r="J89" s="13">
        <v>2.25</v>
      </c>
      <c r="K89" s="13">
        <v>1.1599999999999999</v>
      </c>
      <c r="L89" s="13">
        <v>0</v>
      </c>
      <c r="M89" s="13">
        <v>50</v>
      </c>
      <c r="N89" s="13" t="s">
        <v>34</v>
      </c>
      <c r="O89" s="13">
        <v>0.79900000000000004</v>
      </c>
      <c r="P89" s="13">
        <v>0.47399999999999998</v>
      </c>
      <c r="Q89" s="13">
        <v>25.734000000000002</v>
      </c>
      <c r="R89" s="13">
        <v>2.645</v>
      </c>
      <c r="S89" s="13" t="s">
        <v>34</v>
      </c>
      <c r="T89" s="13" t="s">
        <v>49</v>
      </c>
      <c r="U89" s="13" t="s">
        <v>50</v>
      </c>
      <c r="V89" s="13" t="s">
        <v>38</v>
      </c>
      <c r="W89" s="13">
        <v>2</v>
      </c>
      <c r="X89" s="13">
        <v>1</v>
      </c>
      <c r="Y89" s="13">
        <v>1</v>
      </c>
      <c r="Z89" s="13" t="s">
        <v>223</v>
      </c>
      <c r="AA89" s="13">
        <v>1.3355999999999999</v>
      </c>
      <c r="AB89" s="13" t="s">
        <v>34</v>
      </c>
      <c r="AC89" s="13" t="s">
        <v>40</v>
      </c>
      <c r="AD89" s="13" t="s">
        <v>32</v>
      </c>
      <c r="AE89" s="13">
        <v>0.71009999999999995</v>
      </c>
      <c r="AF89" s="13" t="s">
        <v>224</v>
      </c>
      <c r="AG89" s="13">
        <v>2015</v>
      </c>
      <c r="AH89" s="13" t="s">
        <v>225</v>
      </c>
      <c r="AI89" s="13">
        <v>35</v>
      </c>
      <c r="AJ89" s="13">
        <v>70</v>
      </c>
      <c r="AK89" s="13" t="s">
        <v>34</v>
      </c>
      <c r="AL89" t="str">
        <f t="shared" si="3"/>
        <v>Neupane (2015) -Pure</v>
      </c>
    </row>
    <row r="90" spans="1:38" ht="15.6" x14ac:dyDescent="0.3">
      <c r="A90" s="11">
        <v>11.0625</v>
      </c>
      <c r="B90" s="11">
        <v>388.629283489096</v>
      </c>
      <c r="C90" s="10" t="s">
        <v>33</v>
      </c>
      <c r="D90" s="10" t="s">
        <v>35</v>
      </c>
      <c r="E90" s="10" t="s">
        <v>170</v>
      </c>
      <c r="F90" s="10">
        <v>0.14000000000000001</v>
      </c>
      <c r="G90" s="10">
        <v>0.3</v>
      </c>
      <c r="H90" s="10">
        <v>0.22700000000000001</v>
      </c>
      <c r="I90" s="10">
        <v>0.316</v>
      </c>
      <c r="J90" s="10">
        <v>2.25</v>
      </c>
      <c r="K90" s="10">
        <v>1.1599999999999999</v>
      </c>
      <c r="L90" s="10">
        <v>0</v>
      </c>
      <c r="M90" s="10">
        <v>50</v>
      </c>
      <c r="N90" s="10" t="s">
        <v>34</v>
      </c>
      <c r="O90" s="10">
        <v>0.79900000000000004</v>
      </c>
      <c r="P90" s="10">
        <v>0.47399999999999998</v>
      </c>
      <c r="Q90" s="10">
        <v>25.734000000000002</v>
      </c>
      <c r="R90" s="10">
        <v>2.645</v>
      </c>
      <c r="S90" s="10" t="s">
        <v>34</v>
      </c>
      <c r="T90" s="10" t="s">
        <v>49</v>
      </c>
      <c r="U90" s="10" t="s">
        <v>50</v>
      </c>
      <c r="V90" s="10" t="s">
        <v>38</v>
      </c>
      <c r="W90" s="10">
        <v>2</v>
      </c>
      <c r="X90" s="10">
        <v>1</v>
      </c>
      <c r="Y90" s="10">
        <v>1</v>
      </c>
      <c r="Z90" s="10" t="s">
        <v>223</v>
      </c>
      <c r="AA90" s="10">
        <v>1.3355999999999999</v>
      </c>
      <c r="AB90" s="10" t="s">
        <v>34</v>
      </c>
      <c r="AC90" s="10" t="s">
        <v>40</v>
      </c>
      <c r="AD90" s="10" t="s">
        <v>32</v>
      </c>
      <c r="AE90" s="10">
        <v>0.71009999999999995</v>
      </c>
      <c r="AF90" s="10" t="s">
        <v>224</v>
      </c>
      <c r="AG90" s="10">
        <v>2015</v>
      </c>
      <c r="AH90" s="10" t="s">
        <v>225</v>
      </c>
      <c r="AI90" s="10">
        <v>35</v>
      </c>
      <c r="AJ90" s="10">
        <v>70</v>
      </c>
      <c r="AK90" s="10" t="s">
        <v>34</v>
      </c>
      <c r="AL90" t="str">
        <f t="shared" si="3"/>
        <v>Neupane (2015) -Pure</v>
      </c>
    </row>
    <row r="91" spans="1:38" s="117" customFormat="1" ht="16.2" thickBot="1" x14ac:dyDescent="0.35">
      <c r="A91" s="17">
        <v>12.374999999999901</v>
      </c>
      <c r="B91" s="17">
        <v>331.77570093457899</v>
      </c>
      <c r="C91" s="14" t="s">
        <v>33</v>
      </c>
      <c r="D91" s="14" t="s">
        <v>35</v>
      </c>
      <c r="E91" s="14" t="s">
        <v>170</v>
      </c>
      <c r="F91" s="14">
        <v>0.14000000000000001</v>
      </c>
      <c r="G91" s="14">
        <v>0.3</v>
      </c>
      <c r="H91" s="14">
        <v>0.22700000000000001</v>
      </c>
      <c r="I91" s="14">
        <v>0.316</v>
      </c>
      <c r="J91" s="14">
        <v>2.25</v>
      </c>
      <c r="K91" s="14">
        <v>1.1599999999999999</v>
      </c>
      <c r="L91" s="14">
        <v>0</v>
      </c>
      <c r="M91" s="14">
        <v>50</v>
      </c>
      <c r="N91" s="14" t="s">
        <v>34</v>
      </c>
      <c r="O91" s="14">
        <v>0.79900000000000004</v>
      </c>
      <c r="P91" s="14">
        <v>0.47399999999999998</v>
      </c>
      <c r="Q91" s="14">
        <v>25.734000000000002</v>
      </c>
      <c r="R91" s="14">
        <v>2.645</v>
      </c>
      <c r="S91" s="14" t="s">
        <v>34</v>
      </c>
      <c r="T91" s="14" t="s">
        <v>49</v>
      </c>
      <c r="U91" s="14" t="s">
        <v>50</v>
      </c>
      <c r="V91" s="14" t="s">
        <v>38</v>
      </c>
      <c r="W91" s="14">
        <v>2</v>
      </c>
      <c r="X91" s="14">
        <v>1</v>
      </c>
      <c r="Y91" s="14">
        <v>1</v>
      </c>
      <c r="Z91" s="14" t="s">
        <v>223</v>
      </c>
      <c r="AA91" s="14">
        <v>1.3355999999999999</v>
      </c>
      <c r="AB91" s="14" t="s">
        <v>34</v>
      </c>
      <c r="AC91" s="14" t="s">
        <v>40</v>
      </c>
      <c r="AD91" s="14" t="s">
        <v>32</v>
      </c>
      <c r="AE91" s="14">
        <v>0.71009999999999995</v>
      </c>
      <c r="AF91" s="14" t="s">
        <v>224</v>
      </c>
      <c r="AG91" s="14">
        <v>2015</v>
      </c>
      <c r="AH91" s="14" t="s">
        <v>225</v>
      </c>
      <c r="AI91" s="14">
        <v>35</v>
      </c>
      <c r="AJ91" s="14">
        <v>70</v>
      </c>
      <c r="AK91" s="14" t="s">
        <v>34</v>
      </c>
      <c r="AL91" s="117" t="str">
        <f t="shared" si="3"/>
        <v>Neupane (2015) -Pure</v>
      </c>
    </row>
    <row r="92" spans="1:38" ht="15.6" x14ac:dyDescent="0.3">
      <c r="A92" s="12">
        <v>0.7</v>
      </c>
      <c r="B92" s="12">
        <v>902</v>
      </c>
      <c r="C92" s="13" t="s">
        <v>33</v>
      </c>
      <c r="D92" s="13" t="s">
        <v>226</v>
      </c>
      <c r="E92" s="13" t="s">
        <v>170</v>
      </c>
      <c r="F92" s="13" t="s">
        <v>34</v>
      </c>
      <c r="G92" s="13">
        <v>0.72</v>
      </c>
      <c r="H92" s="13" t="s">
        <v>34</v>
      </c>
      <c r="I92" s="13" t="s">
        <v>34</v>
      </c>
      <c r="J92" s="13" t="s">
        <v>34</v>
      </c>
      <c r="K92" s="13" t="s">
        <v>34</v>
      </c>
      <c r="L92" s="13" t="s">
        <v>34</v>
      </c>
      <c r="M92" s="13">
        <v>82</v>
      </c>
      <c r="N92" s="13" t="s">
        <v>34</v>
      </c>
      <c r="O92" s="13">
        <v>0.73</v>
      </c>
      <c r="P92" s="13">
        <v>0.48</v>
      </c>
      <c r="Q92" s="13">
        <v>20.78</v>
      </c>
      <c r="R92" s="13" t="s">
        <v>34</v>
      </c>
      <c r="S92" s="13" t="s">
        <v>34</v>
      </c>
      <c r="T92" s="13" t="s">
        <v>49</v>
      </c>
      <c r="U92" s="13" t="s">
        <v>50</v>
      </c>
      <c r="V92" s="13" t="s">
        <v>162</v>
      </c>
      <c r="W92" s="13" t="s">
        <v>34</v>
      </c>
      <c r="X92" s="13">
        <v>1</v>
      </c>
      <c r="Y92" s="13">
        <v>1.5</v>
      </c>
      <c r="Z92" s="13" t="s">
        <v>204</v>
      </c>
      <c r="AA92" s="13" t="s">
        <v>34</v>
      </c>
      <c r="AB92" s="13" t="s">
        <v>34</v>
      </c>
      <c r="AC92" s="13" t="s">
        <v>40</v>
      </c>
      <c r="AD92" s="13" t="s">
        <v>32</v>
      </c>
      <c r="AE92" s="13">
        <v>0.86</v>
      </c>
      <c r="AF92" s="13" t="s">
        <v>228</v>
      </c>
      <c r="AG92" s="13">
        <v>2018</v>
      </c>
      <c r="AH92" s="13" t="s">
        <v>229</v>
      </c>
      <c r="AI92" s="13">
        <v>51</v>
      </c>
      <c r="AJ92" s="13">
        <v>2</v>
      </c>
      <c r="AK92" s="13">
        <v>1.2450000000000001</v>
      </c>
      <c r="AL92" t="str">
        <f t="shared" si="3"/>
        <v>Pasillas (2018) -Pure</v>
      </c>
    </row>
    <row r="93" spans="1:38" ht="15.6" x14ac:dyDescent="0.3">
      <c r="A93" s="11">
        <v>0.7</v>
      </c>
      <c r="B93" s="11">
        <v>627</v>
      </c>
      <c r="C93" s="10" t="s">
        <v>33</v>
      </c>
      <c r="D93" s="10" t="s">
        <v>226</v>
      </c>
      <c r="E93" s="10" t="s">
        <v>170</v>
      </c>
      <c r="F93" s="10" t="s">
        <v>34</v>
      </c>
      <c r="G93" s="10">
        <v>0.72</v>
      </c>
      <c r="H93" s="10" t="s">
        <v>34</v>
      </c>
      <c r="I93" s="10" t="s">
        <v>34</v>
      </c>
      <c r="J93" s="10" t="s">
        <v>34</v>
      </c>
      <c r="K93" s="10" t="s">
        <v>34</v>
      </c>
      <c r="L93" s="10" t="s">
        <v>34</v>
      </c>
      <c r="M93" s="10">
        <v>81</v>
      </c>
      <c r="N93" s="10" t="s">
        <v>34</v>
      </c>
      <c r="O93" s="10">
        <v>0.73</v>
      </c>
      <c r="P93" s="10">
        <v>0.48</v>
      </c>
      <c r="Q93" s="10">
        <v>20.78</v>
      </c>
      <c r="R93" s="10" t="s">
        <v>34</v>
      </c>
      <c r="S93" s="10" t="s">
        <v>34</v>
      </c>
      <c r="T93" s="10" t="s">
        <v>49</v>
      </c>
      <c r="U93" s="10" t="s">
        <v>50</v>
      </c>
      <c r="V93" s="10" t="s">
        <v>162</v>
      </c>
      <c r="W93" s="10" t="s">
        <v>34</v>
      </c>
      <c r="X93" s="10">
        <v>1</v>
      </c>
      <c r="Y93" s="10">
        <v>1.5</v>
      </c>
      <c r="Z93" s="10" t="s">
        <v>204</v>
      </c>
      <c r="AA93" s="10" t="s">
        <v>34</v>
      </c>
      <c r="AB93" s="10" t="s">
        <v>34</v>
      </c>
      <c r="AC93" s="10" t="s">
        <v>40</v>
      </c>
      <c r="AD93" s="10" t="s">
        <v>32</v>
      </c>
      <c r="AE93" s="10">
        <v>0.86</v>
      </c>
      <c r="AF93" s="10" t="s">
        <v>228</v>
      </c>
      <c r="AG93" s="10">
        <v>2018</v>
      </c>
      <c r="AH93" s="10" t="s">
        <v>229</v>
      </c>
      <c r="AI93" s="10">
        <v>51</v>
      </c>
      <c r="AJ93" s="10">
        <v>2</v>
      </c>
      <c r="AK93" s="10">
        <v>1.2450000000000001</v>
      </c>
      <c r="AL93" t="str">
        <f t="shared" si="3"/>
        <v>Pasillas (2018) -Pure</v>
      </c>
    </row>
    <row r="94" spans="1:38" ht="15.6" x14ac:dyDescent="0.3">
      <c r="A94" s="11">
        <v>1.4</v>
      </c>
      <c r="B94" s="11">
        <v>221</v>
      </c>
      <c r="C94" s="10" t="s">
        <v>33</v>
      </c>
      <c r="D94" s="10" t="s">
        <v>227</v>
      </c>
      <c r="E94" s="10" t="s">
        <v>170</v>
      </c>
      <c r="F94" s="10" t="s">
        <v>34</v>
      </c>
      <c r="G94" s="10">
        <v>0.18</v>
      </c>
      <c r="H94" s="10" t="s">
        <v>34</v>
      </c>
      <c r="I94" s="10" t="s">
        <v>34</v>
      </c>
      <c r="J94" s="10" t="s">
        <v>34</v>
      </c>
      <c r="K94" s="10" t="s">
        <v>34</v>
      </c>
      <c r="L94" s="10" t="s">
        <v>34</v>
      </c>
      <c r="M94" s="10">
        <v>76</v>
      </c>
      <c r="N94" s="10" t="s">
        <v>34</v>
      </c>
      <c r="O94" s="10">
        <v>0.68</v>
      </c>
      <c r="P94" s="10">
        <v>0.44</v>
      </c>
      <c r="Q94" s="10">
        <v>18.68</v>
      </c>
      <c r="R94" s="10" t="s">
        <v>34</v>
      </c>
      <c r="S94" s="10" t="s">
        <v>34</v>
      </c>
      <c r="T94" s="10" t="s">
        <v>49</v>
      </c>
      <c r="U94" s="10" t="s">
        <v>50</v>
      </c>
      <c r="V94" s="10" t="s">
        <v>162</v>
      </c>
      <c r="W94" s="10" t="s">
        <v>34</v>
      </c>
      <c r="X94" s="10">
        <v>1</v>
      </c>
      <c r="Y94" s="10">
        <v>1.5</v>
      </c>
      <c r="Z94" s="10" t="s">
        <v>204</v>
      </c>
      <c r="AA94" s="10" t="s">
        <v>34</v>
      </c>
      <c r="AB94" s="10" t="s">
        <v>34</v>
      </c>
      <c r="AC94" s="10" t="s">
        <v>40</v>
      </c>
      <c r="AD94" s="10" t="s">
        <v>32</v>
      </c>
      <c r="AE94" s="10">
        <v>0.86</v>
      </c>
      <c r="AF94" s="10" t="s">
        <v>228</v>
      </c>
      <c r="AG94" s="10">
        <v>2018</v>
      </c>
      <c r="AH94" s="10" t="s">
        <v>229</v>
      </c>
      <c r="AI94" s="10">
        <v>51</v>
      </c>
      <c r="AJ94" s="10">
        <v>2</v>
      </c>
      <c r="AK94" s="10">
        <v>1.2450000000000001</v>
      </c>
      <c r="AL94" t="str">
        <f t="shared" si="3"/>
        <v>Pasillas (2018) -Pure</v>
      </c>
    </row>
    <row r="95" spans="1:38" s="117" customFormat="1" ht="16.2" thickBot="1" x14ac:dyDescent="0.35">
      <c r="A95" s="17">
        <v>1</v>
      </c>
      <c r="B95" s="17">
        <v>386</v>
      </c>
      <c r="C95" s="14" t="s">
        <v>33</v>
      </c>
      <c r="D95" s="14" t="s">
        <v>227</v>
      </c>
      <c r="E95" s="14" t="s">
        <v>170</v>
      </c>
      <c r="F95" s="14" t="s">
        <v>34</v>
      </c>
      <c r="G95" s="14">
        <v>0.18</v>
      </c>
      <c r="H95" s="14" t="s">
        <v>34</v>
      </c>
      <c r="I95" s="14" t="s">
        <v>34</v>
      </c>
      <c r="J95" s="14" t="s">
        <v>34</v>
      </c>
      <c r="K95" s="14" t="s">
        <v>34</v>
      </c>
      <c r="L95" s="14" t="s">
        <v>34</v>
      </c>
      <c r="M95" s="14">
        <v>78</v>
      </c>
      <c r="N95" s="14" t="s">
        <v>34</v>
      </c>
      <c r="O95" s="14">
        <v>0.68</v>
      </c>
      <c r="P95" s="14">
        <v>0.44</v>
      </c>
      <c r="Q95" s="14">
        <v>18.68</v>
      </c>
      <c r="R95" s="14" t="s">
        <v>34</v>
      </c>
      <c r="S95" s="14" t="s">
        <v>34</v>
      </c>
      <c r="T95" s="14" t="s">
        <v>49</v>
      </c>
      <c r="U95" s="14" t="s">
        <v>50</v>
      </c>
      <c r="V95" s="14" t="s">
        <v>162</v>
      </c>
      <c r="W95" s="14" t="s">
        <v>34</v>
      </c>
      <c r="X95" s="14">
        <v>1</v>
      </c>
      <c r="Y95" s="14">
        <v>1.5</v>
      </c>
      <c r="Z95" s="14" t="s">
        <v>204</v>
      </c>
      <c r="AA95" s="14" t="s">
        <v>34</v>
      </c>
      <c r="AB95" s="14" t="s">
        <v>34</v>
      </c>
      <c r="AC95" s="14" t="s">
        <v>40</v>
      </c>
      <c r="AD95" s="14" t="s">
        <v>32</v>
      </c>
      <c r="AE95" s="14">
        <v>0.86</v>
      </c>
      <c r="AF95" s="14" t="s">
        <v>228</v>
      </c>
      <c r="AG95" s="14">
        <v>2018</v>
      </c>
      <c r="AH95" s="14" t="s">
        <v>229</v>
      </c>
      <c r="AI95" s="14">
        <v>51</v>
      </c>
      <c r="AJ95" s="14">
        <v>2</v>
      </c>
      <c r="AK95" s="14">
        <v>1.2450000000000001</v>
      </c>
      <c r="AL95" s="117" t="str">
        <f t="shared" si="3"/>
        <v>Pasillas (2018) -Pure</v>
      </c>
    </row>
    <row r="96" spans="1:38" ht="15.6" x14ac:dyDescent="0.3">
      <c r="A96" s="12">
        <v>1.63</v>
      </c>
      <c r="B96" s="12">
        <v>133</v>
      </c>
      <c r="C96" s="13" t="s">
        <v>33</v>
      </c>
      <c r="D96" s="13" t="s">
        <v>226</v>
      </c>
      <c r="E96" s="13" t="s">
        <v>170</v>
      </c>
      <c r="F96" s="13" t="s">
        <v>34</v>
      </c>
      <c r="G96" s="13">
        <v>0.6</v>
      </c>
      <c r="H96" s="13" t="s">
        <v>34</v>
      </c>
      <c r="I96" s="13" t="s">
        <v>34</v>
      </c>
      <c r="J96" s="13">
        <v>1.2</v>
      </c>
      <c r="K96" s="13" t="s">
        <v>34</v>
      </c>
      <c r="L96" s="13">
        <v>0</v>
      </c>
      <c r="M96" s="13">
        <v>76</v>
      </c>
      <c r="N96" s="13">
        <v>1699.64</v>
      </c>
      <c r="O96" s="13">
        <v>0.74199999999999999</v>
      </c>
      <c r="P96" s="13">
        <v>0.502</v>
      </c>
      <c r="Q96" s="13">
        <v>0</v>
      </c>
      <c r="R96" s="13">
        <v>2.65</v>
      </c>
      <c r="S96" s="13" t="s">
        <v>34</v>
      </c>
      <c r="T96" s="13" t="s">
        <v>49</v>
      </c>
      <c r="U96" s="13" t="s">
        <v>50</v>
      </c>
      <c r="V96" s="13" t="s">
        <v>207</v>
      </c>
      <c r="W96" s="13" t="s">
        <v>34</v>
      </c>
      <c r="X96" s="13">
        <v>1</v>
      </c>
      <c r="Y96" s="13">
        <v>1.5</v>
      </c>
      <c r="Z96" s="13" t="s">
        <v>204</v>
      </c>
      <c r="AA96" s="12">
        <v>0.315</v>
      </c>
      <c r="AB96" s="13" t="s">
        <v>34</v>
      </c>
      <c r="AC96" s="13" t="s">
        <v>40</v>
      </c>
      <c r="AD96" s="13" t="s">
        <v>32</v>
      </c>
      <c r="AE96" s="13">
        <v>7.8100000000000003E-2</v>
      </c>
      <c r="AF96" s="13" t="s">
        <v>238</v>
      </c>
      <c r="AG96" s="13">
        <v>2019</v>
      </c>
      <c r="AH96" s="13" t="s">
        <v>239</v>
      </c>
      <c r="AI96" s="13">
        <v>51</v>
      </c>
      <c r="AJ96" s="13">
        <v>2</v>
      </c>
      <c r="AK96" s="13">
        <v>1.2450000000000001</v>
      </c>
      <c r="AL96" t="str">
        <f t="shared" si="3"/>
        <v>Almajed (2019) -Pure</v>
      </c>
    </row>
    <row r="97" spans="1:38" ht="15.6" x14ac:dyDescent="0.3">
      <c r="A97" s="11">
        <v>0.98</v>
      </c>
      <c r="B97" s="11">
        <v>158</v>
      </c>
      <c r="C97" s="10" t="s">
        <v>33</v>
      </c>
      <c r="D97" s="10" t="s">
        <v>226</v>
      </c>
      <c r="E97" s="10" t="s">
        <v>170</v>
      </c>
      <c r="F97" s="10" t="s">
        <v>34</v>
      </c>
      <c r="G97" s="10">
        <v>0.6</v>
      </c>
      <c r="H97" s="10" t="s">
        <v>34</v>
      </c>
      <c r="I97" s="10" t="s">
        <v>34</v>
      </c>
      <c r="J97" s="10">
        <v>1.2</v>
      </c>
      <c r="K97" s="10" t="s">
        <v>34</v>
      </c>
      <c r="L97" s="10">
        <v>0</v>
      </c>
      <c r="M97" s="10">
        <v>76</v>
      </c>
      <c r="N97" s="10">
        <v>1699.64</v>
      </c>
      <c r="O97" s="10">
        <v>0.74199999999999999</v>
      </c>
      <c r="P97" s="10">
        <v>0.502</v>
      </c>
      <c r="Q97" s="10">
        <v>0</v>
      </c>
      <c r="R97" s="10">
        <v>2.65</v>
      </c>
      <c r="S97" s="10" t="s">
        <v>34</v>
      </c>
      <c r="T97" s="10" t="s">
        <v>49</v>
      </c>
      <c r="U97" s="10" t="s">
        <v>50</v>
      </c>
      <c r="V97" s="10" t="s">
        <v>207</v>
      </c>
      <c r="W97" s="10" t="s">
        <v>34</v>
      </c>
      <c r="X97" s="10">
        <v>1</v>
      </c>
      <c r="Y97" s="10">
        <v>1.5</v>
      </c>
      <c r="Z97" s="10" t="s">
        <v>204</v>
      </c>
      <c r="AA97" s="11">
        <v>0.315</v>
      </c>
      <c r="AB97" s="10" t="s">
        <v>34</v>
      </c>
      <c r="AC97" s="10" t="s">
        <v>40</v>
      </c>
      <c r="AD97" s="10" t="s">
        <v>32</v>
      </c>
      <c r="AE97" s="10">
        <v>7.8100000000000003E-2</v>
      </c>
      <c r="AF97" s="10" t="s">
        <v>238</v>
      </c>
      <c r="AG97" s="10">
        <v>2019</v>
      </c>
      <c r="AH97" s="10" t="s">
        <v>239</v>
      </c>
      <c r="AI97" s="10">
        <v>51</v>
      </c>
      <c r="AJ97" s="10">
        <v>2</v>
      </c>
      <c r="AK97" s="10">
        <v>1.2450000000000001</v>
      </c>
      <c r="AL97" t="str">
        <f t="shared" si="3"/>
        <v>Almajed (2019) -Pure</v>
      </c>
    </row>
    <row r="98" spans="1:38" s="117" customFormat="1" ht="16.2" thickBot="1" x14ac:dyDescent="0.35">
      <c r="A98" s="17">
        <v>0.99</v>
      </c>
      <c r="B98" s="17">
        <v>124</v>
      </c>
      <c r="C98" s="14" t="s">
        <v>33</v>
      </c>
      <c r="D98" s="14" t="s">
        <v>226</v>
      </c>
      <c r="E98" s="14" t="s">
        <v>170</v>
      </c>
      <c r="F98" s="14" t="s">
        <v>34</v>
      </c>
      <c r="G98" s="14">
        <v>0.6</v>
      </c>
      <c r="H98" s="14" t="s">
        <v>34</v>
      </c>
      <c r="I98" s="14" t="s">
        <v>34</v>
      </c>
      <c r="J98" s="14">
        <v>1.2</v>
      </c>
      <c r="K98" s="14" t="s">
        <v>34</v>
      </c>
      <c r="L98" s="14">
        <v>0</v>
      </c>
      <c r="M98" s="14">
        <v>76</v>
      </c>
      <c r="N98" s="14">
        <v>1699.64</v>
      </c>
      <c r="O98" s="14">
        <v>0.74199999999999999</v>
      </c>
      <c r="P98" s="14">
        <v>0.502</v>
      </c>
      <c r="Q98" s="14">
        <v>0</v>
      </c>
      <c r="R98" s="14">
        <v>2.65</v>
      </c>
      <c r="S98" s="14" t="s">
        <v>34</v>
      </c>
      <c r="T98" s="14" t="s">
        <v>49</v>
      </c>
      <c r="U98" s="14" t="s">
        <v>50</v>
      </c>
      <c r="V98" s="14" t="s">
        <v>207</v>
      </c>
      <c r="W98" s="14" t="s">
        <v>34</v>
      </c>
      <c r="X98" s="14">
        <v>1</v>
      </c>
      <c r="Y98" s="14">
        <v>1.5</v>
      </c>
      <c r="Z98" s="14" t="s">
        <v>204</v>
      </c>
      <c r="AA98" s="17">
        <v>0.315</v>
      </c>
      <c r="AB98" s="14" t="s">
        <v>34</v>
      </c>
      <c r="AC98" s="14" t="s">
        <v>40</v>
      </c>
      <c r="AD98" s="14" t="s">
        <v>32</v>
      </c>
      <c r="AE98" s="14">
        <v>7.8100000000000003E-2</v>
      </c>
      <c r="AF98" s="14" t="s">
        <v>238</v>
      </c>
      <c r="AG98" s="14">
        <v>2019</v>
      </c>
      <c r="AH98" s="14" t="s">
        <v>239</v>
      </c>
      <c r="AI98" s="14">
        <v>51</v>
      </c>
      <c r="AJ98" s="14">
        <v>2</v>
      </c>
      <c r="AK98" s="14">
        <v>1.2450000000000001</v>
      </c>
      <c r="AL98" t="str">
        <f t="shared" si="3"/>
        <v>Almajed (2019) -Pure</v>
      </c>
    </row>
    <row r="99" spans="1:38" ht="15.6" x14ac:dyDescent="0.3">
      <c r="A99" s="12">
        <v>0.82</v>
      </c>
      <c r="B99" s="12">
        <v>1817</v>
      </c>
      <c r="C99" s="13" t="s">
        <v>33</v>
      </c>
      <c r="D99" s="13" t="s">
        <v>226</v>
      </c>
      <c r="E99" s="13" t="s">
        <v>170</v>
      </c>
      <c r="F99" s="13" t="s">
        <v>34</v>
      </c>
      <c r="G99" s="13">
        <v>0.6</v>
      </c>
      <c r="H99" s="13" t="s">
        <v>34</v>
      </c>
      <c r="I99" s="13" t="s">
        <v>34</v>
      </c>
      <c r="J99" s="13">
        <v>1.2</v>
      </c>
      <c r="K99" s="13" t="s">
        <v>34</v>
      </c>
      <c r="L99" s="13">
        <v>0</v>
      </c>
      <c r="M99" s="13">
        <v>76</v>
      </c>
      <c r="N99" s="13">
        <v>1699.64</v>
      </c>
      <c r="O99" s="13">
        <v>0.74199999999999999</v>
      </c>
      <c r="P99" s="13">
        <v>0.502</v>
      </c>
      <c r="Q99" s="13">
        <v>0</v>
      </c>
      <c r="R99" s="13">
        <v>2.65</v>
      </c>
      <c r="S99" s="13" t="s">
        <v>34</v>
      </c>
      <c r="T99" s="13" t="s">
        <v>49</v>
      </c>
      <c r="U99" s="13" t="s">
        <v>50</v>
      </c>
      <c r="V99" s="13" t="s">
        <v>207</v>
      </c>
      <c r="W99" s="13" t="s">
        <v>34</v>
      </c>
      <c r="X99" s="13">
        <v>1</v>
      </c>
      <c r="Y99" s="13">
        <v>1.5</v>
      </c>
      <c r="Z99" s="13" t="s">
        <v>204</v>
      </c>
      <c r="AA99" s="12">
        <v>0.315</v>
      </c>
      <c r="AB99" s="13" t="s">
        <v>34</v>
      </c>
      <c r="AC99" s="13" t="s">
        <v>203</v>
      </c>
      <c r="AD99" s="13" t="s">
        <v>32</v>
      </c>
      <c r="AE99" s="13">
        <v>0.71450000000000002</v>
      </c>
      <c r="AF99" s="13" t="s">
        <v>238</v>
      </c>
      <c r="AG99" s="13">
        <v>2019</v>
      </c>
      <c r="AH99" s="13" t="s">
        <v>239</v>
      </c>
      <c r="AI99" s="13">
        <v>51</v>
      </c>
      <c r="AJ99" s="13">
        <v>2</v>
      </c>
      <c r="AK99" s="13">
        <v>1.2450000000000001</v>
      </c>
      <c r="AL99" t="str">
        <f t="shared" si="3"/>
        <v>Almajed (2019) -NFMD</v>
      </c>
    </row>
    <row r="100" spans="1:38" ht="15.6" x14ac:dyDescent="0.3">
      <c r="A100" s="11">
        <v>0.79</v>
      </c>
      <c r="B100" s="11">
        <v>1654</v>
      </c>
      <c r="C100" s="10" t="s">
        <v>33</v>
      </c>
      <c r="D100" s="10" t="s">
        <v>226</v>
      </c>
      <c r="E100" s="10" t="s">
        <v>170</v>
      </c>
      <c r="F100" s="10" t="s">
        <v>34</v>
      </c>
      <c r="G100" s="10">
        <v>0.6</v>
      </c>
      <c r="H100" s="10" t="s">
        <v>34</v>
      </c>
      <c r="I100" s="10" t="s">
        <v>34</v>
      </c>
      <c r="J100" s="10">
        <v>1.2</v>
      </c>
      <c r="K100" s="10" t="s">
        <v>34</v>
      </c>
      <c r="L100" s="10">
        <v>0</v>
      </c>
      <c r="M100" s="10">
        <v>76</v>
      </c>
      <c r="N100" s="10">
        <v>1699.64</v>
      </c>
      <c r="O100" s="10">
        <v>0.74199999999999999</v>
      </c>
      <c r="P100" s="10">
        <v>0.502</v>
      </c>
      <c r="Q100" s="10">
        <v>0</v>
      </c>
      <c r="R100" s="10">
        <v>2.65</v>
      </c>
      <c r="S100" s="10" t="s">
        <v>34</v>
      </c>
      <c r="T100" s="10" t="s">
        <v>49</v>
      </c>
      <c r="U100" s="10" t="s">
        <v>50</v>
      </c>
      <c r="V100" s="10" t="s">
        <v>207</v>
      </c>
      <c r="W100" s="10" t="s">
        <v>34</v>
      </c>
      <c r="X100" s="10">
        <v>1</v>
      </c>
      <c r="Y100" s="10">
        <v>1.5</v>
      </c>
      <c r="Z100" s="10" t="s">
        <v>204</v>
      </c>
      <c r="AA100" s="11">
        <v>0.315</v>
      </c>
      <c r="AB100" s="10" t="s">
        <v>34</v>
      </c>
      <c r="AC100" s="10" t="s">
        <v>203</v>
      </c>
      <c r="AD100" s="10" t="s">
        <v>32</v>
      </c>
      <c r="AE100" s="10">
        <v>0.71450000000000002</v>
      </c>
      <c r="AF100" s="10" t="s">
        <v>238</v>
      </c>
      <c r="AG100" s="10">
        <v>2019</v>
      </c>
      <c r="AH100" s="10" t="s">
        <v>239</v>
      </c>
      <c r="AI100" s="10">
        <v>51</v>
      </c>
      <c r="AJ100" s="10">
        <v>2</v>
      </c>
      <c r="AK100" s="10">
        <v>1.2450000000000001</v>
      </c>
      <c r="AL100" t="str">
        <f t="shared" si="3"/>
        <v>Almajed (2019) -NFMD</v>
      </c>
    </row>
    <row r="101" spans="1:38" ht="15.6" x14ac:dyDescent="0.3">
      <c r="A101" s="11">
        <v>1.17</v>
      </c>
      <c r="B101" s="11">
        <v>1763</v>
      </c>
      <c r="C101" s="10" t="s">
        <v>33</v>
      </c>
      <c r="D101" s="10" t="s">
        <v>226</v>
      </c>
      <c r="E101" s="10" t="s">
        <v>170</v>
      </c>
      <c r="F101" s="10" t="s">
        <v>34</v>
      </c>
      <c r="G101" s="10">
        <v>0.6</v>
      </c>
      <c r="H101" s="10" t="s">
        <v>34</v>
      </c>
      <c r="I101" s="10" t="s">
        <v>34</v>
      </c>
      <c r="J101" s="10">
        <v>1.2</v>
      </c>
      <c r="K101" s="10" t="s">
        <v>34</v>
      </c>
      <c r="L101" s="10">
        <v>0</v>
      </c>
      <c r="M101" s="10">
        <v>76</v>
      </c>
      <c r="N101" s="10">
        <v>1699.64</v>
      </c>
      <c r="O101" s="10">
        <v>0.74199999999999999</v>
      </c>
      <c r="P101" s="10">
        <v>0.502</v>
      </c>
      <c r="Q101" s="10">
        <v>0</v>
      </c>
      <c r="R101" s="10">
        <v>2.65</v>
      </c>
      <c r="S101" s="10" t="s">
        <v>34</v>
      </c>
      <c r="T101" s="10" t="s">
        <v>49</v>
      </c>
      <c r="U101" s="10" t="s">
        <v>50</v>
      </c>
      <c r="V101" s="10" t="s">
        <v>207</v>
      </c>
      <c r="W101" s="10" t="s">
        <v>34</v>
      </c>
      <c r="X101" s="10">
        <v>1</v>
      </c>
      <c r="Y101" s="10">
        <v>1.5</v>
      </c>
      <c r="Z101" s="10" t="s">
        <v>204</v>
      </c>
      <c r="AA101" s="11">
        <v>0.315</v>
      </c>
      <c r="AB101" s="10" t="s">
        <v>34</v>
      </c>
      <c r="AC101" s="10" t="s">
        <v>203</v>
      </c>
      <c r="AD101" s="10" t="s">
        <v>32</v>
      </c>
      <c r="AE101" s="10">
        <v>0.71450000000000002</v>
      </c>
      <c r="AF101" s="10" t="s">
        <v>238</v>
      </c>
      <c r="AG101" s="10">
        <v>2019</v>
      </c>
      <c r="AH101" s="10" t="s">
        <v>239</v>
      </c>
      <c r="AI101" s="10">
        <v>51</v>
      </c>
      <c r="AJ101" s="10">
        <v>2</v>
      </c>
      <c r="AK101" s="10">
        <v>1.2450000000000001</v>
      </c>
      <c r="AL101" t="str">
        <f t="shared" si="3"/>
        <v>Almajed (2019) -NFMD</v>
      </c>
    </row>
    <row r="102" spans="1:38" ht="15.6" x14ac:dyDescent="0.3">
      <c r="A102" s="11">
        <v>0.56999999999999995</v>
      </c>
      <c r="B102" s="11">
        <v>1000</v>
      </c>
      <c r="C102" s="10" t="s">
        <v>33</v>
      </c>
      <c r="D102" s="10" t="s">
        <v>226</v>
      </c>
      <c r="E102" s="10" t="s">
        <v>170</v>
      </c>
      <c r="F102" s="10" t="s">
        <v>34</v>
      </c>
      <c r="G102" s="10">
        <v>0.6</v>
      </c>
      <c r="H102" s="10" t="s">
        <v>34</v>
      </c>
      <c r="I102" s="10" t="s">
        <v>34</v>
      </c>
      <c r="J102" s="10">
        <v>1.2</v>
      </c>
      <c r="K102" s="10" t="s">
        <v>34</v>
      </c>
      <c r="L102" s="10">
        <v>0</v>
      </c>
      <c r="M102" s="10">
        <v>76</v>
      </c>
      <c r="N102" s="10">
        <v>1699.64</v>
      </c>
      <c r="O102" s="10">
        <v>0.74199999999999999</v>
      </c>
      <c r="P102" s="10">
        <v>0.502</v>
      </c>
      <c r="Q102" s="10">
        <v>0</v>
      </c>
      <c r="R102" s="10">
        <v>2.65</v>
      </c>
      <c r="S102" s="10" t="s">
        <v>34</v>
      </c>
      <c r="T102" s="10" t="s">
        <v>49</v>
      </c>
      <c r="U102" s="10" t="s">
        <v>50</v>
      </c>
      <c r="V102" s="10" t="s">
        <v>207</v>
      </c>
      <c r="W102" s="10" t="s">
        <v>34</v>
      </c>
      <c r="X102" s="10">
        <v>0.37</v>
      </c>
      <c r="Y102" s="10">
        <v>1.48</v>
      </c>
      <c r="Z102" s="10" t="s">
        <v>204</v>
      </c>
      <c r="AA102" s="11">
        <v>8.9249999999999996E-2</v>
      </c>
      <c r="AB102" s="10" t="s">
        <v>34</v>
      </c>
      <c r="AC102" s="10" t="s">
        <v>203</v>
      </c>
      <c r="AD102" s="10" t="s">
        <v>32</v>
      </c>
      <c r="AE102" s="10">
        <v>0.71450000000000002</v>
      </c>
      <c r="AF102" s="10" t="s">
        <v>238</v>
      </c>
      <c r="AG102" s="10">
        <v>2019</v>
      </c>
      <c r="AH102" s="10" t="s">
        <v>239</v>
      </c>
      <c r="AI102" s="10">
        <v>51</v>
      </c>
      <c r="AJ102" s="10">
        <v>2</v>
      </c>
      <c r="AK102" s="10">
        <v>1.2450000000000001</v>
      </c>
      <c r="AL102" t="str">
        <f t="shared" si="3"/>
        <v>Almajed (2019) -NFMD</v>
      </c>
    </row>
    <row r="103" spans="1:38" ht="15.6" x14ac:dyDescent="0.3">
      <c r="A103" s="11">
        <v>0.71</v>
      </c>
      <c r="B103" s="11">
        <v>1396</v>
      </c>
      <c r="C103" s="10" t="s">
        <v>33</v>
      </c>
      <c r="D103" s="10" t="s">
        <v>226</v>
      </c>
      <c r="E103" s="10" t="s">
        <v>170</v>
      </c>
      <c r="F103" s="10" t="s">
        <v>34</v>
      </c>
      <c r="G103" s="10">
        <v>0.6</v>
      </c>
      <c r="H103" s="10" t="s">
        <v>34</v>
      </c>
      <c r="I103" s="10" t="s">
        <v>34</v>
      </c>
      <c r="J103" s="10">
        <v>1.2</v>
      </c>
      <c r="K103" s="10" t="s">
        <v>34</v>
      </c>
      <c r="L103" s="10">
        <v>0</v>
      </c>
      <c r="M103" s="10">
        <v>76</v>
      </c>
      <c r="N103" s="10">
        <v>1699.64</v>
      </c>
      <c r="O103" s="10">
        <v>0.74199999999999999</v>
      </c>
      <c r="P103" s="10">
        <v>0.502</v>
      </c>
      <c r="Q103" s="10">
        <v>0</v>
      </c>
      <c r="R103" s="10">
        <v>2.65</v>
      </c>
      <c r="S103" s="10" t="s">
        <v>34</v>
      </c>
      <c r="T103" s="10" t="s">
        <v>49</v>
      </c>
      <c r="U103" s="10" t="s">
        <v>50</v>
      </c>
      <c r="V103" s="10" t="s">
        <v>207</v>
      </c>
      <c r="W103" s="10" t="s">
        <v>34</v>
      </c>
      <c r="X103" s="10">
        <v>0.37</v>
      </c>
      <c r="Y103" s="10">
        <v>1.48</v>
      </c>
      <c r="Z103" s="10" t="s">
        <v>204</v>
      </c>
      <c r="AA103" s="11">
        <v>8.9249999999999996E-2</v>
      </c>
      <c r="AB103" s="10" t="s">
        <v>34</v>
      </c>
      <c r="AC103" s="10" t="s">
        <v>203</v>
      </c>
      <c r="AD103" s="10" t="s">
        <v>32</v>
      </c>
      <c r="AE103" s="10">
        <v>0.71450000000000002</v>
      </c>
      <c r="AF103" s="10" t="s">
        <v>238</v>
      </c>
      <c r="AG103" s="10">
        <v>2019</v>
      </c>
      <c r="AH103" s="10" t="s">
        <v>239</v>
      </c>
      <c r="AI103" s="10">
        <v>51</v>
      </c>
      <c r="AJ103" s="10">
        <v>2</v>
      </c>
      <c r="AK103" s="10">
        <v>1.2450000000000001</v>
      </c>
      <c r="AL103" t="str">
        <f t="shared" si="3"/>
        <v>Almajed (2019) -NFMD</v>
      </c>
    </row>
    <row r="104" spans="1:38" s="117" customFormat="1" ht="16.2" thickBot="1" x14ac:dyDescent="0.35">
      <c r="A104" s="17">
        <v>0.49</v>
      </c>
      <c r="B104" s="17">
        <v>941</v>
      </c>
      <c r="C104" s="14" t="s">
        <v>33</v>
      </c>
      <c r="D104" s="14" t="s">
        <v>226</v>
      </c>
      <c r="E104" s="14" t="s">
        <v>170</v>
      </c>
      <c r="F104" s="14" t="s">
        <v>34</v>
      </c>
      <c r="G104" s="14">
        <v>0.6</v>
      </c>
      <c r="H104" s="14" t="s">
        <v>34</v>
      </c>
      <c r="I104" s="14" t="s">
        <v>34</v>
      </c>
      <c r="J104" s="14">
        <v>1.2</v>
      </c>
      <c r="K104" s="14" t="s">
        <v>34</v>
      </c>
      <c r="L104" s="14">
        <v>0</v>
      </c>
      <c r="M104" s="14">
        <v>76</v>
      </c>
      <c r="N104" s="14">
        <v>1699.64</v>
      </c>
      <c r="O104" s="14">
        <v>0.74199999999999999</v>
      </c>
      <c r="P104" s="14">
        <v>0.502</v>
      </c>
      <c r="Q104" s="14">
        <v>0</v>
      </c>
      <c r="R104" s="14">
        <v>2.65</v>
      </c>
      <c r="S104" s="14" t="s">
        <v>34</v>
      </c>
      <c r="T104" s="14" t="s">
        <v>49</v>
      </c>
      <c r="U104" s="14" t="s">
        <v>50</v>
      </c>
      <c r="V104" s="14" t="s">
        <v>207</v>
      </c>
      <c r="W104" s="14" t="s">
        <v>34</v>
      </c>
      <c r="X104" s="14">
        <v>0.37</v>
      </c>
      <c r="Y104" s="14">
        <v>1.48</v>
      </c>
      <c r="Z104" s="14" t="s">
        <v>204</v>
      </c>
      <c r="AA104" s="17">
        <v>8.9249999999999996E-2</v>
      </c>
      <c r="AB104" s="14" t="s">
        <v>34</v>
      </c>
      <c r="AC104" s="14" t="s">
        <v>203</v>
      </c>
      <c r="AD104" s="14" t="s">
        <v>32</v>
      </c>
      <c r="AE104" s="14">
        <v>0.71450000000000002</v>
      </c>
      <c r="AF104" s="14" t="s">
        <v>238</v>
      </c>
      <c r="AG104" s="14">
        <v>2019</v>
      </c>
      <c r="AH104" s="14" t="s">
        <v>239</v>
      </c>
      <c r="AI104" s="14">
        <v>51</v>
      </c>
      <c r="AJ104" s="14">
        <v>2</v>
      </c>
      <c r="AK104" s="14">
        <v>1.2450000000000001</v>
      </c>
      <c r="AL104" t="str">
        <f t="shared" si="3"/>
        <v>Almajed (2019) -NFMD</v>
      </c>
    </row>
    <row r="105" spans="1:38" ht="15.6" x14ac:dyDescent="0.3">
      <c r="A105" s="12">
        <v>0</v>
      </c>
      <c r="B105" s="12">
        <v>30</v>
      </c>
      <c r="C105" s="13" t="s">
        <v>33</v>
      </c>
      <c r="D105" s="13" t="s">
        <v>245</v>
      </c>
      <c r="E105" s="13" t="s">
        <v>170</v>
      </c>
      <c r="F105" s="13">
        <v>0.15</v>
      </c>
      <c r="G105" s="13">
        <v>0.18</v>
      </c>
      <c r="H105" s="12">
        <v>0.16900000000000001</v>
      </c>
      <c r="I105" s="12">
        <v>0.1905</v>
      </c>
      <c r="J105" s="13">
        <v>1.27</v>
      </c>
      <c r="K105" s="13">
        <v>1.01</v>
      </c>
      <c r="L105" s="13">
        <v>0</v>
      </c>
      <c r="M105" s="13" t="s">
        <v>34</v>
      </c>
      <c r="N105" s="13">
        <v>1550</v>
      </c>
      <c r="O105" s="13">
        <v>1.171</v>
      </c>
      <c r="P105" s="13">
        <v>0.83899999999999997</v>
      </c>
      <c r="Q105" s="13">
        <v>2.78</v>
      </c>
      <c r="R105" s="13">
        <v>2.637</v>
      </c>
      <c r="S105" s="13" t="s">
        <v>34</v>
      </c>
      <c r="T105" s="13" t="s">
        <v>49</v>
      </c>
      <c r="U105" s="13" t="s">
        <v>246</v>
      </c>
      <c r="V105" s="13" t="s">
        <v>207</v>
      </c>
      <c r="W105" s="13" t="s">
        <v>34</v>
      </c>
      <c r="X105" s="13">
        <v>8.33</v>
      </c>
      <c r="Y105" s="13">
        <v>2.5</v>
      </c>
      <c r="Z105" s="13" t="s">
        <v>246</v>
      </c>
      <c r="AA105" s="13" t="s">
        <v>34</v>
      </c>
      <c r="AB105" s="13" t="s">
        <v>34</v>
      </c>
      <c r="AC105" s="13" t="s">
        <v>40</v>
      </c>
      <c r="AD105" s="13" t="s">
        <v>32</v>
      </c>
      <c r="AE105" s="13">
        <v>0.58599999999999997</v>
      </c>
      <c r="AF105" s="13" t="s">
        <v>250</v>
      </c>
      <c r="AG105" s="13">
        <v>2014</v>
      </c>
      <c r="AH105" s="13" t="s">
        <v>249</v>
      </c>
      <c r="AI105" s="13">
        <v>50</v>
      </c>
      <c r="AJ105" s="13">
        <v>2</v>
      </c>
      <c r="AK105" s="13">
        <v>1</v>
      </c>
      <c r="AL105" t="str">
        <f t="shared" si="3"/>
        <v>Park (2014) -Pure</v>
      </c>
    </row>
    <row r="106" spans="1:38" ht="15.6" x14ac:dyDescent="0.3">
      <c r="A106" s="11">
        <v>2.34</v>
      </c>
      <c r="B106" s="11">
        <v>90</v>
      </c>
      <c r="C106" s="10" t="s">
        <v>33</v>
      </c>
      <c r="D106" s="10" t="s">
        <v>245</v>
      </c>
      <c r="E106" s="10" t="s">
        <v>170</v>
      </c>
      <c r="F106" s="10">
        <v>0.15</v>
      </c>
      <c r="G106" s="10">
        <v>0.18</v>
      </c>
      <c r="H106" s="11">
        <v>0.16900000000000001</v>
      </c>
      <c r="I106" s="11">
        <v>0.1905</v>
      </c>
      <c r="J106" s="10">
        <v>1.27</v>
      </c>
      <c r="K106" s="10">
        <v>1.01</v>
      </c>
      <c r="L106" s="10">
        <v>0</v>
      </c>
      <c r="M106" s="10" t="s">
        <v>34</v>
      </c>
      <c r="N106" s="10">
        <v>1490</v>
      </c>
      <c r="O106" s="10">
        <v>1.171</v>
      </c>
      <c r="P106" s="10">
        <v>0.83899999999999997</v>
      </c>
      <c r="Q106" s="10">
        <v>4.6500000000000004</v>
      </c>
      <c r="R106" s="10">
        <v>2.637</v>
      </c>
      <c r="S106" s="10" t="s">
        <v>34</v>
      </c>
      <c r="T106" s="10" t="s">
        <v>49</v>
      </c>
      <c r="U106" s="10" t="s">
        <v>246</v>
      </c>
      <c r="V106" s="10" t="s">
        <v>207</v>
      </c>
      <c r="W106" s="10" t="s">
        <v>34</v>
      </c>
      <c r="X106" s="10">
        <v>1.66</v>
      </c>
      <c r="Y106" s="10">
        <v>0.5</v>
      </c>
      <c r="Z106" s="10" t="s">
        <v>246</v>
      </c>
      <c r="AA106" s="10" t="s">
        <v>34</v>
      </c>
      <c r="AB106" s="10" t="s">
        <v>34</v>
      </c>
      <c r="AC106" s="10" t="s">
        <v>40</v>
      </c>
      <c r="AD106" s="10" t="s">
        <v>32</v>
      </c>
      <c r="AE106" s="10">
        <v>0.58599999999999997</v>
      </c>
      <c r="AF106" s="10" t="s">
        <v>250</v>
      </c>
      <c r="AG106" s="10">
        <v>2014</v>
      </c>
      <c r="AH106" s="10" t="s">
        <v>249</v>
      </c>
      <c r="AI106" s="10">
        <v>50</v>
      </c>
      <c r="AJ106" s="10">
        <v>2</v>
      </c>
      <c r="AK106" s="10">
        <v>1</v>
      </c>
      <c r="AL106" t="str">
        <f t="shared" si="3"/>
        <v>Park (2014) -Pure</v>
      </c>
    </row>
    <row r="107" spans="1:38" ht="15.6" x14ac:dyDescent="0.3">
      <c r="A107" s="11">
        <v>6.37</v>
      </c>
      <c r="B107" s="11">
        <v>160</v>
      </c>
      <c r="C107" s="10" t="s">
        <v>33</v>
      </c>
      <c r="D107" s="10" t="s">
        <v>245</v>
      </c>
      <c r="E107" s="10" t="s">
        <v>170</v>
      </c>
      <c r="F107" s="10">
        <v>0.15</v>
      </c>
      <c r="G107" s="10">
        <v>0.18</v>
      </c>
      <c r="H107" s="11">
        <v>0.16900000000000001</v>
      </c>
      <c r="I107" s="11">
        <v>0.1905</v>
      </c>
      <c r="J107" s="10">
        <v>1.27</v>
      </c>
      <c r="K107" s="10">
        <v>1.01</v>
      </c>
      <c r="L107" s="10">
        <v>0</v>
      </c>
      <c r="M107" s="10" t="s">
        <v>34</v>
      </c>
      <c r="N107" s="10">
        <v>1460</v>
      </c>
      <c r="O107" s="10">
        <v>1.171</v>
      </c>
      <c r="P107" s="10">
        <v>0.83899999999999997</v>
      </c>
      <c r="Q107" s="10">
        <v>2.66</v>
      </c>
      <c r="R107" s="10">
        <v>2.637</v>
      </c>
      <c r="S107" s="10" t="s">
        <v>34</v>
      </c>
      <c r="T107" s="10" t="s">
        <v>49</v>
      </c>
      <c r="U107" s="10" t="s">
        <v>246</v>
      </c>
      <c r="V107" s="10" t="s">
        <v>207</v>
      </c>
      <c r="W107" s="10" t="s">
        <v>34</v>
      </c>
      <c r="X107" s="10">
        <v>3.33</v>
      </c>
      <c r="Y107" s="10">
        <v>1</v>
      </c>
      <c r="Z107" s="10" t="s">
        <v>246</v>
      </c>
      <c r="AA107" s="10" t="s">
        <v>34</v>
      </c>
      <c r="AB107" s="10" t="s">
        <v>34</v>
      </c>
      <c r="AC107" s="10" t="s">
        <v>40</v>
      </c>
      <c r="AD107" s="10" t="s">
        <v>32</v>
      </c>
      <c r="AE107" s="10">
        <v>0.58599999999999997</v>
      </c>
      <c r="AF107" s="10" t="s">
        <v>250</v>
      </c>
      <c r="AG107" s="10">
        <v>2014</v>
      </c>
      <c r="AH107" s="10" t="s">
        <v>249</v>
      </c>
      <c r="AI107" s="10">
        <v>50</v>
      </c>
      <c r="AJ107" s="10">
        <v>2</v>
      </c>
      <c r="AK107" s="10">
        <v>1</v>
      </c>
      <c r="AL107" t="str">
        <f t="shared" si="3"/>
        <v>Park (2014) -Pure</v>
      </c>
    </row>
    <row r="108" spans="1:38" s="117" customFormat="1" ht="16.2" thickBot="1" x14ac:dyDescent="0.35">
      <c r="A108" s="17">
        <v>6.58</v>
      </c>
      <c r="B108" s="17">
        <v>317</v>
      </c>
      <c r="C108" s="14" t="s">
        <v>33</v>
      </c>
      <c r="D108" s="14" t="s">
        <v>245</v>
      </c>
      <c r="E108" s="14" t="s">
        <v>170</v>
      </c>
      <c r="F108" s="14">
        <v>0.15</v>
      </c>
      <c r="G108" s="14">
        <v>0.18</v>
      </c>
      <c r="H108" s="17">
        <v>0.16900000000000001</v>
      </c>
      <c r="I108" s="17">
        <v>0.1905</v>
      </c>
      <c r="J108" s="14">
        <v>1.27</v>
      </c>
      <c r="K108" s="14">
        <v>1.01</v>
      </c>
      <c r="L108" s="14">
        <v>0</v>
      </c>
      <c r="M108" s="14" t="s">
        <v>34</v>
      </c>
      <c r="N108" s="14">
        <v>1520</v>
      </c>
      <c r="O108" s="14">
        <v>1.171</v>
      </c>
      <c r="P108" s="14">
        <v>0.83899999999999997</v>
      </c>
      <c r="Q108" s="14">
        <v>0.65</v>
      </c>
      <c r="R108" s="14">
        <v>2.637</v>
      </c>
      <c r="S108" s="14" t="s">
        <v>34</v>
      </c>
      <c r="T108" s="14" t="s">
        <v>49</v>
      </c>
      <c r="U108" s="14" t="s">
        <v>246</v>
      </c>
      <c r="V108" s="14" t="s">
        <v>207</v>
      </c>
      <c r="W108" s="14" t="s">
        <v>34</v>
      </c>
      <c r="X108" s="14">
        <v>8.33</v>
      </c>
      <c r="Y108" s="14">
        <v>2.5</v>
      </c>
      <c r="Z108" s="14" t="s">
        <v>246</v>
      </c>
      <c r="AA108" s="14" t="s">
        <v>34</v>
      </c>
      <c r="AB108" s="14" t="s">
        <v>34</v>
      </c>
      <c r="AC108" s="14" t="s">
        <v>40</v>
      </c>
      <c r="AD108" s="14" t="s">
        <v>32</v>
      </c>
      <c r="AE108" s="14">
        <v>0.58599999999999997</v>
      </c>
      <c r="AF108" s="14" t="s">
        <v>250</v>
      </c>
      <c r="AG108" s="14">
        <v>2014</v>
      </c>
      <c r="AH108" s="14" t="s">
        <v>249</v>
      </c>
      <c r="AI108" s="14">
        <v>50</v>
      </c>
      <c r="AJ108" s="14">
        <v>2</v>
      </c>
      <c r="AK108" s="14">
        <v>1</v>
      </c>
      <c r="AL108" t="str">
        <f t="shared" si="3"/>
        <v>Park (2014) -Pure</v>
      </c>
    </row>
    <row r="109" spans="1:38" ht="15.6" x14ac:dyDescent="0.3">
      <c r="A109" s="12">
        <v>1.1002570694087399</v>
      </c>
      <c r="B109" s="12">
        <v>28.972095889031301</v>
      </c>
      <c r="C109" s="13" t="s">
        <v>33</v>
      </c>
      <c r="D109" s="13" t="s">
        <v>35</v>
      </c>
      <c r="E109" s="13" t="s">
        <v>170</v>
      </c>
      <c r="F109" s="13">
        <v>0.154</v>
      </c>
      <c r="G109" s="13">
        <v>0.28799999999999998</v>
      </c>
      <c r="H109" s="13">
        <v>0.22800000000000001</v>
      </c>
      <c r="I109" s="13">
        <v>0.316</v>
      </c>
      <c r="J109" s="13">
        <v>1.55</v>
      </c>
      <c r="K109" s="13">
        <v>1.7</v>
      </c>
      <c r="L109" s="13">
        <v>0</v>
      </c>
      <c r="M109" s="13">
        <v>50</v>
      </c>
      <c r="N109" s="13">
        <v>1399.64</v>
      </c>
      <c r="O109" s="13">
        <v>0.89900000000000002</v>
      </c>
      <c r="P109" s="13">
        <v>0.54900000000000004</v>
      </c>
      <c r="Q109" s="13" t="s">
        <v>34</v>
      </c>
      <c r="R109" s="13">
        <v>2.653</v>
      </c>
      <c r="S109" s="13" t="s">
        <v>34</v>
      </c>
      <c r="T109" s="13" t="s">
        <v>49</v>
      </c>
      <c r="U109" s="13" t="s">
        <v>50</v>
      </c>
      <c r="V109" s="13" t="s">
        <v>162</v>
      </c>
      <c r="W109" s="13" t="s">
        <v>34</v>
      </c>
      <c r="X109" s="13">
        <v>0.5</v>
      </c>
      <c r="Y109" s="13">
        <v>1</v>
      </c>
      <c r="Z109" s="13" t="s">
        <v>204</v>
      </c>
      <c r="AA109" s="12">
        <v>0.94569999999999999</v>
      </c>
      <c r="AB109" s="13" t="s">
        <v>34</v>
      </c>
      <c r="AC109" s="13" t="s">
        <v>40</v>
      </c>
      <c r="AD109" s="13" t="s">
        <v>32</v>
      </c>
      <c r="AE109" s="13">
        <v>0.98050000000000004</v>
      </c>
      <c r="AF109" s="13" t="s">
        <v>251</v>
      </c>
      <c r="AG109" s="13">
        <v>2017</v>
      </c>
      <c r="AH109" s="13" t="s">
        <v>252</v>
      </c>
      <c r="AI109" s="13">
        <v>50</v>
      </c>
      <c r="AJ109" s="13">
        <v>100</v>
      </c>
      <c r="AK109" s="13" t="s">
        <v>34</v>
      </c>
      <c r="AL109" t="str">
        <f t="shared" si="3"/>
        <v>Putra (2017) -Pure</v>
      </c>
    </row>
    <row r="110" spans="1:38" ht="15.6" x14ac:dyDescent="0.3">
      <c r="A110" s="11">
        <v>2.1388174807197902</v>
      </c>
      <c r="B110" s="11">
        <v>45.705799019786298</v>
      </c>
      <c r="C110" s="10" t="s">
        <v>33</v>
      </c>
      <c r="D110" s="10" t="s">
        <v>35</v>
      </c>
      <c r="E110" s="10" t="s">
        <v>170</v>
      </c>
      <c r="F110" s="10">
        <v>0.154</v>
      </c>
      <c r="G110" s="10">
        <v>0.28799999999999998</v>
      </c>
      <c r="H110" s="10">
        <v>0.22800000000000001</v>
      </c>
      <c r="I110" s="10">
        <v>0.316</v>
      </c>
      <c r="J110" s="10">
        <v>1.55</v>
      </c>
      <c r="K110" s="10">
        <v>1.7</v>
      </c>
      <c r="L110" s="10">
        <v>0</v>
      </c>
      <c r="M110" s="10">
        <v>50</v>
      </c>
      <c r="N110" s="10">
        <v>1399.64</v>
      </c>
      <c r="O110" s="10">
        <v>0.89900000000000002</v>
      </c>
      <c r="P110" s="10">
        <v>0.54900000000000004</v>
      </c>
      <c r="Q110" s="10" t="s">
        <v>34</v>
      </c>
      <c r="R110" s="10">
        <v>2.653</v>
      </c>
      <c r="S110" s="10" t="s">
        <v>34</v>
      </c>
      <c r="T110" s="10" t="s">
        <v>49</v>
      </c>
      <c r="U110" s="10" t="s">
        <v>50</v>
      </c>
      <c r="V110" s="10" t="s">
        <v>162</v>
      </c>
      <c r="W110" s="10" t="s">
        <v>34</v>
      </c>
      <c r="X110" s="10">
        <v>0.5</v>
      </c>
      <c r="Y110" s="10">
        <v>1</v>
      </c>
      <c r="Z110" s="10" t="s">
        <v>204</v>
      </c>
      <c r="AA110" s="11">
        <v>0.94569999999999999</v>
      </c>
      <c r="AB110" s="10" t="s">
        <v>34</v>
      </c>
      <c r="AC110" s="10" t="s">
        <v>40</v>
      </c>
      <c r="AD110" s="10" t="s">
        <v>32</v>
      </c>
      <c r="AE110" s="10">
        <v>0.98050000000000004</v>
      </c>
      <c r="AF110" s="10" t="s">
        <v>251</v>
      </c>
      <c r="AG110" s="10">
        <v>2017</v>
      </c>
      <c r="AH110" s="10" t="s">
        <v>252</v>
      </c>
      <c r="AI110" s="10">
        <v>50</v>
      </c>
      <c r="AJ110" s="10">
        <v>100</v>
      </c>
      <c r="AK110" s="10" t="s">
        <v>34</v>
      </c>
      <c r="AL110" t="str">
        <f t="shared" si="3"/>
        <v>Putra (2017) -Pure</v>
      </c>
    </row>
    <row r="111" spans="1:38" ht="15.6" x14ac:dyDescent="0.3">
      <c r="A111" s="11">
        <v>3.0848329048843102</v>
      </c>
      <c r="B111" s="11">
        <v>68.392294410904597</v>
      </c>
      <c r="C111" s="10" t="s">
        <v>33</v>
      </c>
      <c r="D111" s="10" t="s">
        <v>35</v>
      </c>
      <c r="E111" s="10" t="s">
        <v>170</v>
      </c>
      <c r="F111" s="10">
        <v>0.154</v>
      </c>
      <c r="G111" s="10">
        <v>0.28799999999999998</v>
      </c>
      <c r="H111" s="10">
        <v>0.22800000000000001</v>
      </c>
      <c r="I111" s="10">
        <v>0.316</v>
      </c>
      <c r="J111" s="10">
        <v>1.55</v>
      </c>
      <c r="K111" s="10">
        <v>1.7</v>
      </c>
      <c r="L111" s="10">
        <v>0</v>
      </c>
      <c r="M111" s="10">
        <v>50</v>
      </c>
      <c r="N111" s="10">
        <v>1399.64</v>
      </c>
      <c r="O111" s="10">
        <v>0.89900000000000002</v>
      </c>
      <c r="P111" s="10">
        <v>0.54900000000000004</v>
      </c>
      <c r="Q111" s="10" t="s">
        <v>34</v>
      </c>
      <c r="R111" s="10">
        <v>2.653</v>
      </c>
      <c r="S111" s="10" t="s">
        <v>34</v>
      </c>
      <c r="T111" s="10" t="s">
        <v>49</v>
      </c>
      <c r="U111" s="10" t="s">
        <v>50</v>
      </c>
      <c r="V111" s="10" t="s">
        <v>162</v>
      </c>
      <c r="W111" s="10" t="s">
        <v>34</v>
      </c>
      <c r="X111" s="10">
        <v>0.5</v>
      </c>
      <c r="Y111" s="10">
        <v>1</v>
      </c>
      <c r="Z111" s="10" t="s">
        <v>204</v>
      </c>
      <c r="AA111" s="11">
        <v>0.94569999999999999</v>
      </c>
      <c r="AB111" s="10" t="s">
        <v>34</v>
      </c>
      <c r="AC111" s="10" t="s">
        <v>40</v>
      </c>
      <c r="AD111" s="10" t="s">
        <v>32</v>
      </c>
      <c r="AE111" s="10">
        <v>0.98050000000000004</v>
      </c>
      <c r="AF111" s="10" t="s">
        <v>251</v>
      </c>
      <c r="AG111" s="10">
        <v>2017</v>
      </c>
      <c r="AH111" s="10" t="s">
        <v>252</v>
      </c>
      <c r="AI111" s="10">
        <v>50</v>
      </c>
      <c r="AJ111" s="10">
        <v>100</v>
      </c>
      <c r="AK111" s="10" t="s">
        <v>34</v>
      </c>
      <c r="AL111" t="str">
        <f t="shared" si="3"/>
        <v>Putra (2017) -Pure</v>
      </c>
    </row>
    <row r="112" spans="1:38" ht="15.6" x14ac:dyDescent="0.3">
      <c r="A112" s="11">
        <v>4.6889460154241602</v>
      </c>
      <c r="B112" s="11">
        <v>24.723693038891</v>
      </c>
      <c r="C112" s="10" t="s">
        <v>33</v>
      </c>
      <c r="D112" s="10" t="s">
        <v>35</v>
      </c>
      <c r="E112" s="10" t="s">
        <v>170</v>
      </c>
      <c r="F112" s="10">
        <v>0.154</v>
      </c>
      <c r="G112" s="10">
        <v>0.28799999999999998</v>
      </c>
      <c r="H112" s="10">
        <v>0.22800000000000001</v>
      </c>
      <c r="I112" s="10">
        <v>0.316</v>
      </c>
      <c r="J112" s="10">
        <v>1.55</v>
      </c>
      <c r="K112" s="10">
        <v>1.7</v>
      </c>
      <c r="L112" s="10">
        <v>0</v>
      </c>
      <c r="M112" s="10">
        <v>50</v>
      </c>
      <c r="N112" s="10">
        <v>1399.64</v>
      </c>
      <c r="O112" s="10">
        <v>0.89900000000000002</v>
      </c>
      <c r="P112" s="10">
        <v>0.54900000000000004</v>
      </c>
      <c r="Q112" s="10" t="s">
        <v>34</v>
      </c>
      <c r="R112" s="10">
        <v>2.653</v>
      </c>
      <c r="S112" s="10" t="s">
        <v>34</v>
      </c>
      <c r="T112" s="10" t="s">
        <v>49</v>
      </c>
      <c r="U112" s="10" t="s">
        <v>50</v>
      </c>
      <c r="V112" s="10" t="s">
        <v>162</v>
      </c>
      <c r="W112" s="10" t="s">
        <v>34</v>
      </c>
      <c r="X112" s="10">
        <v>1</v>
      </c>
      <c r="Y112" s="10">
        <v>1</v>
      </c>
      <c r="Z112" s="10" t="s">
        <v>204</v>
      </c>
      <c r="AA112" s="11">
        <v>1.4484374999999998</v>
      </c>
      <c r="AB112" s="10" t="s">
        <v>34</v>
      </c>
      <c r="AC112" s="10" t="s">
        <v>40</v>
      </c>
      <c r="AD112" s="10" t="s">
        <v>32</v>
      </c>
      <c r="AE112" s="10">
        <v>0.99060000000000004</v>
      </c>
      <c r="AF112" s="10" t="s">
        <v>251</v>
      </c>
      <c r="AG112" s="10">
        <v>2017</v>
      </c>
      <c r="AH112" s="10" t="s">
        <v>252</v>
      </c>
      <c r="AI112" s="10">
        <v>50</v>
      </c>
      <c r="AJ112" s="10">
        <v>100</v>
      </c>
      <c r="AK112" s="10" t="s">
        <v>34</v>
      </c>
      <c r="AL112" t="str">
        <f t="shared" si="3"/>
        <v>Putra (2017) -Pure</v>
      </c>
    </row>
    <row r="113" spans="1:38" ht="15.6" x14ac:dyDescent="0.3">
      <c r="A113" s="11">
        <v>7.3007712082262204</v>
      </c>
      <c r="B113" s="11">
        <v>115.263809722554</v>
      </c>
      <c r="C113" s="10" t="s">
        <v>33</v>
      </c>
      <c r="D113" s="10" t="s">
        <v>35</v>
      </c>
      <c r="E113" s="10" t="s">
        <v>170</v>
      </c>
      <c r="F113" s="10">
        <v>0.154</v>
      </c>
      <c r="G113" s="10">
        <v>0.28799999999999998</v>
      </c>
      <c r="H113" s="10">
        <v>0.22800000000000001</v>
      </c>
      <c r="I113" s="10">
        <v>0.316</v>
      </c>
      <c r="J113" s="10">
        <v>1.55</v>
      </c>
      <c r="K113" s="10">
        <v>1.7</v>
      </c>
      <c r="L113" s="10">
        <v>0</v>
      </c>
      <c r="M113" s="10">
        <v>50</v>
      </c>
      <c r="N113" s="10">
        <v>1399.64</v>
      </c>
      <c r="O113" s="10">
        <v>0.89900000000000002</v>
      </c>
      <c r="P113" s="10">
        <v>0.54900000000000004</v>
      </c>
      <c r="Q113" s="10" t="s">
        <v>34</v>
      </c>
      <c r="R113" s="10">
        <v>2.653</v>
      </c>
      <c r="S113" s="10" t="s">
        <v>34</v>
      </c>
      <c r="T113" s="10" t="s">
        <v>49</v>
      </c>
      <c r="U113" s="10" t="s">
        <v>50</v>
      </c>
      <c r="V113" s="10" t="s">
        <v>162</v>
      </c>
      <c r="W113" s="10" t="s">
        <v>34</v>
      </c>
      <c r="X113" s="10">
        <v>1</v>
      </c>
      <c r="Y113" s="10">
        <v>1</v>
      </c>
      <c r="Z113" s="10" t="s">
        <v>204</v>
      </c>
      <c r="AA113" s="11">
        <v>1.4484374999999998</v>
      </c>
      <c r="AB113" s="10" t="s">
        <v>34</v>
      </c>
      <c r="AC113" s="10" t="s">
        <v>40</v>
      </c>
      <c r="AD113" s="10" t="s">
        <v>32</v>
      </c>
      <c r="AE113" s="10">
        <v>0.99060000000000004</v>
      </c>
      <c r="AF113" s="10" t="s">
        <v>251</v>
      </c>
      <c r="AG113" s="10">
        <v>2017</v>
      </c>
      <c r="AH113" s="10" t="s">
        <v>252</v>
      </c>
      <c r="AI113" s="10">
        <v>50</v>
      </c>
      <c r="AJ113" s="10">
        <v>100</v>
      </c>
      <c r="AK113" s="10" t="s">
        <v>34</v>
      </c>
      <c r="AL113" t="str">
        <f t="shared" si="3"/>
        <v>Putra (2017) -Pure</v>
      </c>
    </row>
    <row r="114" spans="1:38" s="117" customFormat="1" ht="16.2" thickBot="1" x14ac:dyDescent="0.35">
      <c r="A114" s="17">
        <v>9.5732647814909999</v>
      </c>
      <c r="B114" s="17">
        <v>229.14731752710799</v>
      </c>
      <c r="C114" s="14" t="s">
        <v>33</v>
      </c>
      <c r="D114" s="14" t="s">
        <v>35</v>
      </c>
      <c r="E114" s="14" t="s">
        <v>170</v>
      </c>
      <c r="F114" s="14">
        <v>0.154</v>
      </c>
      <c r="G114" s="14">
        <v>0.28799999999999998</v>
      </c>
      <c r="H114" s="14">
        <v>0.22800000000000001</v>
      </c>
      <c r="I114" s="14">
        <v>0.316</v>
      </c>
      <c r="J114" s="14">
        <v>1.55</v>
      </c>
      <c r="K114" s="14">
        <v>1.7</v>
      </c>
      <c r="L114" s="14">
        <v>0</v>
      </c>
      <c r="M114" s="14">
        <v>50</v>
      </c>
      <c r="N114" s="14">
        <v>1399.64</v>
      </c>
      <c r="O114" s="14">
        <v>0.89900000000000002</v>
      </c>
      <c r="P114" s="14">
        <v>0.54900000000000004</v>
      </c>
      <c r="Q114" s="14" t="s">
        <v>34</v>
      </c>
      <c r="R114" s="14">
        <v>2.653</v>
      </c>
      <c r="S114" s="14" t="s">
        <v>34</v>
      </c>
      <c r="T114" s="14" t="s">
        <v>49</v>
      </c>
      <c r="U114" s="14" t="s">
        <v>50</v>
      </c>
      <c r="V114" s="14" t="s">
        <v>162</v>
      </c>
      <c r="W114" s="14" t="s">
        <v>34</v>
      </c>
      <c r="X114" s="14">
        <v>1</v>
      </c>
      <c r="Y114" s="14">
        <v>1</v>
      </c>
      <c r="Z114" s="14" t="s">
        <v>204</v>
      </c>
      <c r="AA114" s="17">
        <v>1.4484374999999998</v>
      </c>
      <c r="AB114" s="14" t="s">
        <v>34</v>
      </c>
      <c r="AC114" s="14" t="s">
        <v>40</v>
      </c>
      <c r="AD114" s="14" t="s">
        <v>32</v>
      </c>
      <c r="AE114" s="14">
        <v>0.99060000000000004</v>
      </c>
      <c r="AF114" s="14" t="s">
        <v>251</v>
      </c>
      <c r="AG114" s="14">
        <v>2017</v>
      </c>
      <c r="AH114" s="14" t="s">
        <v>252</v>
      </c>
      <c r="AI114" s="14">
        <v>50</v>
      </c>
      <c r="AJ114" s="14">
        <v>100</v>
      </c>
      <c r="AK114" s="14" t="s">
        <v>34</v>
      </c>
      <c r="AL114" t="str">
        <f t="shared" si="3"/>
        <v>Putra (2017) -Pure</v>
      </c>
    </row>
    <row r="115" spans="1:38" ht="15.6" x14ac:dyDescent="0.3">
      <c r="A115" s="12">
        <v>1.21</v>
      </c>
      <c r="B115" s="12">
        <v>99</v>
      </c>
      <c r="C115" s="13" t="s">
        <v>33</v>
      </c>
      <c r="D115" s="13" t="s">
        <v>226</v>
      </c>
      <c r="E115" s="13" t="s">
        <v>170</v>
      </c>
      <c r="F115" s="13">
        <v>0.65</v>
      </c>
      <c r="G115" s="13">
        <v>0.72</v>
      </c>
      <c r="H115" s="13" t="s">
        <v>34</v>
      </c>
      <c r="I115" s="13" t="s">
        <v>34</v>
      </c>
      <c r="J115" s="13" t="s">
        <v>34</v>
      </c>
      <c r="K115" s="13" t="s">
        <v>34</v>
      </c>
      <c r="L115" s="13">
        <v>0</v>
      </c>
      <c r="M115" s="13">
        <v>45</v>
      </c>
      <c r="N115" s="13">
        <v>1622</v>
      </c>
      <c r="O115" s="13">
        <v>0.74199999999999999</v>
      </c>
      <c r="P115" s="13">
        <v>0.502</v>
      </c>
      <c r="Q115" s="13">
        <v>0</v>
      </c>
      <c r="R115" s="13">
        <v>2.65</v>
      </c>
      <c r="S115" s="13" t="s">
        <v>34</v>
      </c>
      <c r="T115" s="13" t="s">
        <v>49</v>
      </c>
      <c r="U115" s="13" t="s">
        <v>50</v>
      </c>
      <c r="V115" s="13" t="s">
        <v>162</v>
      </c>
      <c r="W115" s="13">
        <v>4</v>
      </c>
      <c r="X115" s="13">
        <v>1</v>
      </c>
      <c r="Y115" s="13">
        <v>0.67</v>
      </c>
      <c r="Z115" s="13" t="s">
        <v>204</v>
      </c>
      <c r="AA115" s="13">
        <v>0.315</v>
      </c>
      <c r="AB115" s="13" t="s">
        <v>34</v>
      </c>
      <c r="AC115" s="13" t="s">
        <v>40</v>
      </c>
      <c r="AD115" s="13" t="s">
        <v>32</v>
      </c>
      <c r="AE115" s="13">
        <v>0.84509999999999996</v>
      </c>
      <c r="AF115" s="13" t="s">
        <v>238</v>
      </c>
      <c r="AG115" s="13">
        <v>2018</v>
      </c>
      <c r="AH115" s="13" t="s">
        <v>253</v>
      </c>
      <c r="AI115" s="13">
        <v>50</v>
      </c>
      <c r="AJ115" s="13">
        <v>100</v>
      </c>
      <c r="AK115" s="13">
        <v>1.27</v>
      </c>
      <c r="AL115" t="str">
        <f t="shared" si="3"/>
        <v>Almajed (2018) -Pure</v>
      </c>
    </row>
    <row r="116" spans="1:38" ht="15.6" x14ac:dyDescent="0.3">
      <c r="A116" s="11">
        <v>2.17</v>
      </c>
      <c r="B116" s="11">
        <v>291</v>
      </c>
      <c r="C116" s="10" t="s">
        <v>33</v>
      </c>
      <c r="D116" s="10" t="s">
        <v>226</v>
      </c>
      <c r="E116" s="10" t="s">
        <v>170</v>
      </c>
      <c r="F116" s="10">
        <v>0.65</v>
      </c>
      <c r="G116" s="10">
        <v>0.72</v>
      </c>
      <c r="H116" s="10" t="s">
        <v>34</v>
      </c>
      <c r="I116" s="10" t="s">
        <v>34</v>
      </c>
      <c r="J116" s="10" t="s">
        <v>34</v>
      </c>
      <c r="K116" s="10" t="s">
        <v>34</v>
      </c>
      <c r="L116" s="10">
        <v>0</v>
      </c>
      <c r="M116" s="10">
        <v>45</v>
      </c>
      <c r="N116" s="10">
        <v>1622</v>
      </c>
      <c r="O116" s="10">
        <v>0.74199999999999999</v>
      </c>
      <c r="P116" s="10">
        <v>0.502</v>
      </c>
      <c r="Q116" s="10">
        <v>0</v>
      </c>
      <c r="R116" s="10">
        <v>2.65</v>
      </c>
      <c r="S116" s="10" t="s">
        <v>34</v>
      </c>
      <c r="T116" s="10" t="s">
        <v>49</v>
      </c>
      <c r="U116" s="10" t="s">
        <v>50</v>
      </c>
      <c r="V116" s="10" t="s">
        <v>162</v>
      </c>
      <c r="W116" s="10">
        <v>4</v>
      </c>
      <c r="X116" s="10">
        <v>1</v>
      </c>
      <c r="Y116" s="10">
        <v>0.67</v>
      </c>
      <c r="Z116" s="10" t="s">
        <v>204</v>
      </c>
      <c r="AA116" s="10">
        <v>0.315</v>
      </c>
      <c r="AB116" s="10" t="s">
        <v>34</v>
      </c>
      <c r="AC116" s="10" t="s">
        <v>40</v>
      </c>
      <c r="AD116" s="10" t="s">
        <v>32</v>
      </c>
      <c r="AE116" s="10">
        <v>0.84509999999999996</v>
      </c>
      <c r="AF116" s="10" t="s">
        <v>238</v>
      </c>
      <c r="AG116" s="10">
        <v>2018</v>
      </c>
      <c r="AH116" s="10" t="s">
        <v>253</v>
      </c>
      <c r="AI116" s="10">
        <v>50</v>
      </c>
      <c r="AJ116" s="10">
        <v>100</v>
      </c>
      <c r="AK116" s="10">
        <v>1.27</v>
      </c>
      <c r="AL116" t="str">
        <f t="shared" si="3"/>
        <v>Almajed (2018) -Pure</v>
      </c>
    </row>
    <row r="117" spans="1:38" ht="15.6" x14ac:dyDescent="0.3">
      <c r="A117" s="11">
        <v>3.05</v>
      </c>
      <c r="B117" s="11">
        <v>430</v>
      </c>
      <c r="C117" s="10" t="s">
        <v>33</v>
      </c>
      <c r="D117" s="10" t="s">
        <v>226</v>
      </c>
      <c r="E117" s="10" t="s">
        <v>170</v>
      </c>
      <c r="F117" s="10">
        <v>0.65</v>
      </c>
      <c r="G117" s="10">
        <v>0.72</v>
      </c>
      <c r="H117" s="10" t="s">
        <v>34</v>
      </c>
      <c r="I117" s="10" t="s">
        <v>34</v>
      </c>
      <c r="J117" s="10" t="s">
        <v>34</v>
      </c>
      <c r="K117" s="10" t="s">
        <v>34</v>
      </c>
      <c r="L117" s="10">
        <v>0</v>
      </c>
      <c r="M117" s="10">
        <v>45</v>
      </c>
      <c r="N117" s="10">
        <v>1622</v>
      </c>
      <c r="O117" s="10">
        <v>0.74199999999999999</v>
      </c>
      <c r="P117" s="10">
        <v>0.502</v>
      </c>
      <c r="Q117" s="10">
        <v>0</v>
      </c>
      <c r="R117" s="10">
        <v>2.65</v>
      </c>
      <c r="S117" s="10" t="s">
        <v>34</v>
      </c>
      <c r="T117" s="10" t="s">
        <v>49</v>
      </c>
      <c r="U117" s="10" t="s">
        <v>50</v>
      </c>
      <c r="V117" s="10" t="s">
        <v>162</v>
      </c>
      <c r="W117" s="10">
        <v>4</v>
      </c>
      <c r="X117" s="10">
        <v>1</v>
      </c>
      <c r="Y117" s="10">
        <v>0.67</v>
      </c>
      <c r="Z117" s="10" t="s">
        <v>204</v>
      </c>
      <c r="AA117" s="10">
        <v>0.315</v>
      </c>
      <c r="AB117" s="10" t="s">
        <v>34</v>
      </c>
      <c r="AC117" s="10" t="s">
        <v>40</v>
      </c>
      <c r="AD117" s="10" t="s">
        <v>32</v>
      </c>
      <c r="AE117" s="10">
        <v>0.84509999999999996</v>
      </c>
      <c r="AF117" s="10" t="s">
        <v>238</v>
      </c>
      <c r="AG117" s="10">
        <v>2018</v>
      </c>
      <c r="AH117" s="10" t="s">
        <v>253</v>
      </c>
      <c r="AI117" s="10">
        <v>50</v>
      </c>
      <c r="AJ117" s="10">
        <v>100</v>
      </c>
      <c r="AK117" s="10">
        <v>1.27</v>
      </c>
      <c r="AL117" t="str">
        <f t="shared" si="3"/>
        <v>Almajed (2018) -Pure</v>
      </c>
    </row>
    <row r="118" spans="1:38" s="117" customFormat="1" ht="16.2" thickBot="1" x14ac:dyDescent="0.35">
      <c r="A118" s="17">
        <v>3.64</v>
      </c>
      <c r="B118" s="17">
        <v>1268</v>
      </c>
      <c r="C118" s="14" t="s">
        <v>33</v>
      </c>
      <c r="D118" s="14" t="s">
        <v>226</v>
      </c>
      <c r="E118" s="14" t="s">
        <v>170</v>
      </c>
      <c r="F118" s="14">
        <v>0.65</v>
      </c>
      <c r="G118" s="14">
        <v>0.72</v>
      </c>
      <c r="H118" s="14" t="s">
        <v>34</v>
      </c>
      <c r="I118" s="14" t="s">
        <v>34</v>
      </c>
      <c r="J118" s="14" t="s">
        <v>34</v>
      </c>
      <c r="K118" s="14" t="s">
        <v>34</v>
      </c>
      <c r="L118" s="14">
        <v>0</v>
      </c>
      <c r="M118" s="14">
        <v>45</v>
      </c>
      <c r="N118" s="14">
        <v>1622</v>
      </c>
      <c r="O118" s="14">
        <v>0.74199999999999999</v>
      </c>
      <c r="P118" s="14">
        <v>0.502</v>
      </c>
      <c r="Q118" s="14">
        <v>0</v>
      </c>
      <c r="R118" s="14">
        <v>2.65</v>
      </c>
      <c r="S118" s="14" t="s">
        <v>34</v>
      </c>
      <c r="T118" s="14" t="s">
        <v>49</v>
      </c>
      <c r="U118" s="14" t="s">
        <v>50</v>
      </c>
      <c r="V118" s="14" t="s">
        <v>162</v>
      </c>
      <c r="W118" s="14">
        <v>4</v>
      </c>
      <c r="X118" s="14">
        <v>1</v>
      </c>
      <c r="Y118" s="14">
        <v>0.67</v>
      </c>
      <c r="Z118" s="14" t="s">
        <v>204</v>
      </c>
      <c r="AA118" s="14">
        <v>0.315</v>
      </c>
      <c r="AB118" s="14" t="s">
        <v>34</v>
      </c>
      <c r="AC118" s="14" t="s">
        <v>40</v>
      </c>
      <c r="AD118" s="14" t="s">
        <v>32</v>
      </c>
      <c r="AE118" s="14">
        <v>0.84509999999999996</v>
      </c>
      <c r="AF118" s="14" t="s">
        <v>238</v>
      </c>
      <c r="AG118" s="14">
        <v>2018</v>
      </c>
      <c r="AH118" s="14" t="s">
        <v>253</v>
      </c>
      <c r="AI118" s="14">
        <v>50</v>
      </c>
      <c r="AJ118" s="14">
        <v>100</v>
      </c>
      <c r="AK118" s="14">
        <v>1.27</v>
      </c>
      <c r="AL118" t="str">
        <f t="shared" si="3"/>
        <v>Almajed (2018) -Pure</v>
      </c>
    </row>
    <row r="119" spans="1:38" ht="15.6" x14ac:dyDescent="0.3">
      <c r="A119" s="12">
        <v>2.23</v>
      </c>
      <c r="B119" s="12">
        <v>600</v>
      </c>
      <c r="C119" s="13" t="s">
        <v>33</v>
      </c>
      <c r="D119" s="13" t="s">
        <v>35</v>
      </c>
      <c r="E119" s="13" t="s">
        <v>170</v>
      </c>
      <c r="F119" s="13">
        <v>0.57999999999999996</v>
      </c>
      <c r="G119" s="13">
        <v>0.72</v>
      </c>
      <c r="H119" s="13" t="s">
        <v>34</v>
      </c>
      <c r="I119" s="13" t="s">
        <v>34</v>
      </c>
      <c r="J119" s="13" t="s">
        <v>34</v>
      </c>
      <c r="K119" s="13" t="s">
        <v>34</v>
      </c>
      <c r="L119" s="13">
        <v>0</v>
      </c>
      <c r="M119" s="13">
        <f t="shared" ref="M119:M127" si="4">IF(O119="NA","NA",63.04)</f>
        <v>63.04</v>
      </c>
      <c r="N119" s="13" t="s">
        <v>34</v>
      </c>
      <c r="O119" s="13">
        <f t="shared" ref="O119:O127" si="5">IF(C119="SP",0.74,"NA")</f>
        <v>0.74</v>
      </c>
      <c r="P119" s="13">
        <f t="shared" ref="P119:P127" si="6">IF(C119="SP",0.51,"NA")</f>
        <v>0.51</v>
      </c>
      <c r="Q119" s="13">
        <v>0</v>
      </c>
      <c r="R119" s="13">
        <f t="shared" ref="R119:R127" si="7">IF(C119="SP",2.65, "NA")</f>
        <v>2.65</v>
      </c>
      <c r="S119" s="36">
        <v>1.01E-3</v>
      </c>
      <c r="T119" s="13" t="s">
        <v>49</v>
      </c>
      <c r="U119" s="13" t="s">
        <v>199</v>
      </c>
      <c r="V119" s="13" t="s">
        <v>162</v>
      </c>
      <c r="W119" s="13">
        <v>8</v>
      </c>
      <c r="X119" s="13">
        <v>0.3</v>
      </c>
      <c r="Y119" s="13">
        <v>1</v>
      </c>
      <c r="Z119" s="13" t="s">
        <v>200</v>
      </c>
      <c r="AA119" s="13">
        <v>0.27</v>
      </c>
      <c r="AB119" s="13" t="s">
        <v>34</v>
      </c>
      <c r="AC119" s="13" t="s">
        <v>40</v>
      </c>
      <c r="AD119" s="13" t="s">
        <v>32</v>
      </c>
      <c r="AE119" s="13">
        <f t="shared" ref="AE119:AE127" si="8">IF(C119="SP",0.092,IF(C119="SP-SM",0.422,0.71))</f>
        <v>9.1999999999999998E-2</v>
      </c>
      <c r="AF119" s="13" t="s">
        <v>201</v>
      </c>
      <c r="AG119" s="13">
        <v>2019</v>
      </c>
      <c r="AH119" s="13" t="s">
        <v>259</v>
      </c>
      <c r="AI119" s="13">
        <v>50</v>
      </c>
      <c r="AJ119" s="13">
        <v>100</v>
      </c>
      <c r="AK119" s="13">
        <v>2</v>
      </c>
      <c r="AL119" t="str">
        <f t="shared" si="3"/>
        <v>Hoang (2019) -Pure</v>
      </c>
    </row>
    <row r="120" spans="1:38" ht="15.6" x14ac:dyDescent="0.3">
      <c r="A120" s="11">
        <v>4.0999999999999996</v>
      </c>
      <c r="B120" s="11">
        <v>394</v>
      </c>
      <c r="C120" s="10" t="s">
        <v>254</v>
      </c>
      <c r="D120" s="10" t="s">
        <v>257</v>
      </c>
      <c r="E120" s="10" t="s">
        <v>170</v>
      </c>
      <c r="F120" s="10">
        <v>0.06</v>
      </c>
      <c r="G120" s="10">
        <v>0.7</v>
      </c>
      <c r="H120" s="10" t="s">
        <v>34</v>
      </c>
      <c r="I120" s="10" t="s">
        <v>34</v>
      </c>
      <c r="J120" s="10" t="s">
        <v>34</v>
      </c>
      <c r="K120" s="10" t="s">
        <v>34</v>
      </c>
      <c r="L120" s="10">
        <v>10</v>
      </c>
      <c r="M120" s="10" t="str">
        <f t="shared" si="4"/>
        <v>NA</v>
      </c>
      <c r="N120" s="10" t="s">
        <v>34</v>
      </c>
      <c r="O120" s="10" t="str">
        <f t="shared" si="5"/>
        <v>NA</v>
      </c>
      <c r="P120" s="10" t="str">
        <f t="shared" si="6"/>
        <v>NA</v>
      </c>
      <c r="Q120" s="10">
        <v>0</v>
      </c>
      <c r="R120" s="10" t="str">
        <f t="shared" si="7"/>
        <v>NA</v>
      </c>
      <c r="S120" s="45">
        <v>6.4100000000000008E-4</v>
      </c>
      <c r="T120" s="10" t="s">
        <v>49</v>
      </c>
      <c r="U120" s="10" t="s">
        <v>199</v>
      </c>
      <c r="V120" s="10" t="s">
        <v>162</v>
      </c>
      <c r="W120" s="10">
        <v>8</v>
      </c>
      <c r="X120" s="10">
        <v>0.3</v>
      </c>
      <c r="Y120" s="10">
        <v>1</v>
      </c>
      <c r="Z120" s="10" t="s">
        <v>200</v>
      </c>
      <c r="AA120" s="10">
        <v>0.27</v>
      </c>
      <c r="AB120" s="10" t="s">
        <v>34</v>
      </c>
      <c r="AC120" s="10" t="s">
        <v>40</v>
      </c>
      <c r="AD120" s="10" t="s">
        <v>32</v>
      </c>
      <c r="AE120" s="10">
        <f t="shared" si="8"/>
        <v>0.42199999999999999</v>
      </c>
      <c r="AF120" s="10" t="s">
        <v>201</v>
      </c>
      <c r="AG120" s="10">
        <v>2019</v>
      </c>
      <c r="AH120" s="10" t="s">
        <v>259</v>
      </c>
      <c r="AI120" s="10">
        <v>50</v>
      </c>
      <c r="AJ120" s="10">
        <v>100</v>
      </c>
      <c r="AK120" s="10">
        <v>2</v>
      </c>
      <c r="AL120" t="str">
        <f t="shared" si="3"/>
        <v>Hoang (2019) -Pure</v>
      </c>
    </row>
    <row r="121" spans="1:38" ht="15.6" x14ac:dyDescent="0.3">
      <c r="A121" s="11">
        <v>5.47</v>
      </c>
      <c r="B121" s="11">
        <v>231</v>
      </c>
      <c r="C121" s="10" t="s">
        <v>255</v>
      </c>
      <c r="D121" s="10" t="s">
        <v>258</v>
      </c>
      <c r="E121" s="10" t="s">
        <v>170</v>
      </c>
      <c r="F121" s="10">
        <v>2.8000000000000001E-2</v>
      </c>
      <c r="G121" s="10">
        <v>0.67</v>
      </c>
      <c r="H121" s="10" t="s">
        <v>34</v>
      </c>
      <c r="I121" s="10" t="s">
        <v>34</v>
      </c>
      <c r="J121" s="10" t="s">
        <v>34</v>
      </c>
      <c r="K121" s="10" t="s">
        <v>34</v>
      </c>
      <c r="L121" s="10">
        <v>20</v>
      </c>
      <c r="M121" s="10" t="str">
        <f t="shared" si="4"/>
        <v>NA</v>
      </c>
      <c r="N121" s="10" t="s">
        <v>34</v>
      </c>
      <c r="O121" s="10" t="str">
        <f t="shared" si="5"/>
        <v>NA</v>
      </c>
      <c r="P121" s="10" t="str">
        <f t="shared" si="6"/>
        <v>NA</v>
      </c>
      <c r="Q121" s="10">
        <v>0</v>
      </c>
      <c r="R121" s="10" t="str">
        <f t="shared" si="7"/>
        <v>NA</v>
      </c>
      <c r="S121" s="45">
        <v>2.5600000000000004E-4</v>
      </c>
      <c r="T121" s="10" t="s">
        <v>49</v>
      </c>
      <c r="U121" s="10" t="s">
        <v>199</v>
      </c>
      <c r="V121" s="10" t="s">
        <v>162</v>
      </c>
      <c r="W121" s="10">
        <v>8</v>
      </c>
      <c r="X121" s="10">
        <v>0.3</v>
      </c>
      <c r="Y121" s="10">
        <v>1</v>
      </c>
      <c r="Z121" s="10" t="s">
        <v>200</v>
      </c>
      <c r="AA121" s="10">
        <v>0.27</v>
      </c>
      <c r="AB121" s="10" t="s">
        <v>34</v>
      </c>
      <c r="AC121" s="10" t="s">
        <v>40</v>
      </c>
      <c r="AD121" s="10" t="s">
        <v>32</v>
      </c>
      <c r="AE121" s="10">
        <f t="shared" si="8"/>
        <v>0.71</v>
      </c>
      <c r="AF121" s="10" t="s">
        <v>201</v>
      </c>
      <c r="AG121" s="10">
        <v>2019</v>
      </c>
      <c r="AH121" s="10" t="s">
        <v>259</v>
      </c>
      <c r="AI121" s="10">
        <v>50</v>
      </c>
      <c r="AJ121" s="10">
        <v>100</v>
      </c>
      <c r="AK121" s="10">
        <v>2</v>
      </c>
      <c r="AL121" t="str">
        <f t="shared" si="3"/>
        <v>Hoang (2019) -Pure</v>
      </c>
    </row>
    <row r="122" spans="1:38" ht="15.6" x14ac:dyDescent="0.3">
      <c r="A122" s="11">
        <v>5.23</v>
      </c>
      <c r="B122" s="11">
        <v>1340</v>
      </c>
      <c r="C122" s="10" t="s">
        <v>33</v>
      </c>
      <c r="D122" s="10" t="s">
        <v>35</v>
      </c>
      <c r="E122" s="10" t="s">
        <v>170</v>
      </c>
      <c r="F122" s="10">
        <v>0.57999999999999996</v>
      </c>
      <c r="G122" s="10">
        <v>0.72</v>
      </c>
      <c r="H122" s="10" t="s">
        <v>34</v>
      </c>
      <c r="I122" s="10" t="s">
        <v>34</v>
      </c>
      <c r="J122" s="10" t="s">
        <v>34</v>
      </c>
      <c r="K122" s="10" t="s">
        <v>34</v>
      </c>
      <c r="L122" s="10">
        <v>0</v>
      </c>
      <c r="M122" s="10">
        <f t="shared" si="4"/>
        <v>63.04</v>
      </c>
      <c r="N122" s="10" t="s">
        <v>34</v>
      </c>
      <c r="O122" s="10">
        <f t="shared" si="5"/>
        <v>0.74</v>
      </c>
      <c r="P122" s="10">
        <f t="shared" si="6"/>
        <v>0.51</v>
      </c>
      <c r="Q122" s="10">
        <v>0</v>
      </c>
      <c r="R122" s="10">
        <f t="shared" si="7"/>
        <v>2.65</v>
      </c>
      <c r="S122" s="45">
        <v>1.01E-3</v>
      </c>
      <c r="T122" s="10" t="s">
        <v>49</v>
      </c>
      <c r="U122" s="10" t="s">
        <v>199</v>
      </c>
      <c r="V122" s="10" t="s">
        <v>162</v>
      </c>
      <c r="W122" s="10">
        <v>12</v>
      </c>
      <c r="X122" s="10">
        <v>0.3</v>
      </c>
      <c r="Y122" s="10">
        <v>1</v>
      </c>
      <c r="Z122" s="10" t="s">
        <v>200</v>
      </c>
      <c r="AA122" s="10">
        <v>0.27</v>
      </c>
      <c r="AB122" s="10" t="s">
        <v>34</v>
      </c>
      <c r="AC122" s="10" t="s">
        <v>40</v>
      </c>
      <c r="AD122" s="10" t="s">
        <v>32</v>
      </c>
      <c r="AE122" s="10">
        <f t="shared" si="8"/>
        <v>9.1999999999999998E-2</v>
      </c>
      <c r="AF122" s="10" t="s">
        <v>201</v>
      </c>
      <c r="AG122" s="10">
        <v>2019</v>
      </c>
      <c r="AH122" s="10" t="s">
        <v>259</v>
      </c>
      <c r="AI122" s="10">
        <v>50</v>
      </c>
      <c r="AJ122" s="10">
        <v>100</v>
      </c>
      <c r="AK122" s="10">
        <v>2</v>
      </c>
      <c r="AL122" t="str">
        <f t="shared" si="3"/>
        <v>Hoang (2019) -Pure</v>
      </c>
    </row>
    <row r="123" spans="1:38" ht="15.6" x14ac:dyDescent="0.3">
      <c r="A123" s="11">
        <v>11.74</v>
      </c>
      <c r="B123" s="11">
        <v>972</v>
      </c>
      <c r="C123" s="10" t="s">
        <v>254</v>
      </c>
      <c r="D123" s="10" t="s">
        <v>257</v>
      </c>
      <c r="E123" s="10" t="s">
        <v>170</v>
      </c>
      <c r="F123" s="10">
        <v>0.06</v>
      </c>
      <c r="G123" s="10">
        <v>0.7</v>
      </c>
      <c r="H123" s="10" t="s">
        <v>34</v>
      </c>
      <c r="I123" s="10" t="s">
        <v>34</v>
      </c>
      <c r="J123" s="10" t="s">
        <v>34</v>
      </c>
      <c r="K123" s="10" t="s">
        <v>34</v>
      </c>
      <c r="L123" s="10">
        <v>10</v>
      </c>
      <c r="M123" s="10" t="str">
        <f t="shared" si="4"/>
        <v>NA</v>
      </c>
      <c r="N123" s="10" t="s">
        <v>34</v>
      </c>
      <c r="O123" s="10" t="str">
        <f t="shared" si="5"/>
        <v>NA</v>
      </c>
      <c r="P123" s="10" t="str">
        <f t="shared" si="6"/>
        <v>NA</v>
      </c>
      <c r="Q123" s="10">
        <v>0</v>
      </c>
      <c r="R123" s="10" t="str">
        <f t="shared" si="7"/>
        <v>NA</v>
      </c>
      <c r="S123" s="45">
        <v>6.4100000000000008E-4</v>
      </c>
      <c r="T123" s="10" t="s">
        <v>49</v>
      </c>
      <c r="U123" s="10" t="s">
        <v>199</v>
      </c>
      <c r="V123" s="10" t="s">
        <v>162</v>
      </c>
      <c r="W123" s="10">
        <v>12</v>
      </c>
      <c r="X123" s="10">
        <v>0.3</v>
      </c>
      <c r="Y123" s="10">
        <v>1</v>
      </c>
      <c r="Z123" s="10" t="s">
        <v>200</v>
      </c>
      <c r="AA123" s="10">
        <v>0.27</v>
      </c>
      <c r="AB123" s="10" t="s">
        <v>34</v>
      </c>
      <c r="AC123" s="10" t="s">
        <v>40</v>
      </c>
      <c r="AD123" s="10" t="s">
        <v>32</v>
      </c>
      <c r="AE123" s="10">
        <f t="shared" si="8"/>
        <v>0.42199999999999999</v>
      </c>
      <c r="AF123" s="10" t="s">
        <v>201</v>
      </c>
      <c r="AG123" s="10">
        <v>2019</v>
      </c>
      <c r="AH123" s="10" t="s">
        <v>259</v>
      </c>
      <c r="AI123" s="10">
        <v>50</v>
      </c>
      <c r="AJ123" s="10">
        <v>100</v>
      </c>
      <c r="AK123" s="10">
        <v>2</v>
      </c>
      <c r="AL123" t="str">
        <f t="shared" si="3"/>
        <v>Hoang (2019) -Pure</v>
      </c>
    </row>
    <row r="124" spans="1:38" ht="15.6" x14ac:dyDescent="0.3">
      <c r="A124" s="11">
        <v>12.87</v>
      </c>
      <c r="B124" s="11">
        <v>711</v>
      </c>
      <c r="C124" s="10" t="s">
        <v>255</v>
      </c>
      <c r="D124" s="10" t="s">
        <v>258</v>
      </c>
      <c r="E124" s="10" t="s">
        <v>170</v>
      </c>
      <c r="F124" s="10">
        <v>2.8000000000000001E-2</v>
      </c>
      <c r="G124" s="10">
        <v>0.67</v>
      </c>
      <c r="H124" s="10" t="s">
        <v>34</v>
      </c>
      <c r="I124" s="10" t="s">
        <v>34</v>
      </c>
      <c r="J124" s="10" t="s">
        <v>34</v>
      </c>
      <c r="K124" s="10" t="s">
        <v>34</v>
      </c>
      <c r="L124" s="10">
        <v>20</v>
      </c>
      <c r="M124" s="10" t="str">
        <f t="shared" si="4"/>
        <v>NA</v>
      </c>
      <c r="N124" s="10" t="s">
        <v>34</v>
      </c>
      <c r="O124" s="10" t="str">
        <f t="shared" si="5"/>
        <v>NA</v>
      </c>
      <c r="P124" s="10" t="str">
        <f t="shared" si="6"/>
        <v>NA</v>
      </c>
      <c r="Q124" s="10">
        <v>0</v>
      </c>
      <c r="R124" s="10" t="str">
        <f t="shared" si="7"/>
        <v>NA</v>
      </c>
      <c r="S124" s="45">
        <v>2.5600000000000004E-4</v>
      </c>
      <c r="T124" s="10" t="s">
        <v>49</v>
      </c>
      <c r="U124" s="10" t="s">
        <v>199</v>
      </c>
      <c r="V124" s="10" t="s">
        <v>162</v>
      </c>
      <c r="W124" s="10">
        <v>12</v>
      </c>
      <c r="X124" s="10">
        <v>0.3</v>
      </c>
      <c r="Y124" s="10">
        <v>1</v>
      </c>
      <c r="Z124" s="10" t="s">
        <v>200</v>
      </c>
      <c r="AA124" s="10">
        <v>0.27</v>
      </c>
      <c r="AB124" s="10" t="s">
        <v>34</v>
      </c>
      <c r="AC124" s="10" t="s">
        <v>40</v>
      </c>
      <c r="AD124" s="10" t="s">
        <v>32</v>
      </c>
      <c r="AE124" s="10">
        <f t="shared" si="8"/>
        <v>0.71</v>
      </c>
      <c r="AF124" s="10" t="s">
        <v>201</v>
      </c>
      <c r="AG124" s="10">
        <v>2019</v>
      </c>
      <c r="AH124" s="10" t="s">
        <v>259</v>
      </c>
      <c r="AI124" s="10">
        <v>50</v>
      </c>
      <c r="AJ124" s="10">
        <v>100</v>
      </c>
      <c r="AK124" s="10">
        <v>2</v>
      </c>
      <c r="AL124" t="str">
        <f t="shared" si="3"/>
        <v>Hoang (2019) -Pure</v>
      </c>
    </row>
    <row r="125" spans="1:38" ht="15.6" x14ac:dyDescent="0.3">
      <c r="A125" s="11">
        <v>7.12</v>
      </c>
      <c r="B125" s="11">
        <v>1691</v>
      </c>
      <c r="C125" s="10" t="s">
        <v>33</v>
      </c>
      <c r="D125" s="10" t="s">
        <v>35</v>
      </c>
      <c r="E125" s="10" t="s">
        <v>170</v>
      </c>
      <c r="F125" s="10">
        <v>0.57999999999999996</v>
      </c>
      <c r="G125" s="10">
        <v>0.72</v>
      </c>
      <c r="H125" s="10" t="s">
        <v>34</v>
      </c>
      <c r="I125" s="10" t="s">
        <v>34</v>
      </c>
      <c r="J125" s="10" t="s">
        <v>34</v>
      </c>
      <c r="K125" s="10" t="s">
        <v>34</v>
      </c>
      <c r="L125" s="10">
        <v>0</v>
      </c>
      <c r="M125" s="10">
        <f t="shared" si="4"/>
        <v>63.04</v>
      </c>
      <c r="N125" s="10" t="s">
        <v>34</v>
      </c>
      <c r="O125" s="10">
        <f t="shared" si="5"/>
        <v>0.74</v>
      </c>
      <c r="P125" s="10">
        <f t="shared" si="6"/>
        <v>0.51</v>
      </c>
      <c r="Q125" s="10">
        <v>0</v>
      </c>
      <c r="R125" s="10">
        <f t="shared" si="7"/>
        <v>2.65</v>
      </c>
      <c r="S125" s="45">
        <v>1.01E-3</v>
      </c>
      <c r="T125" s="10" t="s">
        <v>49</v>
      </c>
      <c r="U125" s="10" t="s">
        <v>199</v>
      </c>
      <c r="V125" s="10" t="s">
        <v>162</v>
      </c>
      <c r="W125" s="10">
        <v>16</v>
      </c>
      <c r="X125" s="10">
        <v>0.3</v>
      </c>
      <c r="Y125" s="10">
        <v>1</v>
      </c>
      <c r="Z125" s="10" t="s">
        <v>200</v>
      </c>
      <c r="AA125" s="10">
        <v>0.27</v>
      </c>
      <c r="AB125" s="10" t="s">
        <v>34</v>
      </c>
      <c r="AC125" s="10" t="s">
        <v>40</v>
      </c>
      <c r="AD125" s="10" t="s">
        <v>32</v>
      </c>
      <c r="AE125" s="10">
        <f t="shared" si="8"/>
        <v>9.1999999999999998E-2</v>
      </c>
      <c r="AF125" s="10" t="s">
        <v>201</v>
      </c>
      <c r="AG125" s="10">
        <v>2019</v>
      </c>
      <c r="AH125" s="10" t="s">
        <v>259</v>
      </c>
      <c r="AI125" s="10">
        <v>50</v>
      </c>
      <c r="AJ125" s="10">
        <v>100</v>
      </c>
      <c r="AK125" s="10">
        <v>2</v>
      </c>
      <c r="AL125" t="str">
        <f t="shared" si="3"/>
        <v>Hoang (2019) -Pure</v>
      </c>
    </row>
    <row r="126" spans="1:38" ht="15.6" x14ac:dyDescent="0.3">
      <c r="A126" s="11">
        <v>12.59</v>
      </c>
      <c r="B126" s="11">
        <v>1118</v>
      </c>
      <c r="C126" s="10" t="s">
        <v>254</v>
      </c>
      <c r="D126" s="10" t="s">
        <v>257</v>
      </c>
      <c r="E126" s="10" t="s">
        <v>170</v>
      </c>
      <c r="F126" s="10">
        <v>0.06</v>
      </c>
      <c r="G126" s="10">
        <v>0.7</v>
      </c>
      <c r="H126" s="10" t="s">
        <v>34</v>
      </c>
      <c r="I126" s="10" t="s">
        <v>34</v>
      </c>
      <c r="J126" s="10" t="s">
        <v>34</v>
      </c>
      <c r="K126" s="10" t="s">
        <v>34</v>
      </c>
      <c r="L126" s="10">
        <v>10</v>
      </c>
      <c r="M126" s="10" t="str">
        <f t="shared" si="4"/>
        <v>NA</v>
      </c>
      <c r="N126" s="10" t="s">
        <v>34</v>
      </c>
      <c r="O126" s="10" t="str">
        <f t="shared" si="5"/>
        <v>NA</v>
      </c>
      <c r="P126" s="10" t="str">
        <f t="shared" si="6"/>
        <v>NA</v>
      </c>
      <c r="Q126" s="10">
        <v>0</v>
      </c>
      <c r="R126" s="10" t="str">
        <f t="shared" si="7"/>
        <v>NA</v>
      </c>
      <c r="S126" s="45">
        <v>6.4100000000000008E-4</v>
      </c>
      <c r="T126" s="10" t="s">
        <v>49</v>
      </c>
      <c r="U126" s="10" t="s">
        <v>199</v>
      </c>
      <c r="V126" s="10" t="s">
        <v>162</v>
      </c>
      <c r="W126" s="10">
        <v>16</v>
      </c>
      <c r="X126" s="10">
        <v>0.3</v>
      </c>
      <c r="Y126" s="10">
        <v>1</v>
      </c>
      <c r="Z126" s="10" t="s">
        <v>200</v>
      </c>
      <c r="AA126" s="10">
        <v>0.27</v>
      </c>
      <c r="AB126" s="10" t="s">
        <v>34</v>
      </c>
      <c r="AC126" s="10" t="s">
        <v>40</v>
      </c>
      <c r="AD126" s="10" t="s">
        <v>32</v>
      </c>
      <c r="AE126" s="10">
        <f t="shared" si="8"/>
        <v>0.42199999999999999</v>
      </c>
      <c r="AF126" s="10" t="s">
        <v>201</v>
      </c>
      <c r="AG126" s="10">
        <v>2019</v>
      </c>
      <c r="AH126" s="10" t="s">
        <v>259</v>
      </c>
      <c r="AI126" s="10">
        <v>50</v>
      </c>
      <c r="AJ126" s="10">
        <v>100</v>
      </c>
      <c r="AK126" s="10">
        <v>2</v>
      </c>
      <c r="AL126" t="str">
        <f t="shared" si="3"/>
        <v>Hoang (2019) -Pure</v>
      </c>
    </row>
    <row r="127" spans="1:38" s="117" customFormat="1" ht="16.2" thickBot="1" x14ac:dyDescent="0.35">
      <c r="A127" s="17">
        <v>13.15</v>
      </c>
      <c r="B127" s="17">
        <v>842</v>
      </c>
      <c r="C127" s="14" t="s">
        <v>255</v>
      </c>
      <c r="D127" s="14" t="s">
        <v>258</v>
      </c>
      <c r="E127" s="14" t="s">
        <v>170</v>
      </c>
      <c r="F127" s="14">
        <v>2.8000000000000001E-2</v>
      </c>
      <c r="G127" s="14">
        <v>0.67</v>
      </c>
      <c r="H127" s="14" t="s">
        <v>34</v>
      </c>
      <c r="I127" s="14" t="s">
        <v>34</v>
      </c>
      <c r="J127" s="14" t="s">
        <v>34</v>
      </c>
      <c r="K127" s="14" t="s">
        <v>34</v>
      </c>
      <c r="L127" s="14">
        <v>20</v>
      </c>
      <c r="M127" s="14" t="str">
        <f t="shared" si="4"/>
        <v>NA</v>
      </c>
      <c r="N127" s="14" t="s">
        <v>34</v>
      </c>
      <c r="O127" s="14" t="str">
        <f t="shared" si="5"/>
        <v>NA</v>
      </c>
      <c r="P127" s="14" t="str">
        <f t="shared" si="6"/>
        <v>NA</v>
      </c>
      <c r="Q127" s="14">
        <v>0</v>
      </c>
      <c r="R127" s="14" t="str">
        <f t="shared" si="7"/>
        <v>NA</v>
      </c>
      <c r="S127" s="38">
        <v>2.5600000000000004E-4</v>
      </c>
      <c r="T127" s="14" t="s">
        <v>49</v>
      </c>
      <c r="U127" s="14" t="s">
        <v>199</v>
      </c>
      <c r="V127" s="14" t="s">
        <v>162</v>
      </c>
      <c r="W127" s="14">
        <v>16</v>
      </c>
      <c r="X127" s="14">
        <v>0.3</v>
      </c>
      <c r="Y127" s="14">
        <v>1</v>
      </c>
      <c r="Z127" s="14" t="s">
        <v>200</v>
      </c>
      <c r="AA127" s="14">
        <v>0.27</v>
      </c>
      <c r="AB127" s="14" t="s">
        <v>34</v>
      </c>
      <c r="AC127" s="14" t="s">
        <v>40</v>
      </c>
      <c r="AD127" s="14" t="s">
        <v>32</v>
      </c>
      <c r="AE127" s="14">
        <f t="shared" si="8"/>
        <v>0.71</v>
      </c>
      <c r="AF127" s="14" t="s">
        <v>201</v>
      </c>
      <c r="AG127" s="14">
        <v>2019</v>
      </c>
      <c r="AH127" s="14" t="s">
        <v>259</v>
      </c>
      <c r="AI127" s="14">
        <v>50</v>
      </c>
      <c r="AJ127" s="14">
        <v>100</v>
      </c>
      <c r="AK127" s="14">
        <v>2</v>
      </c>
      <c r="AL127" t="str">
        <f t="shared" si="3"/>
        <v>Hoang (2019) -Pure</v>
      </c>
    </row>
    <row r="128" spans="1:38" ht="15.6" x14ac:dyDescent="0.3">
      <c r="A128" s="12">
        <v>2.8</v>
      </c>
      <c r="B128" s="12">
        <v>529</v>
      </c>
      <c r="C128" s="13" t="s">
        <v>33</v>
      </c>
      <c r="D128" s="13" t="s">
        <v>226</v>
      </c>
      <c r="E128" s="13" t="s">
        <v>170</v>
      </c>
      <c r="F128" s="13" t="s">
        <v>34</v>
      </c>
      <c r="G128" s="12">
        <v>0.6</v>
      </c>
      <c r="H128" s="13" t="s">
        <v>34</v>
      </c>
      <c r="I128" s="13" t="s">
        <v>34</v>
      </c>
      <c r="J128" s="13">
        <v>1.1000000000000001</v>
      </c>
      <c r="K128" s="13" t="s">
        <v>34</v>
      </c>
      <c r="L128" s="13" t="s">
        <v>34</v>
      </c>
      <c r="M128" s="13" t="s">
        <v>34</v>
      </c>
      <c r="N128" s="13">
        <v>1708.17</v>
      </c>
      <c r="O128" s="13" t="s">
        <v>34</v>
      </c>
      <c r="P128" s="13" t="s">
        <v>34</v>
      </c>
      <c r="Q128" s="13" t="s">
        <v>34</v>
      </c>
      <c r="R128" s="13" t="s">
        <v>34</v>
      </c>
      <c r="S128" s="13" t="s">
        <v>34</v>
      </c>
      <c r="T128" s="13" t="s">
        <v>49</v>
      </c>
      <c r="U128" s="13" t="s">
        <v>50</v>
      </c>
      <c r="V128" s="13" t="s">
        <v>207</v>
      </c>
      <c r="W128" s="13">
        <v>1</v>
      </c>
      <c r="X128" s="13">
        <v>1.38</v>
      </c>
      <c r="Y128" s="13">
        <v>0.87</v>
      </c>
      <c r="Z128" s="13" t="s">
        <v>204</v>
      </c>
      <c r="AA128" s="13">
        <v>2.3999999999999998E-3</v>
      </c>
      <c r="AB128" s="13">
        <v>8.75</v>
      </c>
      <c r="AC128" s="13" t="s">
        <v>203</v>
      </c>
      <c r="AD128" s="13" t="s">
        <v>34</v>
      </c>
      <c r="AE128" s="13" t="s">
        <v>34</v>
      </c>
      <c r="AF128" s="13" t="s">
        <v>266</v>
      </c>
      <c r="AG128" s="13">
        <v>2015</v>
      </c>
      <c r="AH128" s="13" t="s">
        <v>267</v>
      </c>
      <c r="AI128" s="13">
        <v>51</v>
      </c>
      <c r="AJ128" s="13">
        <v>2.98</v>
      </c>
      <c r="AK128" s="13" t="s">
        <v>34</v>
      </c>
      <c r="AL128" t="str">
        <f t="shared" si="3"/>
        <v>Kavazanjian and Hamdan (2015) -NFMD</v>
      </c>
    </row>
    <row r="129" spans="1:38" s="117" customFormat="1" ht="16.2" thickBot="1" x14ac:dyDescent="0.35">
      <c r="A129" s="17">
        <v>4.3</v>
      </c>
      <c r="B129" s="17">
        <v>391</v>
      </c>
      <c r="C129" s="14" t="s">
        <v>33</v>
      </c>
      <c r="D129" s="14" t="s">
        <v>265</v>
      </c>
      <c r="E129" s="14" t="s">
        <v>170</v>
      </c>
      <c r="F129" s="14" t="s">
        <v>34</v>
      </c>
      <c r="G129" s="17">
        <v>0.27500000000000002</v>
      </c>
      <c r="H129" s="14" t="s">
        <v>34</v>
      </c>
      <c r="I129" s="14" t="s">
        <v>34</v>
      </c>
      <c r="J129" s="14">
        <v>1.74</v>
      </c>
      <c r="K129" s="14" t="s">
        <v>34</v>
      </c>
      <c r="L129" s="14" t="s">
        <v>34</v>
      </c>
      <c r="M129" s="14" t="s">
        <v>34</v>
      </c>
      <c r="N129" s="14">
        <v>1693.88</v>
      </c>
      <c r="O129" s="14" t="s">
        <v>34</v>
      </c>
      <c r="P129" s="14" t="s">
        <v>34</v>
      </c>
      <c r="Q129" s="14" t="s">
        <v>34</v>
      </c>
      <c r="R129" s="14" t="s">
        <v>34</v>
      </c>
      <c r="S129" s="14" t="s">
        <v>34</v>
      </c>
      <c r="T129" s="14" t="s">
        <v>49</v>
      </c>
      <c r="U129" s="14" t="s">
        <v>50</v>
      </c>
      <c r="V129" s="14" t="s">
        <v>207</v>
      </c>
      <c r="W129" s="14">
        <v>1</v>
      </c>
      <c r="X129" s="14">
        <v>1.38</v>
      </c>
      <c r="Y129" s="14">
        <v>0.87</v>
      </c>
      <c r="Z129" s="14" t="s">
        <v>204</v>
      </c>
      <c r="AA129" s="14">
        <v>2.3999999999999998E-3</v>
      </c>
      <c r="AB129" s="14">
        <v>8.75</v>
      </c>
      <c r="AC129" s="14" t="s">
        <v>203</v>
      </c>
      <c r="AD129" s="14" t="s">
        <v>34</v>
      </c>
      <c r="AE129" s="14" t="s">
        <v>34</v>
      </c>
      <c r="AF129" s="14" t="s">
        <v>266</v>
      </c>
      <c r="AG129" s="14">
        <v>2015</v>
      </c>
      <c r="AH129" s="14" t="s">
        <v>267</v>
      </c>
      <c r="AI129" s="14">
        <v>51</v>
      </c>
      <c r="AJ129" s="14">
        <v>2.98</v>
      </c>
      <c r="AK129" s="14" t="s">
        <v>34</v>
      </c>
      <c r="AL129" t="str">
        <f t="shared" si="3"/>
        <v>Kavazanjian and Hamdan (2015) -NFMD</v>
      </c>
    </row>
    <row r="130" spans="1:38" ht="15.6" x14ac:dyDescent="0.3">
      <c r="A130" s="12">
        <v>1.2050511124473799</v>
      </c>
      <c r="B130" s="12">
        <v>18.416385059523801</v>
      </c>
      <c r="C130" s="13" t="s">
        <v>33</v>
      </c>
      <c r="D130" s="13" t="s">
        <v>273</v>
      </c>
      <c r="E130" s="13" t="s">
        <v>170</v>
      </c>
      <c r="F130" s="13">
        <v>0.15</v>
      </c>
      <c r="G130" s="13">
        <v>0.28999999999999998</v>
      </c>
      <c r="H130" s="13">
        <v>0.22900000000000001</v>
      </c>
      <c r="I130" s="13">
        <v>0.317</v>
      </c>
      <c r="J130" s="13">
        <v>2.11</v>
      </c>
      <c r="K130" s="13">
        <v>1.1000000000000001</v>
      </c>
      <c r="L130" s="13">
        <v>0</v>
      </c>
      <c r="M130" s="13">
        <v>50</v>
      </c>
      <c r="N130" s="13">
        <v>1527.88</v>
      </c>
      <c r="O130" s="13">
        <v>0.89900000000000002</v>
      </c>
      <c r="P130" s="13">
        <v>0.54900000000000004</v>
      </c>
      <c r="Q130" s="13">
        <v>27.28</v>
      </c>
      <c r="R130" s="13">
        <v>2.653</v>
      </c>
      <c r="S130" s="13" t="s">
        <v>34</v>
      </c>
      <c r="T130" s="13" t="s">
        <v>49</v>
      </c>
      <c r="U130" s="13" t="s">
        <v>50</v>
      </c>
      <c r="V130" s="13" t="s">
        <v>162</v>
      </c>
      <c r="W130" s="13">
        <v>1</v>
      </c>
      <c r="X130" s="13">
        <v>0.5</v>
      </c>
      <c r="Y130" s="13">
        <v>1.25</v>
      </c>
      <c r="Z130" s="13" t="s">
        <v>177</v>
      </c>
      <c r="AA130" s="13">
        <v>8.8499999999999995E-2</v>
      </c>
      <c r="AB130" s="13">
        <v>8</v>
      </c>
      <c r="AC130" s="13" t="s">
        <v>274</v>
      </c>
      <c r="AD130" s="13" t="s">
        <v>32</v>
      </c>
      <c r="AE130" s="13">
        <v>0.9365</v>
      </c>
      <c r="AF130" s="13" t="s">
        <v>251</v>
      </c>
      <c r="AG130" s="13">
        <v>2016</v>
      </c>
      <c r="AH130" s="13" t="s">
        <v>275</v>
      </c>
      <c r="AI130" s="13">
        <v>50</v>
      </c>
      <c r="AJ130" s="13">
        <v>2</v>
      </c>
      <c r="AK130" s="13" t="s">
        <v>34</v>
      </c>
      <c r="AL130" t="str">
        <f t="shared" si="3"/>
        <v>Putra (2016) -MgCl2</v>
      </c>
    </row>
    <row r="131" spans="1:38" ht="15.6" x14ac:dyDescent="0.3">
      <c r="A131" s="11">
        <v>1.19061936259771</v>
      </c>
      <c r="B131" s="11">
        <v>15.2563151389925</v>
      </c>
      <c r="C131" s="10" t="s">
        <v>33</v>
      </c>
      <c r="D131" s="10" t="s">
        <v>273</v>
      </c>
      <c r="E131" s="10" t="s">
        <v>170</v>
      </c>
      <c r="F131" s="10">
        <v>0.15</v>
      </c>
      <c r="G131" s="10">
        <v>0.28999999999999998</v>
      </c>
      <c r="H131" s="10">
        <v>0.22900000000000001</v>
      </c>
      <c r="I131" s="10">
        <v>0.317</v>
      </c>
      <c r="J131" s="10">
        <v>2.11</v>
      </c>
      <c r="K131" s="10">
        <v>1.1000000000000001</v>
      </c>
      <c r="L131" s="10">
        <v>0</v>
      </c>
      <c r="M131" s="10">
        <v>50</v>
      </c>
      <c r="N131" s="10">
        <v>1527.88</v>
      </c>
      <c r="O131" s="10">
        <v>0.89900000000000002</v>
      </c>
      <c r="P131" s="10">
        <v>0.54900000000000004</v>
      </c>
      <c r="Q131" s="10">
        <v>27.28</v>
      </c>
      <c r="R131" s="10">
        <v>2.653</v>
      </c>
      <c r="S131" s="10" t="s">
        <v>34</v>
      </c>
      <c r="T131" s="10" t="s">
        <v>49</v>
      </c>
      <c r="U131" s="10" t="s">
        <v>50</v>
      </c>
      <c r="V131" s="10" t="s">
        <v>162</v>
      </c>
      <c r="W131" s="10">
        <v>1</v>
      </c>
      <c r="X131" s="10">
        <v>0.5</v>
      </c>
      <c r="Y131" s="10">
        <v>1.25</v>
      </c>
      <c r="Z131" s="10" t="s">
        <v>177</v>
      </c>
      <c r="AA131" s="10">
        <v>8.8499999999999995E-2</v>
      </c>
      <c r="AB131" s="10">
        <v>8</v>
      </c>
      <c r="AC131" s="10" t="s">
        <v>274</v>
      </c>
      <c r="AD131" s="10" t="s">
        <v>32</v>
      </c>
      <c r="AE131" s="10">
        <v>0.9365</v>
      </c>
      <c r="AF131" s="10" t="s">
        <v>251</v>
      </c>
      <c r="AG131" s="10">
        <v>2016</v>
      </c>
      <c r="AH131" s="10" t="s">
        <v>275</v>
      </c>
      <c r="AI131" s="10">
        <v>50</v>
      </c>
      <c r="AJ131" s="10">
        <v>2</v>
      </c>
      <c r="AK131" s="10" t="s">
        <v>34</v>
      </c>
      <c r="AL131" t="str">
        <f t="shared" ref="AL131:AL194" si="9">CONCATENATE(AF131," (",AG131,") -",AC131)</f>
        <v>Putra (2016) -MgCl2</v>
      </c>
    </row>
    <row r="132" spans="1:38" ht="15.6" x14ac:dyDescent="0.3">
      <c r="A132" s="11">
        <v>2.2297053517738998</v>
      </c>
      <c r="B132" s="11">
        <v>33.1465768372056</v>
      </c>
      <c r="C132" s="10" t="s">
        <v>33</v>
      </c>
      <c r="D132" s="10" t="s">
        <v>273</v>
      </c>
      <c r="E132" s="10" t="s">
        <v>170</v>
      </c>
      <c r="F132" s="10">
        <v>0.15</v>
      </c>
      <c r="G132" s="10">
        <v>0.28999999999999998</v>
      </c>
      <c r="H132" s="10">
        <v>0.22900000000000001</v>
      </c>
      <c r="I132" s="10">
        <v>0.317</v>
      </c>
      <c r="J132" s="10">
        <v>2.11</v>
      </c>
      <c r="K132" s="10">
        <v>1.1000000000000001</v>
      </c>
      <c r="L132" s="10">
        <v>0</v>
      </c>
      <c r="M132" s="10">
        <v>50</v>
      </c>
      <c r="N132" s="10">
        <v>1527.88</v>
      </c>
      <c r="O132" s="10">
        <v>0.89900000000000002</v>
      </c>
      <c r="P132" s="10">
        <v>0.54900000000000004</v>
      </c>
      <c r="Q132" s="10">
        <v>27.28</v>
      </c>
      <c r="R132" s="10">
        <v>2.653</v>
      </c>
      <c r="S132" s="10" t="s">
        <v>34</v>
      </c>
      <c r="T132" s="10" t="s">
        <v>49</v>
      </c>
      <c r="U132" s="10" t="s">
        <v>50</v>
      </c>
      <c r="V132" s="10" t="s">
        <v>162</v>
      </c>
      <c r="W132" s="10">
        <v>1</v>
      </c>
      <c r="X132" s="10">
        <v>0.5</v>
      </c>
      <c r="Y132" s="10">
        <v>1.25</v>
      </c>
      <c r="Z132" s="10" t="s">
        <v>177</v>
      </c>
      <c r="AA132" s="10">
        <v>8.8499999999999995E-2</v>
      </c>
      <c r="AB132" s="10">
        <v>8</v>
      </c>
      <c r="AC132" s="10" t="s">
        <v>274</v>
      </c>
      <c r="AD132" s="10" t="s">
        <v>32</v>
      </c>
      <c r="AE132" s="10">
        <v>0.9365</v>
      </c>
      <c r="AF132" s="10" t="s">
        <v>251</v>
      </c>
      <c r="AG132" s="10">
        <v>2016</v>
      </c>
      <c r="AH132" s="10" t="s">
        <v>275</v>
      </c>
      <c r="AI132" s="10">
        <v>50</v>
      </c>
      <c r="AJ132" s="10">
        <v>2</v>
      </c>
      <c r="AK132" s="10" t="s">
        <v>34</v>
      </c>
      <c r="AL132" t="str">
        <f t="shared" si="9"/>
        <v>Putra (2016) -MgCl2</v>
      </c>
    </row>
    <row r="133" spans="1:38" ht="15.6" x14ac:dyDescent="0.3">
      <c r="A133" s="11">
        <v>2.2080577269993902</v>
      </c>
      <c r="B133" s="11">
        <v>28.881393623758999</v>
      </c>
      <c r="C133" s="10" t="s">
        <v>33</v>
      </c>
      <c r="D133" s="10" t="s">
        <v>273</v>
      </c>
      <c r="E133" s="10" t="s">
        <v>170</v>
      </c>
      <c r="F133" s="10">
        <v>0.15</v>
      </c>
      <c r="G133" s="10">
        <v>0.28999999999999998</v>
      </c>
      <c r="H133" s="10">
        <v>0.22900000000000001</v>
      </c>
      <c r="I133" s="10">
        <v>0.317</v>
      </c>
      <c r="J133" s="10">
        <v>2.11</v>
      </c>
      <c r="K133" s="10">
        <v>1.1000000000000001</v>
      </c>
      <c r="L133" s="10">
        <v>0</v>
      </c>
      <c r="M133" s="10">
        <v>50</v>
      </c>
      <c r="N133" s="10">
        <v>1527.88</v>
      </c>
      <c r="O133" s="10">
        <v>0.89900000000000002</v>
      </c>
      <c r="P133" s="10">
        <v>0.54900000000000004</v>
      </c>
      <c r="Q133" s="10">
        <v>27.28</v>
      </c>
      <c r="R133" s="10">
        <v>2.653</v>
      </c>
      <c r="S133" s="10" t="s">
        <v>34</v>
      </c>
      <c r="T133" s="10" t="s">
        <v>49</v>
      </c>
      <c r="U133" s="10" t="s">
        <v>50</v>
      </c>
      <c r="V133" s="10" t="s">
        <v>162</v>
      </c>
      <c r="W133" s="10">
        <v>1</v>
      </c>
      <c r="X133" s="10">
        <v>0.5</v>
      </c>
      <c r="Y133" s="10">
        <v>1.25</v>
      </c>
      <c r="Z133" s="10" t="s">
        <v>177</v>
      </c>
      <c r="AA133" s="10">
        <v>8.8499999999999995E-2</v>
      </c>
      <c r="AB133" s="10">
        <v>8</v>
      </c>
      <c r="AC133" s="10" t="s">
        <v>274</v>
      </c>
      <c r="AD133" s="10" t="s">
        <v>32</v>
      </c>
      <c r="AE133" s="10">
        <v>0.9365</v>
      </c>
      <c r="AF133" s="10" t="s">
        <v>251</v>
      </c>
      <c r="AG133" s="10">
        <v>2016</v>
      </c>
      <c r="AH133" s="10" t="s">
        <v>275</v>
      </c>
      <c r="AI133" s="10">
        <v>50</v>
      </c>
      <c r="AJ133" s="10">
        <v>2</v>
      </c>
      <c r="AK133" s="10" t="s">
        <v>34</v>
      </c>
      <c r="AL133" t="str">
        <f t="shared" si="9"/>
        <v>Putra (2016) -MgCl2</v>
      </c>
    </row>
    <row r="134" spans="1:38" ht="15.6" x14ac:dyDescent="0.3">
      <c r="A134" s="11">
        <v>3.1389055923030602</v>
      </c>
      <c r="B134" s="11">
        <v>44.673486762516497</v>
      </c>
      <c r="C134" s="10" t="s">
        <v>33</v>
      </c>
      <c r="D134" s="10" t="s">
        <v>273</v>
      </c>
      <c r="E134" s="10" t="s">
        <v>170</v>
      </c>
      <c r="F134" s="10">
        <v>0.15</v>
      </c>
      <c r="G134" s="10">
        <v>0.28999999999999998</v>
      </c>
      <c r="H134" s="10">
        <v>0.22900000000000001</v>
      </c>
      <c r="I134" s="10">
        <v>0.317</v>
      </c>
      <c r="J134" s="10">
        <v>2.11</v>
      </c>
      <c r="K134" s="10">
        <v>1.1000000000000001</v>
      </c>
      <c r="L134" s="10">
        <v>0</v>
      </c>
      <c r="M134" s="10">
        <v>50</v>
      </c>
      <c r="N134" s="10">
        <v>1527.88</v>
      </c>
      <c r="O134" s="10">
        <v>0.89900000000000002</v>
      </c>
      <c r="P134" s="10">
        <v>0.54900000000000004</v>
      </c>
      <c r="Q134" s="10">
        <v>27.28</v>
      </c>
      <c r="R134" s="10">
        <v>2.653</v>
      </c>
      <c r="S134" s="10" t="s">
        <v>34</v>
      </c>
      <c r="T134" s="10" t="s">
        <v>49</v>
      </c>
      <c r="U134" s="10" t="s">
        <v>50</v>
      </c>
      <c r="V134" s="10" t="s">
        <v>162</v>
      </c>
      <c r="W134" s="10">
        <v>1</v>
      </c>
      <c r="X134" s="10">
        <v>0.5</v>
      </c>
      <c r="Y134" s="10">
        <v>1.25</v>
      </c>
      <c r="Z134" s="10" t="s">
        <v>177</v>
      </c>
      <c r="AA134" s="10">
        <v>8.8499999999999995E-2</v>
      </c>
      <c r="AB134" s="10">
        <v>8</v>
      </c>
      <c r="AC134" s="10" t="s">
        <v>274</v>
      </c>
      <c r="AD134" s="10" t="s">
        <v>32</v>
      </c>
      <c r="AE134" s="10">
        <v>0.9365</v>
      </c>
      <c r="AF134" s="10" t="s">
        <v>251</v>
      </c>
      <c r="AG134" s="10">
        <v>2016</v>
      </c>
      <c r="AH134" s="10" t="s">
        <v>275</v>
      </c>
      <c r="AI134" s="10">
        <v>50</v>
      </c>
      <c r="AJ134" s="10">
        <v>2</v>
      </c>
      <c r="AK134" s="10" t="s">
        <v>34</v>
      </c>
      <c r="AL134" t="str">
        <f t="shared" si="9"/>
        <v>Putra (2016) -MgCl2</v>
      </c>
    </row>
    <row r="135" spans="1:38" ht="15.6" x14ac:dyDescent="0.3">
      <c r="A135" s="11">
        <v>3.2760072158749201</v>
      </c>
      <c r="B135" s="11">
        <v>49.421764312422503</v>
      </c>
      <c r="C135" s="10" t="s">
        <v>33</v>
      </c>
      <c r="D135" s="10" t="s">
        <v>273</v>
      </c>
      <c r="E135" s="10" t="s">
        <v>170</v>
      </c>
      <c r="F135" s="10">
        <v>0.15</v>
      </c>
      <c r="G135" s="10">
        <v>0.28999999999999998</v>
      </c>
      <c r="H135" s="10">
        <v>0.22900000000000001</v>
      </c>
      <c r="I135" s="10">
        <v>0.317</v>
      </c>
      <c r="J135" s="10">
        <v>2.11</v>
      </c>
      <c r="K135" s="10">
        <v>1.1000000000000001</v>
      </c>
      <c r="L135" s="10">
        <v>0</v>
      </c>
      <c r="M135" s="10">
        <v>50</v>
      </c>
      <c r="N135" s="10">
        <v>1527.88</v>
      </c>
      <c r="O135" s="10">
        <v>0.89900000000000002</v>
      </c>
      <c r="P135" s="10">
        <v>0.54900000000000004</v>
      </c>
      <c r="Q135" s="10">
        <v>27.28</v>
      </c>
      <c r="R135" s="10">
        <v>2.653</v>
      </c>
      <c r="S135" s="10" t="s">
        <v>34</v>
      </c>
      <c r="T135" s="10" t="s">
        <v>49</v>
      </c>
      <c r="U135" s="10" t="s">
        <v>50</v>
      </c>
      <c r="V135" s="10" t="s">
        <v>162</v>
      </c>
      <c r="W135" s="10">
        <v>1</v>
      </c>
      <c r="X135" s="10">
        <v>0.5</v>
      </c>
      <c r="Y135" s="10">
        <v>1.25</v>
      </c>
      <c r="Z135" s="10" t="s">
        <v>177</v>
      </c>
      <c r="AA135" s="10">
        <v>8.8499999999999995E-2</v>
      </c>
      <c r="AB135" s="10">
        <v>8</v>
      </c>
      <c r="AC135" s="10" t="s">
        <v>274</v>
      </c>
      <c r="AD135" s="10" t="s">
        <v>32</v>
      </c>
      <c r="AE135" s="10">
        <v>0.9365</v>
      </c>
      <c r="AF135" s="10" t="s">
        <v>251</v>
      </c>
      <c r="AG135" s="10">
        <v>2016</v>
      </c>
      <c r="AH135" s="10" t="s">
        <v>275</v>
      </c>
      <c r="AI135" s="10">
        <v>50</v>
      </c>
      <c r="AJ135" s="10">
        <v>2</v>
      </c>
      <c r="AK135" s="10" t="s">
        <v>34</v>
      </c>
      <c r="AL135" t="str">
        <f t="shared" si="9"/>
        <v>Putra (2016) -MgCl2</v>
      </c>
    </row>
    <row r="136" spans="1:38" ht="15.6" x14ac:dyDescent="0.3">
      <c r="A136" s="11">
        <v>4.2573662056524304</v>
      </c>
      <c r="B136" s="11">
        <v>64.798552437267006</v>
      </c>
      <c r="C136" s="10" t="s">
        <v>33</v>
      </c>
      <c r="D136" s="10" t="s">
        <v>273</v>
      </c>
      <c r="E136" s="10" t="s">
        <v>170</v>
      </c>
      <c r="F136" s="10">
        <v>0.15</v>
      </c>
      <c r="G136" s="10">
        <v>0.28999999999999998</v>
      </c>
      <c r="H136" s="10">
        <v>0.22900000000000001</v>
      </c>
      <c r="I136" s="10">
        <v>0.317</v>
      </c>
      <c r="J136" s="10">
        <v>2.11</v>
      </c>
      <c r="K136" s="10">
        <v>1.1000000000000001</v>
      </c>
      <c r="L136" s="10">
        <v>0</v>
      </c>
      <c r="M136" s="10">
        <v>50</v>
      </c>
      <c r="N136" s="10">
        <v>1527.88</v>
      </c>
      <c r="O136" s="10">
        <v>0.89900000000000002</v>
      </c>
      <c r="P136" s="10">
        <v>0.54900000000000004</v>
      </c>
      <c r="Q136" s="10">
        <v>27.28</v>
      </c>
      <c r="R136" s="10">
        <v>2.653</v>
      </c>
      <c r="S136" s="10" t="s">
        <v>34</v>
      </c>
      <c r="T136" s="10" t="s">
        <v>49</v>
      </c>
      <c r="U136" s="10" t="s">
        <v>50</v>
      </c>
      <c r="V136" s="10" t="s">
        <v>162</v>
      </c>
      <c r="W136" s="10">
        <v>1</v>
      </c>
      <c r="X136" s="10">
        <v>0.5</v>
      </c>
      <c r="Y136" s="10">
        <v>1.25</v>
      </c>
      <c r="Z136" s="10" t="s">
        <v>177</v>
      </c>
      <c r="AA136" s="10">
        <v>8.8499999999999995E-2</v>
      </c>
      <c r="AB136" s="10">
        <v>8</v>
      </c>
      <c r="AC136" s="10" t="s">
        <v>274</v>
      </c>
      <c r="AD136" s="10" t="s">
        <v>32</v>
      </c>
      <c r="AE136" s="10">
        <v>0.9365</v>
      </c>
      <c r="AF136" s="10" t="s">
        <v>251</v>
      </c>
      <c r="AG136" s="10">
        <v>2016</v>
      </c>
      <c r="AH136" s="10" t="s">
        <v>275</v>
      </c>
      <c r="AI136" s="10">
        <v>50</v>
      </c>
      <c r="AJ136" s="10">
        <v>2</v>
      </c>
      <c r="AK136" s="10" t="s">
        <v>34</v>
      </c>
      <c r="AL136" t="str">
        <f t="shared" si="9"/>
        <v>Putra (2016) -MgCl2</v>
      </c>
    </row>
    <row r="137" spans="1:38" ht="15.6" x14ac:dyDescent="0.3">
      <c r="A137" s="11">
        <v>4.2501503307275996</v>
      </c>
      <c r="B137" s="11">
        <v>67.8430686540013</v>
      </c>
      <c r="C137" s="10" t="s">
        <v>33</v>
      </c>
      <c r="D137" s="10" t="s">
        <v>273</v>
      </c>
      <c r="E137" s="10" t="s">
        <v>170</v>
      </c>
      <c r="F137" s="10">
        <v>0.15</v>
      </c>
      <c r="G137" s="10">
        <v>0.28999999999999998</v>
      </c>
      <c r="H137" s="10">
        <v>0.22900000000000001</v>
      </c>
      <c r="I137" s="10">
        <v>0.317</v>
      </c>
      <c r="J137" s="10">
        <v>2.11</v>
      </c>
      <c r="K137" s="10">
        <v>1.1000000000000001</v>
      </c>
      <c r="L137" s="10">
        <v>0</v>
      </c>
      <c r="M137" s="10">
        <v>50</v>
      </c>
      <c r="N137" s="10">
        <v>1527.88</v>
      </c>
      <c r="O137" s="10">
        <v>0.89900000000000002</v>
      </c>
      <c r="P137" s="10">
        <v>0.54900000000000004</v>
      </c>
      <c r="Q137" s="10">
        <v>27.28</v>
      </c>
      <c r="R137" s="10">
        <v>2.653</v>
      </c>
      <c r="S137" s="10" t="s">
        <v>34</v>
      </c>
      <c r="T137" s="10" t="s">
        <v>49</v>
      </c>
      <c r="U137" s="10" t="s">
        <v>50</v>
      </c>
      <c r="V137" s="10" t="s">
        <v>162</v>
      </c>
      <c r="W137" s="10">
        <v>1</v>
      </c>
      <c r="X137" s="10">
        <v>0.5</v>
      </c>
      <c r="Y137" s="10">
        <v>1.25</v>
      </c>
      <c r="Z137" s="10" t="s">
        <v>177</v>
      </c>
      <c r="AA137" s="10">
        <v>8.8499999999999995E-2</v>
      </c>
      <c r="AB137" s="10">
        <v>8</v>
      </c>
      <c r="AC137" s="10" t="s">
        <v>274</v>
      </c>
      <c r="AD137" s="10" t="s">
        <v>32</v>
      </c>
      <c r="AE137" s="10">
        <v>0.9365</v>
      </c>
      <c r="AF137" s="10" t="s">
        <v>251</v>
      </c>
      <c r="AG137" s="10">
        <v>2016</v>
      </c>
      <c r="AH137" s="10" t="s">
        <v>275</v>
      </c>
      <c r="AI137" s="10">
        <v>50</v>
      </c>
      <c r="AJ137" s="10">
        <v>2</v>
      </c>
      <c r="AK137" s="10" t="s">
        <v>34</v>
      </c>
      <c r="AL137" t="str">
        <f t="shared" si="9"/>
        <v>Putra (2016) -MgCl2</v>
      </c>
    </row>
    <row r="138" spans="1:38" ht="15.6" x14ac:dyDescent="0.3">
      <c r="A138" s="11">
        <v>5.9386650631388997</v>
      </c>
      <c r="B138" s="11">
        <v>76.796949253539296</v>
      </c>
      <c r="C138" s="10" t="s">
        <v>33</v>
      </c>
      <c r="D138" s="10" t="s">
        <v>273</v>
      </c>
      <c r="E138" s="10" t="s">
        <v>170</v>
      </c>
      <c r="F138" s="10">
        <v>0.15</v>
      </c>
      <c r="G138" s="10">
        <v>0.28999999999999998</v>
      </c>
      <c r="H138" s="10">
        <v>0.22900000000000001</v>
      </c>
      <c r="I138" s="10">
        <v>0.317</v>
      </c>
      <c r="J138" s="10">
        <v>2.11</v>
      </c>
      <c r="K138" s="10">
        <v>1.1000000000000001</v>
      </c>
      <c r="L138" s="10">
        <v>0</v>
      </c>
      <c r="M138" s="10">
        <v>50</v>
      </c>
      <c r="N138" s="10">
        <v>1527.88</v>
      </c>
      <c r="O138" s="10">
        <v>0.89900000000000002</v>
      </c>
      <c r="P138" s="10">
        <v>0.54900000000000004</v>
      </c>
      <c r="Q138" s="10">
        <v>27.28</v>
      </c>
      <c r="R138" s="10">
        <v>2.653</v>
      </c>
      <c r="S138" s="10" t="s">
        <v>34</v>
      </c>
      <c r="T138" s="10" t="s">
        <v>49</v>
      </c>
      <c r="U138" s="10" t="s">
        <v>50</v>
      </c>
      <c r="V138" s="10" t="s">
        <v>162</v>
      </c>
      <c r="W138" s="10">
        <v>1</v>
      </c>
      <c r="X138" s="10">
        <v>0.5</v>
      </c>
      <c r="Y138" s="10">
        <v>1.25</v>
      </c>
      <c r="Z138" s="10" t="s">
        <v>177</v>
      </c>
      <c r="AA138" s="10">
        <v>8.8499999999999995E-2</v>
      </c>
      <c r="AB138" s="10">
        <v>8</v>
      </c>
      <c r="AC138" s="10" t="s">
        <v>274</v>
      </c>
      <c r="AD138" s="10" t="s">
        <v>32</v>
      </c>
      <c r="AE138" s="10">
        <v>0.9365</v>
      </c>
      <c r="AF138" s="10" t="s">
        <v>251</v>
      </c>
      <c r="AG138" s="10">
        <v>2016</v>
      </c>
      <c r="AH138" s="10" t="s">
        <v>275</v>
      </c>
      <c r="AI138" s="10">
        <v>50</v>
      </c>
      <c r="AJ138" s="10">
        <v>2</v>
      </c>
      <c r="AK138" s="10" t="s">
        <v>34</v>
      </c>
      <c r="AL138" t="str">
        <f t="shared" si="9"/>
        <v>Putra (2016) -MgCl2</v>
      </c>
    </row>
    <row r="139" spans="1:38" ht="15.6" x14ac:dyDescent="0.3">
      <c r="A139" s="11">
        <v>6.0324714371617496</v>
      </c>
      <c r="B139" s="11">
        <v>76.796949253539296</v>
      </c>
      <c r="C139" s="10" t="s">
        <v>33</v>
      </c>
      <c r="D139" s="10" t="s">
        <v>273</v>
      </c>
      <c r="E139" s="10" t="s">
        <v>170</v>
      </c>
      <c r="F139" s="10">
        <v>0.15</v>
      </c>
      <c r="G139" s="10">
        <v>0.28999999999999998</v>
      </c>
      <c r="H139" s="10">
        <v>0.22900000000000001</v>
      </c>
      <c r="I139" s="10">
        <v>0.317</v>
      </c>
      <c r="J139" s="10">
        <v>2.11</v>
      </c>
      <c r="K139" s="10">
        <v>1.1000000000000001</v>
      </c>
      <c r="L139" s="10">
        <v>0</v>
      </c>
      <c r="M139" s="10">
        <v>50</v>
      </c>
      <c r="N139" s="10">
        <v>1527.88</v>
      </c>
      <c r="O139" s="10">
        <v>0.89900000000000002</v>
      </c>
      <c r="P139" s="10">
        <v>0.54900000000000004</v>
      </c>
      <c r="Q139" s="10">
        <v>27.28</v>
      </c>
      <c r="R139" s="10">
        <v>2.653</v>
      </c>
      <c r="S139" s="10" t="s">
        <v>34</v>
      </c>
      <c r="T139" s="10" t="s">
        <v>49</v>
      </c>
      <c r="U139" s="10" t="s">
        <v>50</v>
      </c>
      <c r="V139" s="10" t="s">
        <v>162</v>
      </c>
      <c r="W139" s="10">
        <v>1</v>
      </c>
      <c r="X139" s="10">
        <v>0.5</v>
      </c>
      <c r="Y139" s="10">
        <v>1.25</v>
      </c>
      <c r="Z139" s="10" t="s">
        <v>177</v>
      </c>
      <c r="AA139" s="10">
        <v>8.8499999999999995E-2</v>
      </c>
      <c r="AB139" s="10">
        <v>8</v>
      </c>
      <c r="AC139" s="10" t="s">
        <v>274</v>
      </c>
      <c r="AD139" s="10" t="s">
        <v>32</v>
      </c>
      <c r="AE139" s="10">
        <v>0.9365</v>
      </c>
      <c r="AF139" s="10" t="s">
        <v>251</v>
      </c>
      <c r="AG139" s="10">
        <v>2016</v>
      </c>
      <c r="AH139" s="10" t="s">
        <v>275</v>
      </c>
      <c r="AI139" s="10">
        <v>50</v>
      </c>
      <c r="AJ139" s="10">
        <v>2</v>
      </c>
      <c r="AK139" s="10" t="s">
        <v>34</v>
      </c>
      <c r="AL139" t="str">
        <f t="shared" si="9"/>
        <v>Putra (2016) -MgCl2</v>
      </c>
    </row>
    <row r="140" spans="1:38" ht="15.6" x14ac:dyDescent="0.3">
      <c r="A140" s="11">
        <v>8.6085387853277098</v>
      </c>
      <c r="B140" s="11">
        <v>150.13107289081699</v>
      </c>
      <c r="C140" s="10" t="s">
        <v>33</v>
      </c>
      <c r="D140" s="10" t="s">
        <v>273</v>
      </c>
      <c r="E140" s="10" t="s">
        <v>170</v>
      </c>
      <c r="F140" s="10">
        <v>0.15</v>
      </c>
      <c r="G140" s="10">
        <v>0.28999999999999998</v>
      </c>
      <c r="H140" s="10">
        <v>0.22900000000000001</v>
      </c>
      <c r="I140" s="10">
        <v>0.317</v>
      </c>
      <c r="J140" s="10">
        <v>2.11</v>
      </c>
      <c r="K140" s="10">
        <v>1.1000000000000001</v>
      </c>
      <c r="L140" s="10">
        <v>0</v>
      </c>
      <c r="M140" s="10">
        <v>50</v>
      </c>
      <c r="N140" s="10">
        <v>1527.88</v>
      </c>
      <c r="O140" s="10">
        <v>0.89900000000000002</v>
      </c>
      <c r="P140" s="10">
        <v>0.54900000000000004</v>
      </c>
      <c r="Q140" s="10">
        <v>27.28</v>
      </c>
      <c r="R140" s="10">
        <v>2.653</v>
      </c>
      <c r="S140" s="10" t="s">
        <v>34</v>
      </c>
      <c r="T140" s="10" t="s">
        <v>49</v>
      </c>
      <c r="U140" s="10" t="s">
        <v>50</v>
      </c>
      <c r="V140" s="10" t="s">
        <v>162</v>
      </c>
      <c r="W140" s="10">
        <v>1</v>
      </c>
      <c r="X140" s="10">
        <v>0.5</v>
      </c>
      <c r="Y140" s="10">
        <v>1.25</v>
      </c>
      <c r="Z140" s="10" t="s">
        <v>177</v>
      </c>
      <c r="AA140" s="10">
        <v>8.8499999999999995E-2</v>
      </c>
      <c r="AB140" s="10">
        <v>8</v>
      </c>
      <c r="AC140" s="10" t="s">
        <v>274</v>
      </c>
      <c r="AD140" s="10" t="s">
        <v>32</v>
      </c>
      <c r="AE140" s="10">
        <v>0.9365</v>
      </c>
      <c r="AF140" s="10" t="s">
        <v>251</v>
      </c>
      <c r="AG140" s="10">
        <v>2016</v>
      </c>
      <c r="AH140" s="10" t="s">
        <v>275</v>
      </c>
      <c r="AI140" s="10">
        <v>50</v>
      </c>
      <c r="AJ140" s="10">
        <v>2</v>
      </c>
      <c r="AK140" s="10" t="s">
        <v>34</v>
      </c>
      <c r="AL140" t="str">
        <f t="shared" si="9"/>
        <v>Putra (2016) -MgCl2</v>
      </c>
    </row>
    <row r="141" spans="1:38" s="117" customFormat="1" ht="16.2" thickBot="1" x14ac:dyDescent="0.35">
      <c r="A141" s="17">
        <v>8.5147324113048608</v>
      </c>
      <c r="B141" s="17">
        <v>109.869555602478</v>
      </c>
      <c r="C141" s="14" t="s">
        <v>33</v>
      </c>
      <c r="D141" s="14" t="s">
        <v>273</v>
      </c>
      <c r="E141" s="14" t="s">
        <v>170</v>
      </c>
      <c r="F141" s="14">
        <v>0.15</v>
      </c>
      <c r="G141" s="14">
        <v>0.28999999999999998</v>
      </c>
      <c r="H141" s="14">
        <v>0.22900000000000001</v>
      </c>
      <c r="I141" s="14">
        <v>0.317</v>
      </c>
      <c r="J141" s="14">
        <v>2.11</v>
      </c>
      <c r="K141" s="14">
        <v>1.1000000000000001</v>
      </c>
      <c r="L141" s="14">
        <v>0</v>
      </c>
      <c r="M141" s="14">
        <v>50</v>
      </c>
      <c r="N141" s="14">
        <v>1527.88</v>
      </c>
      <c r="O141" s="14">
        <v>0.89900000000000002</v>
      </c>
      <c r="P141" s="14">
        <v>0.54900000000000004</v>
      </c>
      <c r="Q141" s="14">
        <v>27.28</v>
      </c>
      <c r="R141" s="14">
        <v>2.653</v>
      </c>
      <c r="S141" s="14" t="s">
        <v>34</v>
      </c>
      <c r="T141" s="14" t="s">
        <v>49</v>
      </c>
      <c r="U141" s="14" t="s">
        <v>50</v>
      </c>
      <c r="V141" s="14" t="s">
        <v>162</v>
      </c>
      <c r="W141" s="14">
        <v>1</v>
      </c>
      <c r="X141" s="14">
        <v>0.5</v>
      </c>
      <c r="Y141" s="14">
        <v>1.25</v>
      </c>
      <c r="Z141" s="14" t="s">
        <v>177</v>
      </c>
      <c r="AA141" s="14">
        <v>8.8499999999999995E-2</v>
      </c>
      <c r="AB141" s="14">
        <v>8</v>
      </c>
      <c r="AC141" s="14" t="s">
        <v>274</v>
      </c>
      <c r="AD141" s="14" t="s">
        <v>32</v>
      </c>
      <c r="AE141" s="14">
        <v>0.9365</v>
      </c>
      <c r="AF141" s="14" t="s">
        <v>251</v>
      </c>
      <c r="AG141" s="14">
        <v>2016</v>
      </c>
      <c r="AH141" s="14" t="s">
        <v>275</v>
      </c>
      <c r="AI141" s="14">
        <v>50</v>
      </c>
      <c r="AJ141" s="14">
        <v>2</v>
      </c>
      <c r="AK141" s="14" t="s">
        <v>34</v>
      </c>
      <c r="AL141" t="str">
        <f t="shared" si="9"/>
        <v>Putra (2016) -MgCl2</v>
      </c>
    </row>
    <row r="142" spans="1:38" ht="15.6" x14ac:dyDescent="0.3">
      <c r="A142" s="12">
        <v>5.8844765342960201</v>
      </c>
      <c r="B142" s="12">
        <v>376.68161434977497</v>
      </c>
      <c r="C142" s="13" t="s">
        <v>33</v>
      </c>
      <c r="D142" s="13" t="s">
        <v>212</v>
      </c>
      <c r="E142" s="13" t="s">
        <v>170</v>
      </c>
      <c r="F142" s="13" t="s">
        <v>34</v>
      </c>
      <c r="G142" s="13">
        <v>0.72</v>
      </c>
      <c r="H142" s="13" t="s">
        <v>34</v>
      </c>
      <c r="I142" s="13" t="s">
        <v>34</v>
      </c>
      <c r="J142" s="13">
        <v>1.2</v>
      </c>
      <c r="K142" s="13" t="s">
        <v>34</v>
      </c>
      <c r="L142" s="13">
        <v>0</v>
      </c>
      <c r="M142" s="13">
        <v>57</v>
      </c>
      <c r="N142" s="13" t="s">
        <v>34</v>
      </c>
      <c r="O142" s="13">
        <v>0.74199999999999999</v>
      </c>
      <c r="P142" s="13">
        <v>0.502</v>
      </c>
      <c r="Q142" s="13">
        <v>22.64</v>
      </c>
      <c r="R142" s="13">
        <v>2.65</v>
      </c>
      <c r="S142" s="13" t="s">
        <v>34</v>
      </c>
      <c r="T142" s="13" t="s">
        <v>49</v>
      </c>
      <c r="U142" s="13" t="s">
        <v>276</v>
      </c>
      <c r="V142" s="13" t="s">
        <v>162</v>
      </c>
      <c r="W142" s="13">
        <v>3</v>
      </c>
      <c r="X142" s="13">
        <v>2</v>
      </c>
      <c r="Y142" s="13">
        <v>1</v>
      </c>
      <c r="Z142" s="13" t="s">
        <v>276</v>
      </c>
      <c r="AA142" s="13">
        <v>1.56</v>
      </c>
      <c r="AB142" s="13">
        <v>8.8000000000000007</v>
      </c>
      <c r="AC142" s="13" t="s">
        <v>40</v>
      </c>
      <c r="AD142" s="13" t="s">
        <v>277</v>
      </c>
      <c r="AE142" s="13">
        <v>0.11</v>
      </c>
      <c r="AF142" s="13" t="s">
        <v>278</v>
      </c>
      <c r="AG142" s="13">
        <v>2022</v>
      </c>
      <c r="AH142" s="13" t="s">
        <v>279</v>
      </c>
      <c r="AI142" s="13">
        <v>50</v>
      </c>
      <c r="AJ142" s="13">
        <v>2</v>
      </c>
      <c r="AK142" s="13">
        <v>1</v>
      </c>
      <c r="AL142" t="str">
        <f t="shared" si="9"/>
        <v>Lai (2022) -Pure</v>
      </c>
    </row>
    <row r="143" spans="1:38" s="117" customFormat="1" ht="16.2" thickBot="1" x14ac:dyDescent="0.35">
      <c r="A143" s="17">
        <v>6.2599277978339298</v>
      </c>
      <c r="B143" s="17">
        <v>566.81614349775703</v>
      </c>
      <c r="C143" s="14" t="s">
        <v>33</v>
      </c>
      <c r="D143" s="14" t="s">
        <v>212</v>
      </c>
      <c r="E143" s="14" t="s">
        <v>170</v>
      </c>
      <c r="F143" s="14" t="s">
        <v>34</v>
      </c>
      <c r="G143" s="14">
        <v>0.72</v>
      </c>
      <c r="H143" s="14" t="s">
        <v>34</v>
      </c>
      <c r="I143" s="14" t="s">
        <v>34</v>
      </c>
      <c r="J143" s="14">
        <v>1.2</v>
      </c>
      <c r="K143" s="14" t="s">
        <v>34</v>
      </c>
      <c r="L143" s="14">
        <v>0</v>
      </c>
      <c r="M143" s="14">
        <v>57</v>
      </c>
      <c r="N143" s="14" t="s">
        <v>34</v>
      </c>
      <c r="O143" s="14">
        <v>0.74199999999999999</v>
      </c>
      <c r="P143" s="14">
        <v>0.502</v>
      </c>
      <c r="Q143" s="14">
        <v>22.64</v>
      </c>
      <c r="R143" s="14">
        <v>2.65</v>
      </c>
      <c r="S143" s="14" t="s">
        <v>34</v>
      </c>
      <c r="T143" s="14" t="s">
        <v>49</v>
      </c>
      <c r="U143" s="14" t="s">
        <v>276</v>
      </c>
      <c r="V143" s="14" t="s">
        <v>162</v>
      </c>
      <c r="W143" s="14">
        <v>3</v>
      </c>
      <c r="X143" s="14">
        <v>2</v>
      </c>
      <c r="Y143" s="14">
        <v>1</v>
      </c>
      <c r="Z143" s="14" t="s">
        <v>276</v>
      </c>
      <c r="AA143" s="14">
        <v>1.56</v>
      </c>
      <c r="AB143" s="14">
        <v>8.8000000000000007</v>
      </c>
      <c r="AC143" s="14" t="s">
        <v>40</v>
      </c>
      <c r="AD143" s="14" t="s">
        <v>277</v>
      </c>
      <c r="AE143" s="14">
        <v>0.11</v>
      </c>
      <c r="AF143" s="14" t="s">
        <v>278</v>
      </c>
      <c r="AG143" s="14">
        <v>2022</v>
      </c>
      <c r="AH143" s="14" t="s">
        <v>279</v>
      </c>
      <c r="AI143" s="14">
        <v>50</v>
      </c>
      <c r="AJ143" s="14">
        <v>2</v>
      </c>
      <c r="AK143" s="14">
        <v>1</v>
      </c>
      <c r="AL143" t="str">
        <f t="shared" si="9"/>
        <v>Lai (2022) -Pure</v>
      </c>
    </row>
    <row r="144" spans="1:38" ht="15.6" x14ac:dyDescent="0.3">
      <c r="A144" s="12">
        <v>6.4187725631768897</v>
      </c>
      <c r="B144" s="12">
        <v>1327.3542600896801</v>
      </c>
      <c r="C144" s="13" t="s">
        <v>33</v>
      </c>
      <c r="D144" s="13" t="s">
        <v>212</v>
      </c>
      <c r="E144" s="13" t="s">
        <v>170</v>
      </c>
      <c r="F144" s="13" t="s">
        <v>34</v>
      </c>
      <c r="G144" s="13">
        <v>0.72</v>
      </c>
      <c r="H144" s="13" t="s">
        <v>34</v>
      </c>
      <c r="I144" s="13" t="s">
        <v>34</v>
      </c>
      <c r="J144" s="13">
        <v>1.2</v>
      </c>
      <c r="K144" s="13" t="s">
        <v>34</v>
      </c>
      <c r="L144" s="13">
        <v>0</v>
      </c>
      <c r="M144" s="13">
        <v>57</v>
      </c>
      <c r="N144" s="13" t="s">
        <v>34</v>
      </c>
      <c r="O144" s="13">
        <v>0.74199999999999999</v>
      </c>
      <c r="P144" s="13">
        <v>0.502</v>
      </c>
      <c r="Q144" s="13">
        <v>22.64</v>
      </c>
      <c r="R144" s="13">
        <v>2.65</v>
      </c>
      <c r="S144" s="13" t="s">
        <v>34</v>
      </c>
      <c r="T144" s="13" t="s">
        <v>49</v>
      </c>
      <c r="U144" s="13" t="s">
        <v>276</v>
      </c>
      <c r="V144" s="13" t="s">
        <v>162</v>
      </c>
      <c r="W144" s="13">
        <v>3</v>
      </c>
      <c r="X144" s="13">
        <v>2</v>
      </c>
      <c r="Y144" s="13">
        <v>1</v>
      </c>
      <c r="Z144" s="13" t="s">
        <v>276</v>
      </c>
      <c r="AA144" s="13">
        <v>1.56</v>
      </c>
      <c r="AB144" s="13">
        <v>7</v>
      </c>
      <c r="AC144" s="13" t="s">
        <v>281</v>
      </c>
      <c r="AD144" s="13" t="s">
        <v>277</v>
      </c>
      <c r="AE144" s="13">
        <v>0.11</v>
      </c>
      <c r="AF144" s="13" t="s">
        <v>278</v>
      </c>
      <c r="AG144" s="13">
        <v>2022</v>
      </c>
      <c r="AH144" s="13" t="s">
        <v>279</v>
      </c>
      <c r="AI144" s="13">
        <v>50</v>
      </c>
      <c r="AJ144" s="13">
        <v>2</v>
      </c>
      <c r="AK144" s="13">
        <v>1</v>
      </c>
      <c r="AL144" t="str">
        <f t="shared" si="9"/>
        <v>Lai (2022) -pH Controlled</v>
      </c>
    </row>
    <row r="145" spans="1:38" ht="15.6" x14ac:dyDescent="0.3">
      <c r="A145" s="11">
        <v>6.4115523465703896</v>
      </c>
      <c r="B145" s="11">
        <v>1736.3228699551501</v>
      </c>
      <c r="C145" s="10" t="s">
        <v>33</v>
      </c>
      <c r="D145" s="10" t="s">
        <v>212</v>
      </c>
      <c r="E145" s="10" t="s">
        <v>170</v>
      </c>
      <c r="F145" s="10" t="s">
        <v>34</v>
      </c>
      <c r="G145" s="10">
        <v>0.72</v>
      </c>
      <c r="H145" s="10" t="s">
        <v>34</v>
      </c>
      <c r="I145" s="10" t="s">
        <v>34</v>
      </c>
      <c r="J145" s="10">
        <v>1.2</v>
      </c>
      <c r="K145" s="10" t="s">
        <v>34</v>
      </c>
      <c r="L145" s="10">
        <v>0</v>
      </c>
      <c r="M145" s="10">
        <v>57</v>
      </c>
      <c r="N145" s="10" t="s">
        <v>34</v>
      </c>
      <c r="O145" s="10">
        <v>0.74199999999999999</v>
      </c>
      <c r="P145" s="10">
        <v>0.502</v>
      </c>
      <c r="Q145" s="10">
        <v>22.64</v>
      </c>
      <c r="R145" s="10">
        <v>2.65</v>
      </c>
      <c r="S145" s="10" t="s">
        <v>34</v>
      </c>
      <c r="T145" s="10" t="s">
        <v>49</v>
      </c>
      <c r="U145" s="10" t="s">
        <v>276</v>
      </c>
      <c r="V145" s="10" t="s">
        <v>162</v>
      </c>
      <c r="W145" s="10">
        <v>3</v>
      </c>
      <c r="X145" s="10">
        <v>2</v>
      </c>
      <c r="Y145" s="10">
        <v>1</v>
      </c>
      <c r="Z145" s="10" t="s">
        <v>276</v>
      </c>
      <c r="AA145" s="10">
        <v>1.56</v>
      </c>
      <c r="AB145" s="10">
        <v>7</v>
      </c>
      <c r="AC145" s="10" t="s">
        <v>281</v>
      </c>
      <c r="AD145" s="10" t="s">
        <v>277</v>
      </c>
      <c r="AE145" s="10">
        <v>0.11</v>
      </c>
      <c r="AF145" s="10" t="s">
        <v>278</v>
      </c>
      <c r="AG145" s="10">
        <v>2022</v>
      </c>
      <c r="AH145" s="10" t="s">
        <v>279</v>
      </c>
      <c r="AI145" s="10">
        <v>50</v>
      </c>
      <c r="AJ145" s="10">
        <v>2</v>
      </c>
      <c r="AK145" s="10">
        <v>1</v>
      </c>
      <c r="AL145" t="str">
        <f t="shared" si="9"/>
        <v>Lai (2022) -pH Controlled</v>
      </c>
    </row>
    <row r="146" spans="1:38" ht="15.6" x14ac:dyDescent="0.3">
      <c r="A146" s="11">
        <v>6.3249097472924101</v>
      </c>
      <c r="B146" s="11">
        <v>1890.58295964125</v>
      </c>
      <c r="C146" s="10" t="s">
        <v>33</v>
      </c>
      <c r="D146" s="10" t="s">
        <v>212</v>
      </c>
      <c r="E146" s="10" t="s">
        <v>170</v>
      </c>
      <c r="F146" s="10" t="s">
        <v>34</v>
      </c>
      <c r="G146" s="10">
        <v>0.72</v>
      </c>
      <c r="H146" s="10" t="s">
        <v>34</v>
      </c>
      <c r="I146" s="10" t="s">
        <v>34</v>
      </c>
      <c r="J146" s="10">
        <v>1.2</v>
      </c>
      <c r="K146" s="10" t="s">
        <v>34</v>
      </c>
      <c r="L146" s="10">
        <v>0</v>
      </c>
      <c r="M146" s="10">
        <v>57</v>
      </c>
      <c r="N146" s="10" t="s">
        <v>34</v>
      </c>
      <c r="O146" s="10">
        <v>0.74199999999999999</v>
      </c>
      <c r="P146" s="10">
        <v>0.502</v>
      </c>
      <c r="Q146" s="10">
        <v>22.64</v>
      </c>
      <c r="R146" s="10">
        <v>2.65</v>
      </c>
      <c r="S146" s="10" t="s">
        <v>34</v>
      </c>
      <c r="T146" s="10" t="s">
        <v>49</v>
      </c>
      <c r="U146" s="10" t="s">
        <v>276</v>
      </c>
      <c r="V146" s="10" t="s">
        <v>162</v>
      </c>
      <c r="W146" s="10">
        <v>3</v>
      </c>
      <c r="X146" s="10">
        <v>2</v>
      </c>
      <c r="Y146" s="10">
        <v>1</v>
      </c>
      <c r="Z146" s="10" t="s">
        <v>276</v>
      </c>
      <c r="AA146" s="10">
        <v>1.56</v>
      </c>
      <c r="AB146" s="10">
        <v>7</v>
      </c>
      <c r="AC146" s="10" t="s">
        <v>281</v>
      </c>
      <c r="AD146" s="10" t="s">
        <v>277</v>
      </c>
      <c r="AE146" s="10">
        <v>0.11</v>
      </c>
      <c r="AF146" s="10" t="s">
        <v>278</v>
      </c>
      <c r="AG146" s="10">
        <v>2022</v>
      </c>
      <c r="AH146" s="10" t="s">
        <v>279</v>
      </c>
      <c r="AI146" s="10">
        <v>50</v>
      </c>
      <c r="AJ146" s="10">
        <v>2</v>
      </c>
      <c r="AK146" s="10">
        <v>1</v>
      </c>
      <c r="AL146" t="str">
        <f t="shared" si="9"/>
        <v>Lai (2022) -pH Controlled</v>
      </c>
    </row>
    <row r="147" spans="1:38" ht="15.6" x14ac:dyDescent="0.3">
      <c r="A147" s="11">
        <v>6.5703971119133504</v>
      </c>
      <c r="B147" s="11">
        <v>1782.9596412556</v>
      </c>
      <c r="C147" s="10" t="s">
        <v>33</v>
      </c>
      <c r="D147" s="10" t="s">
        <v>212</v>
      </c>
      <c r="E147" s="10" t="s">
        <v>170</v>
      </c>
      <c r="F147" s="10" t="s">
        <v>34</v>
      </c>
      <c r="G147" s="10">
        <v>0.72</v>
      </c>
      <c r="H147" s="10" t="s">
        <v>34</v>
      </c>
      <c r="I147" s="10" t="s">
        <v>34</v>
      </c>
      <c r="J147" s="10">
        <v>1.2</v>
      </c>
      <c r="K147" s="10" t="s">
        <v>34</v>
      </c>
      <c r="L147" s="10">
        <v>0</v>
      </c>
      <c r="M147" s="10">
        <v>57</v>
      </c>
      <c r="N147" s="10" t="s">
        <v>34</v>
      </c>
      <c r="O147" s="10">
        <v>0.74199999999999999</v>
      </c>
      <c r="P147" s="10">
        <v>0.502</v>
      </c>
      <c r="Q147" s="10">
        <v>22.64</v>
      </c>
      <c r="R147" s="10">
        <v>2.65</v>
      </c>
      <c r="S147" s="10" t="s">
        <v>34</v>
      </c>
      <c r="T147" s="10" t="s">
        <v>49</v>
      </c>
      <c r="U147" s="10" t="s">
        <v>276</v>
      </c>
      <c r="V147" s="10" t="s">
        <v>162</v>
      </c>
      <c r="W147" s="10">
        <v>3</v>
      </c>
      <c r="X147" s="10">
        <v>2</v>
      </c>
      <c r="Y147" s="10">
        <v>1</v>
      </c>
      <c r="Z147" s="10" t="s">
        <v>276</v>
      </c>
      <c r="AA147" s="10">
        <v>1.56</v>
      </c>
      <c r="AB147" s="10">
        <v>6</v>
      </c>
      <c r="AC147" s="10" t="s">
        <v>281</v>
      </c>
      <c r="AD147" s="10" t="s">
        <v>277</v>
      </c>
      <c r="AE147" s="10">
        <v>0.11</v>
      </c>
      <c r="AF147" s="10" t="s">
        <v>278</v>
      </c>
      <c r="AG147" s="10">
        <v>2022</v>
      </c>
      <c r="AH147" s="10" t="s">
        <v>279</v>
      </c>
      <c r="AI147" s="10">
        <v>50</v>
      </c>
      <c r="AJ147" s="10">
        <v>2</v>
      </c>
      <c r="AK147" s="10">
        <v>1</v>
      </c>
      <c r="AL147" t="str">
        <f t="shared" si="9"/>
        <v>Lai (2022) -pH Controlled</v>
      </c>
    </row>
    <row r="148" spans="1:38" ht="15.6" x14ac:dyDescent="0.3">
      <c r="A148" s="11">
        <v>6.5559566787003503</v>
      </c>
      <c r="B148" s="11">
        <v>1897.75784753363</v>
      </c>
      <c r="C148" s="10" t="s">
        <v>33</v>
      </c>
      <c r="D148" s="10" t="s">
        <v>212</v>
      </c>
      <c r="E148" s="10" t="s">
        <v>170</v>
      </c>
      <c r="F148" s="10" t="s">
        <v>34</v>
      </c>
      <c r="G148" s="10">
        <v>0.72</v>
      </c>
      <c r="H148" s="10" t="s">
        <v>34</v>
      </c>
      <c r="I148" s="10" t="s">
        <v>34</v>
      </c>
      <c r="J148" s="10">
        <v>1.2</v>
      </c>
      <c r="K148" s="10" t="s">
        <v>34</v>
      </c>
      <c r="L148" s="10">
        <v>0</v>
      </c>
      <c r="M148" s="10">
        <v>57</v>
      </c>
      <c r="N148" s="10" t="s">
        <v>34</v>
      </c>
      <c r="O148" s="10">
        <v>0.74199999999999999</v>
      </c>
      <c r="P148" s="10">
        <v>0.502</v>
      </c>
      <c r="Q148" s="10">
        <v>22.64</v>
      </c>
      <c r="R148" s="10">
        <v>2.65</v>
      </c>
      <c r="S148" s="10" t="s">
        <v>34</v>
      </c>
      <c r="T148" s="10" t="s">
        <v>49</v>
      </c>
      <c r="U148" s="10" t="s">
        <v>276</v>
      </c>
      <c r="V148" s="10" t="s">
        <v>162</v>
      </c>
      <c r="W148" s="10">
        <v>3</v>
      </c>
      <c r="X148" s="10">
        <v>2</v>
      </c>
      <c r="Y148" s="10">
        <v>1</v>
      </c>
      <c r="Z148" s="10" t="s">
        <v>276</v>
      </c>
      <c r="AA148" s="10">
        <v>1.56</v>
      </c>
      <c r="AB148" s="10">
        <v>6</v>
      </c>
      <c r="AC148" s="10" t="s">
        <v>281</v>
      </c>
      <c r="AD148" s="10" t="s">
        <v>277</v>
      </c>
      <c r="AE148" s="10">
        <v>0.11</v>
      </c>
      <c r="AF148" s="10" t="s">
        <v>278</v>
      </c>
      <c r="AG148" s="10">
        <v>2022</v>
      </c>
      <c r="AH148" s="10" t="s">
        <v>279</v>
      </c>
      <c r="AI148" s="10">
        <v>50</v>
      </c>
      <c r="AJ148" s="10">
        <v>2</v>
      </c>
      <c r="AK148" s="10">
        <v>1</v>
      </c>
      <c r="AL148" t="str">
        <f t="shared" si="9"/>
        <v>Lai (2022) -pH Controlled</v>
      </c>
    </row>
    <row r="149" spans="1:38" ht="15.6" x14ac:dyDescent="0.3">
      <c r="A149" s="11">
        <v>6.7292418772563103</v>
      </c>
      <c r="B149" s="11">
        <v>2324.66367713004</v>
      </c>
      <c r="C149" s="10" t="s">
        <v>33</v>
      </c>
      <c r="D149" s="10" t="s">
        <v>212</v>
      </c>
      <c r="E149" s="10" t="s">
        <v>170</v>
      </c>
      <c r="F149" s="10" t="s">
        <v>34</v>
      </c>
      <c r="G149" s="10">
        <v>0.72</v>
      </c>
      <c r="H149" s="10" t="s">
        <v>34</v>
      </c>
      <c r="I149" s="10" t="s">
        <v>34</v>
      </c>
      <c r="J149" s="10">
        <v>1.2</v>
      </c>
      <c r="K149" s="10" t="s">
        <v>34</v>
      </c>
      <c r="L149" s="10">
        <v>0</v>
      </c>
      <c r="M149" s="10">
        <v>57</v>
      </c>
      <c r="N149" s="10" t="s">
        <v>34</v>
      </c>
      <c r="O149" s="10">
        <v>0.74199999999999999</v>
      </c>
      <c r="P149" s="10">
        <v>0.502</v>
      </c>
      <c r="Q149" s="10">
        <v>22.64</v>
      </c>
      <c r="R149" s="10">
        <v>2.65</v>
      </c>
      <c r="S149" s="10" t="s">
        <v>34</v>
      </c>
      <c r="T149" s="10" t="s">
        <v>49</v>
      </c>
      <c r="U149" s="10" t="s">
        <v>276</v>
      </c>
      <c r="V149" s="10" t="s">
        <v>162</v>
      </c>
      <c r="W149" s="10">
        <v>3</v>
      </c>
      <c r="X149" s="10">
        <v>2</v>
      </c>
      <c r="Y149" s="10">
        <v>1</v>
      </c>
      <c r="Z149" s="10" t="s">
        <v>276</v>
      </c>
      <c r="AA149" s="10">
        <v>1.56</v>
      </c>
      <c r="AB149" s="10">
        <v>6</v>
      </c>
      <c r="AC149" s="10" t="s">
        <v>281</v>
      </c>
      <c r="AD149" s="10" t="s">
        <v>277</v>
      </c>
      <c r="AE149" s="10">
        <v>0.11</v>
      </c>
      <c r="AF149" s="10" t="s">
        <v>278</v>
      </c>
      <c r="AG149" s="10">
        <v>2022</v>
      </c>
      <c r="AH149" s="10" t="s">
        <v>279</v>
      </c>
      <c r="AI149" s="10">
        <v>50</v>
      </c>
      <c r="AJ149" s="10">
        <v>2</v>
      </c>
      <c r="AK149" s="10">
        <v>1</v>
      </c>
      <c r="AL149" t="str">
        <f t="shared" si="9"/>
        <v>Lai (2022) -pH Controlled</v>
      </c>
    </row>
    <row r="150" spans="1:38" ht="15.6" x14ac:dyDescent="0.3">
      <c r="A150" s="11">
        <v>6.5631768953068503</v>
      </c>
      <c r="B150" s="11">
        <v>2396.41255605381</v>
      </c>
      <c r="C150" s="10" t="s">
        <v>33</v>
      </c>
      <c r="D150" s="10" t="s">
        <v>212</v>
      </c>
      <c r="E150" s="10" t="s">
        <v>170</v>
      </c>
      <c r="F150" s="10" t="s">
        <v>34</v>
      </c>
      <c r="G150" s="10">
        <v>0.72</v>
      </c>
      <c r="H150" s="10" t="s">
        <v>34</v>
      </c>
      <c r="I150" s="10" t="s">
        <v>34</v>
      </c>
      <c r="J150" s="10">
        <v>1.2</v>
      </c>
      <c r="K150" s="10" t="s">
        <v>34</v>
      </c>
      <c r="L150" s="10">
        <v>0</v>
      </c>
      <c r="M150" s="10">
        <v>57</v>
      </c>
      <c r="N150" s="10" t="s">
        <v>34</v>
      </c>
      <c r="O150" s="10">
        <v>0.74199999999999999</v>
      </c>
      <c r="P150" s="10">
        <v>0.502</v>
      </c>
      <c r="Q150" s="10">
        <v>22.64</v>
      </c>
      <c r="R150" s="10">
        <v>2.65</v>
      </c>
      <c r="S150" s="10" t="s">
        <v>34</v>
      </c>
      <c r="T150" s="10" t="s">
        <v>49</v>
      </c>
      <c r="U150" s="10" t="s">
        <v>276</v>
      </c>
      <c r="V150" s="10" t="s">
        <v>162</v>
      </c>
      <c r="W150" s="10">
        <v>3</v>
      </c>
      <c r="X150" s="10">
        <v>2</v>
      </c>
      <c r="Y150" s="10">
        <v>1</v>
      </c>
      <c r="Z150" s="10" t="s">
        <v>276</v>
      </c>
      <c r="AA150" s="10">
        <v>1.56</v>
      </c>
      <c r="AB150" s="10">
        <v>5.5</v>
      </c>
      <c r="AC150" s="10" t="s">
        <v>281</v>
      </c>
      <c r="AD150" s="10" t="s">
        <v>277</v>
      </c>
      <c r="AE150" s="10">
        <v>0.11</v>
      </c>
      <c r="AF150" s="10" t="s">
        <v>278</v>
      </c>
      <c r="AG150" s="10">
        <v>2022</v>
      </c>
      <c r="AH150" s="10" t="s">
        <v>279</v>
      </c>
      <c r="AI150" s="10">
        <v>50</v>
      </c>
      <c r="AJ150" s="10">
        <v>2</v>
      </c>
      <c r="AK150" s="10">
        <v>1</v>
      </c>
      <c r="AL150" t="str">
        <f t="shared" si="9"/>
        <v>Lai (2022) -pH Controlled</v>
      </c>
    </row>
    <row r="151" spans="1:38" ht="15.6" x14ac:dyDescent="0.3">
      <c r="A151" s="11">
        <v>6.3682310469313999</v>
      </c>
      <c r="B151" s="11">
        <v>2278.0269058295899</v>
      </c>
      <c r="C151" s="10" t="s">
        <v>33</v>
      </c>
      <c r="D151" s="10" t="s">
        <v>212</v>
      </c>
      <c r="E151" s="10" t="s">
        <v>170</v>
      </c>
      <c r="F151" s="10" t="s">
        <v>34</v>
      </c>
      <c r="G151" s="10">
        <v>0.72</v>
      </c>
      <c r="H151" s="10" t="s">
        <v>34</v>
      </c>
      <c r="I151" s="10" t="s">
        <v>34</v>
      </c>
      <c r="J151" s="10">
        <v>1.2</v>
      </c>
      <c r="K151" s="10" t="s">
        <v>34</v>
      </c>
      <c r="L151" s="10">
        <v>0</v>
      </c>
      <c r="M151" s="10">
        <v>57</v>
      </c>
      <c r="N151" s="10" t="s">
        <v>34</v>
      </c>
      <c r="O151" s="10">
        <v>0.74199999999999999</v>
      </c>
      <c r="P151" s="10">
        <v>0.502</v>
      </c>
      <c r="Q151" s="10">
        <v>22.64</v>
      </c>
      <c r="R151" s="10">
        <v>2.65</v>
      </c>
      <c r="S151" s="10" t="s">
        <v>34</v>
      </c>
      <c r="T151" s="10" t="s">
        <v>49</v>
      </c>
      <c r="U151" s="10" t="s">
        <v>276</v>
      </c>
      <c r="V151" s="10" t="s">
        <v>162</v>
      </c>
      <c r="W151" s="10">
        <v>3</v>
      </c>
      <c r="X151" s="10">
        <v>2</v>
      </c>
      <c r="Y151" s="10">
        <v>1</v>
      </c>
      <c r="Z151" s="10" t="s">
        <v>276</v>
      </c>
      <c r="AA151" s="10">
        <v>1.56</v>
      </c>
      <c r="AB151" s="10">
        <v>5.5</v>
      </c>
      <c r="AC151" s="10" t="s">
        <v>281</v>
      </c>
      <c r="AD151" s="10" t="s">
        <v>277</v>
      </c>
      <c r="AE151" s="10">
        <v>0.11</v>
      </c>
      <c r="AF151" s="10" t="s">
        <v>278</v>
      </c>
      <c r="AG151" s="10">
        <v>2022</v>
      </c>
      <c r="AH151" s="10" t="s">
        <v>279</v>
      </c>
      <c r="AI151" s="10">
        <v>50</v>
      </c>
      <c r="AJ151" s="10">
        <v>2</v>
      </c>
      <c r="AK151" s="10">
        <v>1</v>
      </c>
      <c r="AL151" t="str">
        <f t="shared" si="9"/>
        <v>Lai (2022) -pH Controlled</v>
      </c>
    </row>
    <row r="152" spans="1:38" ht="15.6" x14ac:dyDescent="0.3">
      <c r="A152" s="11">
        <v>6.4476534296028802</v>
      </c>
      <c r="B152" s="11">
        <v>1919.28251121076</v>
      </c>
      <c r="C152" s="10" t="s">
        <v>33</v>
      </c>
      <c r="D152" s="10" t="s">
        <v>212</v>
      </c>
      <c r="E152" s="10" t="s">
        <v>170</v>
      </c>
      <c r="F152" s="10" t="s">
        <v>34</v>
      </c>
      <c r="G152" s="10">
        <v>0.72</v>
      </c>
      <c r="H152" s="10" t="s">
        <v>34</v>
      </c>
      <c r="I152" s="10" t="s">
        <v>34</v>
      </c>
      <c r="J152" s="10">
        <v>1.2</v>
      </c>
      <c r="K152" s="10" t="s">
        <v>34</v>
      </c>
      <c r="L152" s="10">
        <v>0</v>
      </c>
      <c r="M152" s="10">
        <v>57</v>
      </c>
      <c r="N152" s="10" t="s">
        <v>34</v>
      </c>
      <c r="O152" s="10">
        <v>0.74199999999999999</v>
      </c>
      <c r="P152" s="10">
        <v>0.502</v>
      </c>
      <c r="Q152" s="10">
        <v>22.64</v>
      </c>
      <c r="R152" s="10">
        <v>2.65</v>
      </c>
      <c r="S152" s="10" t="s">
        <v>34</v>
      </c>
      <c r="T152" s="10" t="s">
        <v>49</v>
      </c>
      <c r="U152" s="10" t="s">
        <v>276</v>
      </c>
      <c r="V152" s="10" t="s">
        <v>162</v>
      </c>
      <c r="W152" s="10">
        <v>3</v>
      </c>
      <c r="X152" s="10">
        <v>2</v>
      </c>
      <c r="Y152" s="10">
        <v>1</v>
      </c>
      <c r="Z152" s="10" t="s">
        <v>276</v>
      </c>
      <c r="AA152" s="10">
        <v>1.56</v>
      </c>
      <c r="AB152" s="10">
        <v>5.5</v>
      </c>
      <c r="AC152" s="10" t="s">
        <v>281</v>
      </c>
      <c r="AD152" s="10" t="s">
        <v>277</v>
      </c>
      <c r="AE152" s="10">
        <v>0.11</v>
      </c>
      <c r="AF152" s="10" t="s">
        <v>278</v>
      </c>
      <c r="AG152" s="10">
        <v>2022</v>
      </c>
      <c r="AH152" s="10" t="s">
        <v>279</v>
      </c>
      <c r="AI152" s="10">
        <v>50</v>
      </c>
      <c r="AJ152" s="10">
        <v>2</v>
      </c>
      <c r="AK152" s="10">
        <v>1</v>
      </c>
      <c r="AL152" t="str">
        <f t="shared" si="9"/>
        <v>Lai (2022) -pH Controlled</v>
      </c>
    </row>
    <row r="153" spans="1:38" ht="15.6" x14ac:dyDescent="0.3">
      <c r="A153" s="11">
        <v>6.1010830324909699</v>
      </c>
      <c r="B153" s="11">
        <v>2471.74887892376</v>
      </c>
      <c r="C153" s="10" t="s">
        <v>33</v>
      </c>
      <c r="D153" s="10" t="s">
        <v>212</v>
      </c>
      <c r="E153" s="10" t="s">
        <v>170</v>
      </c>
      <c r="F153" s="10" t="s">
        <v>34</v>
      </c>
      <c r="G153" s="10">
        <v>0.72</v>
      </c>
      <c r="H153" s="10" t="s">
        <v>34</v>
      </c>
      <c r="I153" s="10" t="s">
        <v>34</v>
      </c>
      <c r="J153" s="10">
        <v>1.2</v>
      </c>
      <c r="K153" s="10" t="s">
        <v>34</v>
      </c>
      <c r="L153" s="10">
        <v>0</v>
      </c>
      <c r="M153" s="10">
        <v>57</v>
      </c>
      <c r="N153" s="10" t="s">
        <v>34</v>
      </c>
      <c r="O153" s="10">
        <v>0.74199999999999999</v>
      </c>
      <c r="P153" s="10">
        <v>0.502</v>
      </c>
      <c r="Q153" s="10">
        <v>22.64</v>
      </c>
      <c r="R153" s="10">
        <v>2.65</v>
      </c>
      <c r="S153" s="10" t="s">
        <v>34</v>
      </c>
      <c r="T153" s="10" t="s">
        <v>49</v>
      </c>
      <c r="U153" s="10" t="s">
        <v>276</v>
      </c>
      <c r="V153" s="10" t="s">
        <v>162</v>
      </c>
      <c r="W153" s="10">
        <v>3</v>
      </c>
      <c r="X153" s="10">
        <v>2</v>
      </c>
      <c r="Y153" s="10">
        <v>1</v>
      </c>
      <c r="Z153" s="10" t="s">
        <v>276</v>
      </c>
      <c r="AA153" s="10">
        <v>1.56</v>
      </c>
      <c r="AB153" s="10">
        <v>5</v>
      </c>
      <c r="AC153" s="10" t="s">
        <v>281</v>
      </c>
      <c r="AD153" s="10" t="s">
        <v>277</v>
      </c>
      <c r="AE153" s="10">
        <v>0.11</v>
      </c>
      <c r="AF153" s="10" t="s">
        <v>278</v>
      </c>
      <c r="AG153" s="10">
        <v>2022</v>
      </c>
      <c r="AH153" s="10" t="s">
        <v>279</v>
      </c>
      <c r="AI153" s="10">
        <v>50</v>
      </c>
      <c r="AJ153" s="10">
        <v>2</v>
      </c>
      <c r="AK153" s="10">
        <v>1</v>
      </c>
      <c r="AL153" t="str">
        <f t="shared" si="9"/>
        <v>Lai (2022) -pH Controlled</v>
      </c>
    </row>
    <row r="154" spans="1:38" ht="15.6" x14ac:dyDescent="0.3">
      <c r="A154" s="11">
        <v>5.8122743682310398</v>
      </c>
      <c r="B154" s="11">
        <v>1922.86995515695</v>
      </c>
      <c r="C154" s="10" t="s">
        <v>33</v>
      </c>
      <c r="D154" s="10" t="s">
        <v>212</v>
      </c>
      <c r="E154" s="10" t="s">
        <v>170</v>
      </c>
      <c r="F154" s="10" t="s">
        <v>34</v>
      </c>
      <c r="G154" s="10">
        <v>0.72</v>
      </c>
      <c r="H154" s="10" t="s">
        <v>34</v>
      </c>
      <c r="I154" s="10" t="s">
        <v>34</v>
      </c>
      <c r="J154" s="10">
        <v>1.2</v>
      </c>
      <c r="K154" s="10" t="s">
        <v>34</v>
      </c>
      <c r="L154" s="10">
        <v>0</v>
      </c>
      <c r="M154" s="10">
        <v>57</v>
      </c>
      <c r="N154" s="10" t="s">
        <v>34</v>
      </c>
      <c r="O154" s="10">
        <v>0.74199999999999999</v>
      </c>
      <c r="P154" s="10">
        <v>0.502</v>
      </c>
      <c r="Q154" s="10">
        <v>22.64</v>
      </c>
      <c r="R154" s="10">
        <v>2.65</v>
      </c>
      <c r="S154" s="10" t="s">
        <v>34</v>
      </c>
      <c r="T154" s="10" t="s">
        <v>49</v>
      </c>
      <c r="U154" s="10" t="s">
        <v>276</v>
      </c>
      <c r="V154" s="10" t="s">
        <v>162</v>
      </c>
      <c r="W154" s="10">
        <v>3</v>
      </c>
      <c r="X154" s="10">
        <v>2</v>
      </c>
      <c r="Y154" s="10">
        <v>1</v>
      </c>
      <c r="Z154" s="10" t="s">
        <v>276</v>
      </c>
      <c r="AA154" s="10">
        <v>1.56</v>
      </c>
      <c r="AB154" s="10">
        <v>5</v>
      </c>
      <c r="AC154" s="10" t="s">
        <v>281</v>
      </c>
      <c r="AD154" s="10" t="s">
        <v>277</v>
      </c>
      <c r="AE154" s="10">
        <v>0.11</v>
      </c>
      <c r="AF154" s="10" t="s">
        <v>278</v>
      </c>
      <c r="AG154" s="10">
        <v>2022</v>
      </c>
      <c r="AH154" s="10" t="s">
        <v>279</v>
      </c>
      <c r="AI154" s="10">
        <v>50</v>
      </c>
      <c r="AJ154" s="10">
        <v>2</v>
      </c>
      <c r="AK154" s="10">
        <v>1</v>
      </c>
      <c r="AL154" t="str">
        <f t="shared" si="9"/>
        <v>Lai (2022) -pH Controlled</v>
      </c>
    </row>
    <row r="155" spans="1:38" s="117" customFormat="1" ht="16.2" thickBot="1" x14ac:dyDescent="0.35">
      <c r="A155" s="17">
        <v>5.7039711191335698</v>
      </c>
      <c r="B155" s="17">
        <v>1729.1479820627701</v>
      </c>
      <c r="C155" s="14" t="s">
        <v>33</v>
      </c>
      <c r="D155" s="14" t="s">
        <v>212</v>
      </c>
      <c r="E155" s="14" t="s">
        <v>170</v>
      </c>
      <c r="F155" s="14" t="s">
        <v>34</v>
      </c>
      <c r="G155" s="14">
        <v>0.72</v>
      </c>
      <c r="H155" s="14" t="s">
        <v>34</v>
      </c>
      <c r="I155" s="14" t="s">
        <v>34</v>
      </c>
      <c r="J155" s="14">
        <v>1.2</v>
      </c>
      <c r="K155" s="14" t="s">
        <v>34</v>
      </c>
      <c r="L155" s="14">
        <v>0</v>
      </c>
      <c r="M155" s="14">
        <v>57</v>
      </c>
      <c r="N155" s="14" t="s">
        <v>34</v>
      </c>
      <c r="O155" s="14">
        <v>0.74199999999999999</v>
      </c>
      <c r="P155" s="14">
        <v>0.502</v>
      </c>
      <c r="Q155" s="14">
        <v>22.64</v>
      </c>
      <c r="R155" s="14">
        <v>2.65</v>
      </c>
      <c r="S155" s="14" t="s">
        <v>34</v>
      </c>
      <c r="T155" s="14" t="s">
        <v>49</v>
      </c>
      <c r="U155" s="14" t="s">
        <v>276</v>
      </c>
      <c r="V155" s="14" t="s">
        <v>162</v>
      </c>
      <c r="W155" s="14">
        <v>3</v>
      </c>
      <c r="X155" s="14">
        <v>2</v>
      </c>
      <c r="Y155" s="14">
        <v>1</v>
      </c>
      <c r="Z155" s="14" t="s">
        <v>276</v>
      </c>
      <c r="AA155" s="14">
        <v>1.56</v>
      </c>
      <c r="AB155" s="14">
        <v>5</v>
      </c>
      <c r="AC155" s="14" t="s">
        <v>281</v>
      </c>
      <c r="AD155" s="14" t="s">
        <v>277</v>
      </c>
      <c r="AE155" s="14">
        <v>0.11</v>
      </c>
      <c r="AF155" s="14" t="s">
        <v>278</v>
      </c>
      <c r="AG155" s="14">
        <v>2022</v>
      </c>
      <c r="AH155" s="14" t="s">
        <v>279</v>
      </c>
      <c r="AI155" s="14">
        <v>50</v>
      </c>
      <c r="AJ155" s="14">
        <v>2</v>
      </c>
      <c r="AK155" s="14">
        <v>1</v>
      </c>
      <c r="AL155" t="str">
        <f t="shared" si="9"/>
        <v>Lai (2022) -pH Controlled</v>
      </c>
    </row>
    <row r="156" spans="1:38" ht="15.6" x14ac:dyDescent="0.3">
      <c r="A156" s="12">
        <v>7.9970414201183404</v>
      </c>
      <c r="B156" s="12">
        <v>673.25367647058795</v>
      </c>
      <c r="C156" s="13" t="s">
        <v>33</v>
      </c>
      <c r="D156" s="13" t="s">
        <v>35</v>
      </c>
      <c r="E156" s="13" t="s">
        <v>170</v>
      </c>
      <c r="F156" s="13" t="s">
        <v>34</v>
      </c>
      <c r="G156" s="13">
        <v>0.51</v>
      </c>
      <c r="H156" s="13" t="s">
        <v>34</v>
      </c>
      <c r="I156" s="13" t="s">
        <v>34</v>
      </c>
      <c r="J156" s="13" t="s">
        <v>34</v>
      </c>
      <c r="K156" s="13" t="s">
        <v>34</v>
      </c>
      <c r="L156" s="13">
        <v>0</v>
      </c>
      <c r="M156" s="13">
        <v>62.47</v>
      </c>
      <c r="N156" s="13" t="s">
        <v>34</v>
      </c>
      <c r="O156" s="13">
        <v>1.2110000000000001</v>
      </c>
      <c r="P156" s="13">
        <v>0.69399999999999995</v>
      </c>
      <c r="Q156" s="13">
        <v>33.200000000000003</v>
      </c>
      <c r="R156" s="13">
        <v>2.56</v>
      </c>
      <c r="S156" s="13" t="s">
        <v>34</v>
      </c>
      <c r="T156" s="13" t="s">
        <v>49</v>
      </c>
      <c r="U156" s="13" t="s">
        <v>306</v>
      </c>
      <c r="V156" s="13" t="s">
        <v>38</v>
      </c>
      <c r="W156" s="13">
        <v>3</v>
      </c>
      <c r="X156" s="13">
        <v>1</v>
      </c>
      <c r="Y156" s="13">
        <v>1</v>
      </c>
      <c r="Z156" s="13" t="s">
        <v>307</v>
      </c>
      <c r="AA156" s="13">
        <v>1.1100000000000001</v>
      </c>
      <c r="AB156" s="13">
        <v>7.45</v>
      </c>
      <c r="AC156" s="13" t="s">
        <v>308</v>
      </c>
      <c r="AD156" s="13" t="s">
        <v>277</v>
      </c>
      <c r="AE156" s="13">
        <v>0.66300000000000003</v>
      </c>
      <c r="AF156" s="13" t="s">
        <v>309</v>
      </c>
      <c r="AG156" s="13">
        <v>2025</v>
      </c>
      <c r="AH156" s="13" t="s">
        <v>310</v>
      </c>
      <c r="AI156" s="13">
        <v>50</v>
      </c>
      <c r="AJ156" s="13">
        <v>2</v>
      </c>
      <c r="AK156" s="13">
        <v>1</v>
      </c>
      <c r="AL156" t="str">
        <f t="shared" si="9"/>
        <v>Chen (2025) -pH controlled</v>
      </c>
    </row>
    <row r="157" spans="1:38" ht="15.6" x14ac:dyDescent="0.3">
      <c r="A157" s="11">
        <v>8.12130177514792</v>
      </c>
      <c r="B157" s="11">
        <v>565.25735294117601</v>
      </c>
      <c r="C157" s="10" t="s">
        <v>33</v>
      </c>
      <c r="D157" s="10" t="s">
        <v>35</v>
      </c>
      <c r="E157" s="10" t="s">
        <v>170</v>
      </c>
      <c r="F157" s="10" t="s">
        <v>34</v>
      </c>
      <c r="G157" s="10">
        <v>0.51</v>
      </c>
      <c r="H157" s="10" t="s">
        <v>34</v>
      </c>
      <c r="I157" s="10" t="s">
        <v>34</v>
      </c>
      <c r="J157" s="10" t="s">
        <v>34</v>
      </c>
      <c r="K157" s="10" t="s">
        <v>34</v>
      </c>
      <c r="L157" s="10">
        <v>0</v>
      </c>
      <c r="M157" s="10">
        <v>62.47</v>
      </c>
      <c r="N157" s="10" t="s">
        <v>34</v>
      </c>
      <c r="O157" s="10">
        <v>1.2110000000000001</v>
      </c>
      <c r="P157" s="10">
        <v>0.69399999999999995</v>
      </c>
      <c r="Q157" s="10">
        <v>33.200000000000003</v>
      </c>
      <c r="R157" s="10">
        <v>2.56</v>
      </c>
      <c r="S157" s="10" t="s">
        <v>34</v>
      </c>
      <c r="T157" s="10" t="s">
        <v>49</v>
      </c>
      <c r="U157" s="10" t="s">
        <v>306</v>
      </c>
      <c r="V157" s="10" t="s">
        <v>38</v>
      </c>
      <c r="W157" s="10">
        <v>3</v>
      </c>
      <c r="X157" s="10">
        <v>1</v>
      </c>
      <c r="Y157" s="10">
        <v>1</v>
      </c>
      <c r="Z157" s="10" t="s">
        <v>307</v>
      </c>
      <c r="AA157" s="10">
        <v>1.1100000000000001</v>
      </c>
      <c r="AB157" s="10">
        <v>7.45</v>
      </c>
      <c r="AC157" s="10" t="s">
        <v>308</v>
      </c>
      <c r="AD157" s="10" t="s">
        <v>277</v>
      </c>
      <c r="AE157" s="10">
        <v>0.66300000000000003</v>
      </c>
      <c r="AF157" s="10" t="s">
        <v>309</v>
      </c>
      <c r="AG157" s="10">
        <v>2025</v>
      </c>
      <c r="AH157" s="10" t="s">
        <v>310</v>
      </c>
      <c r="AI157" s="10">
        <v>50</v>
      </c>
      <c r="AJ157" s="10">
        <v>2</v>
      </c>
      <c r="AK157" s="10">
        <v>1</v>
      </c>
      <c r="AL157" t="str">
        <f t="shared" si="9"/>
        <v>Chen (2025) -pH controlled</v>
      </c>
    </row>
    <row r="158" spans="1:38" ht="15.6" x14ac:dyDescent="0.3">
      <c r="A158" s="11">
        <v>8.2633136094674509</v>
      </c>
      <c r="B158" s="11">
        <v>728.400735294117</v>
      </c>
      <c r="C158" s="10" t="s">
        <v>33</v>
      </c>
      <c r="D158" s="10" t="s">
        <v>35</v>
      </c>
      <c r="E158" s="10" t="s">
        <v>170</v>
      </c>
      <c r="F158" s="10" t="s">
        <v>34</v>
      </c>
      <c r="G158" s="10">
        <v>0.51</v>
      </c>
      <c r="H158" s="10" t="s">
        <v>34</v>
      </c>
      <c r="I158" s="10" t="s">
        <v>34</v>
      </c>
      <c r="J158" s="10" t="s">
        <v>34</v>
      </c>
      <c r="K158" s="10" t="s">
        <v>34</v>
      </c>
      <c r="L158" s="10">
        <v>0</v>
      </c>
      <c r="M158" s="10">
        <v>62.47</v>
      </c>
      <c r="N158" s="10" t="s">
        <v>34</v>
      </c>
      <c r="O158" s="10">
        <v>1.2110000000000001</v>
      </c>
      <c r="P158" s="10">
        <v>0.69399999999999995</v>
      </c>
      <c r="Q158" s="10">
        <v>33.200000000000003</v>
      </c>
      <c r="R158" s="10">
        <v>2.56</v>
      </c>
      <c r="S158" s="10" t="s">
        <v>34</v>
      </c>
      <c r="T158" s="10" t="s">
        <v>49</v>
      </c>
      <c r="U158" s="10" t="s">
        <v>306</v>
      </c>
      <c r="V158" s="10" t="s">
        <v>38</v>
      </c>
      <c r="W158" s="10">
        <v>3</v>
      </c>
      <c r="X158" s="10">
        <v>1</v>
      </c>
      <c r="Y158" s="10">
        <v>1</v>
      </c>
      <c r="Z158" s="10" t="s">
        <v>307</v>
      </c>
      <c r="AA158" s="10">
        <v>1.1100000000000001</v>
      </c>
      <c r="AB158" s="10">
        <v>7.45</v>
      </c>
      <c r="AC158" s="10" t="s">
        <v>308</v>
      </c>
      <c r="AD158" s="10" t="s">
        <v>277</v>
      </c>
      <c r="AE158" s="10">
        <v>0.66300000000000003</v>
      </c>
      <c r="AF158" s="10" t="s">
        <v>309</v>
      </c>
      <c r="AG158" s="10">
        <v>2025</v>
      </c>
      <c r="AH158" s="10" t="s">
        <v>310</v>
      </c>
      <c r="AI158" s="10">
        <v>50</v>
      </c>
      <c r="AJ158" s="10">
        <v>2</v>
      </c>
      <c r="AK158" s="10">
        <v>1</v>
      </c>
      <c r="AL158" t="str">
        <f t="shared" si="9"/>
        <v>Chen (2025) -pH controlled</v>
      </c>
    </row>
    <row r="159" spans="1:38" ht="15.6" x14ac:dyDescent="0.3">
      <c r="A159" s="11">
        <v>8.2810650887573907</v>
      </c>
      <c r="B159" s="11">
        <v>755.97426470588198</v>
      </c>
      <c r="C159" s="10" t="s">
        <v>33</v>
      </c>
      <c r="D159" s="10" t="s">
        <v>35</v>
      </c>
      <c r="E159" s="10" t="s">
        <v>170</v>
      </c>
      <c r="F159" s="10" t="s">
        <v>34</v>
      </c>
      <c r="G159" s="10">
        <v>0.51</v>
      </c>
      <c r="H159" s="10" t="s">
        <v>34</v>
      </c>
      <c r="I159" s="10" t="s">
        <v>34</v>
      </c>
      <c r="J159" s="10" t="s">
        <v>34</v>
      </c>
      <c r="K159" s="10" t="s">
        <v>34</v>
      </c>
      <c r="L159" s="10">
        <v>0</v>
      </c>
      <c r="M159" s="10">
        <v>62.47</v>
      </c>
      <c r="N159" s="10" t="s">
        <v>34</v>
      </c>
      <c r="O159" s="10">
        <v>1.2110000000000001</v>
      </c>
      <c r="P159" s="10">
        <v>0.69399999999999995</v>
      </c>
      <c r="Q159" s="10">
        <v>33.200000000000003</v>
      </c>
      <c r="R159" s="10">
        <v>2.56</v>
      </c>
      <c r="S159" s="10" t="s">
        <v>34</v>
      </c>
      <c r="T159" s="10" t="s">
        <v>49</v>
      </c>
      <c r="U159" s="10" t="s">
        <v>306</v>
      </c>
      <c r="V159" s="10" t="s">
        <v>38</v>
      </c>
      <c r="W159" s="10">
        <v>3</v>
      </c>
      <c r="X159" s="10">
        <v>1</v>
      </c>
      <c r="Y159" s="10">
        <v>1</v>
      </c>
      <c r="Z159" s="10" t="s">
        <v>307</v>
      </c>
      <c r="AA159" s="10">
        <v>1.1100000000000001</v>
      </c>
      <c r="AB159" s="10">
        <v>4.5</v>
      </c>
      <c r="AC159" s="10" t="s">
        <v>308</v>
      </c>
      <c r="AD159" s="10" t="s">
        <v>277</v>
      </c>
      <c r="AE159" s="10">
        <v>0.66300000000000003</v>
      </c>
      <c r="AF159" s="10" t="s">
        <v>309</v>
      </c>
      <c r="AG159" s="10">
        <v>2025</v>
      </c>
      <c r="AH159" s="10" t="s">
        <v>310</v>
      </c>
      <c r="AI159" s="10">
        <v>50</v>
      </c>
      <c r="AJ159" s="10">
        <v>2</v>
      </c>
      <c r="AK159" s="10">
        <v>1</v>
      </c>
      <c r="AL159" t="str">
        <f t="shared" si="9"/>
        <v>Chen (2025) -pH controlled</v>
      </c>
    </row>
    <row r="160" spans="1:38" ht="15.6" x14ac:dyDescent="0.3">
      <c r="A160" s="11">
        <v>8.3165680473372703</v>
      </c>
      <c r="B160" s="11">
        <v>797.33455882352905</v>
      </c>
      <c r="C160" s="10" t="s">
        <v>33</v>
      </c>
      <c r="D160" s="10" t="s">
        <v>35</v>
      </c>
      <c r="E160" s="10" t="s">
        <v>170</v>
      </c>
      <c r="F160" s="10" t="s">
        <v>34</v>
      </c>
      <c r="G160" s="10">
        <v>0.51</v>
      </c>
      <c r="H160" s="10" t="s">
        <v>34</v>
      </c>
      <c r="I160" s="10" t="s">
        <v>34</v>
      </c>
      <c r="J160" s="10" t="s">
        <v>34</v>
      </c>
      <c r="K160" s="10" t="s">
        <v>34</v>
      </c>
      <c r="L160" s="10">
        <v>0</v>
      </c>
      <c r="M160" s="10">
        <v>62.47</v>
      </c>
      <c r="N160" s="10" t="s">
        <v>34</v>
      </c>
      <c r="O160" s="10">
        <v>1.2110000000000001</v>
      </c>
      <c r="P160" s="10">
        <v>0.69399999999999995</v>
      </c>
      <c r="Q160" s="10">
        <v>33.200000000000003</v>
      </c>
      <c r="R160" s="10">
        <v>2.56</v>
      </c>
      <c r="S160" s="10" t="s">
        <v>34</v>
      </c>
      <c r="T160" s="10" t="s">
        <v>49</v>
      </c>
      <c r="U160" s="10" t="s">
        <v>306</v>
      </c>
      <c r="V160" s="10" t="s">
        <v>38</v>
      </c>
      <c r="W160" s="10">
        <v>3</v>
      </c>
      <c r="X160" s="10">
        <v>1</v>
      </c>
      <c r="Y160" s="10">
        <v>1</v>
      </c>
      <c r="Z160" s="10" t="s">
        <v>307</v>
      </c>
      <c r="AA160" s="10">
        <v>1.1100000000000001</v>
      </c>
      <c r="AB160" s="10">
        <v>4.5</v>
      </c>
      <c r="AC160" s="10" t="s">
        <v>308</v>
      </c>
      <c r="AD160" s="10" t="s">
        <v>277</v>
      </c>
      <c r="AE160" s="10">
        <v>0.66300000000000003</v>
      </c>
      <c r="AF160" s="10" t="s">
        <v>309</v>
      </c>
      <c r="AG160" s="10">
        <v>2025</v>
      </c>
      <c r="AH160" s="10" t="s">
        <v>310</v>
      </c>
      <c r="AI160" s="10">
        <v>50</v>
      </c>
      <c r="AJ160" s="10">
        <v>2</v>
      </c>
      <c r="AK160" s="10">
        <v>1</v>
      </c>
      <c r="AL160" t="str">
        <f t="shared" si="9"/>
        <v>Chen (2025) -pH controlled</v>
      </c>
    </row>
    <row r="161" spans="1:38" ht="15.6" x14ac:dyDescent="0.3">
      <c r="A161" s="11">
        <v>8.4142011834319508</v>
      </c>
      <c r="B161" s="11">
        <v>836.39705882352905</v>
      </c>
      <c r="C161" s="10" t="s">
        <v>33</v>
      </c>
      <c r="D161" s="10" t="s">
        <v>35</v>
      </c>
      <c r="E161" s="10" t="s">
        <v>170</v>
      </c>
      <c r="F161" s="10" t="s">
        <v>34</v>
      </c>
      <c r="G161" s="10">
        <v>0.51</v>
      </c>
      <c r="H161" s="10" t="s">
        <v>34</v>
      </c>
      <c r="I161" s="10" t="s">
        <v>34</v>
      </c>
      <c r="J161" s="10" t="s">
        <v>34</v>
      </c>
      <c r="K161" s="10" t="s">
        <v>34</v>
      </c>
      <c r="L161" s="10">
        <v>0</v>
      </c>
      <c r="M161" s="10">
        <v>62.47</v>
      </c>
      <c r="N161" s="10" t="s">
        <v>34</v>
      </c>
      <c r="O161" s="10">
        <v>1.2110000000000001</v>
      </c>
      <c r="P161" s="10">
        <v>0.69399999999999995</v>
      </c>
      <c r="Q161" s="10">
        <v>33.200000000000003</v>
      </c>
      <c r="R161" s="10">
        <v>2.56</v>
      </c>
      <c r="S161" s="10" t="s">
        <v>34</v>
      </c>
      <c r="T161" s="10" t="s">
        <v>49</v>
      </c>
      <c r="U161" s="10" t="s">
        <v>306</v>
      </c>
      <c r="V161" s="10" t="s">
        <v>38</v>
      </c>
      <c r="W161" s="10">
        <v>3</v>
      </c>
      <c r="X161" s="10">
        <v>1</v>
      </c>
      <c r="Y161" s="10">
        <v>1</v>
      </c>
      <c r="Z161" s="10" t="s">
        <v>307</v>
      </c>
      <c r="AA161" s="10">
        <v>1.1100000000000001</v>
      </c>
      <c r="AB161" s="10">
        <v>4.5</v>
      </c>
      <c r="AC161" s="10" t="s">
        <v>308</v>
      </c>
      <c r="AD161" s="10" t="s">
        <v>277</v>
      </c>
      <c r="AE161" s="10">
        <v>0.66300000000000003</v>
      </c>
      <c r="AF161" s="10" t="s">
        <v>309</v>
      </c>
      <c r="AG161" s="10">
        <v>2025</v>
      </c>
      <c r="AH161" s="10" t="s">
        <v>310</v>
      </c>
      <c r="AI161" s="10">
        <v>50</v>
      </c>
      <c r="AJ161" s="10">
        <v>2</v>
      </c>
      <c r="AK161" s="10">
        <v>1</v>
      </c>
      <c r="AL161" t="str">
        <f t="shared" si="9"/>
        <v>Chen (2025) -pH controlled</v>
      </c>
    </row>
    <row r="162" spans="1:38" ht="15.6" x14ac:dyDescent="0.3">
      <c r="A162" s="11">
        <v>7.1715976331360896</v>
      </c>
      <c r="B162" s="11">
        <v>767.463235294117</v>
      </c>
      <c r="C162" s="10" t="s">
        <v>33</v>
      </c>
      <c r="D162" s="10" t="s">
        <v>35</v>
      </c>
      <c r="E162" s="10" t="s">
        <v>170</v>
      </c>
      <c r="F162" s="10" t="s">
        <v>34</v>
      </c>
      <c r="G162" s="10">
        <v>0.51</v>
      </c>
      <c r="H162" s="10" t="s">
        <v>34</v>
      </c>
      <c r="I162" s="10" t="s">
        <v>34</v>
      </c>
      <c r="J162" s="10" t="s">
        <v>34</v>
      </c>
      <c r="K162" s="10" t="s">
        <v>34</v>
      </c>
      <c r="L162" s="10">
        <v>0</v>
      </c>
      <c r="M162" s="10">
        <v>62.47</v>
      </c>
      <c r="N162" s="10" t="s">
        <v>34</v>
      </c>
      <c r="O162" s="10">
        <v>1.2110000000000001</v>
      </c>
      <c r="P162" s="10">
        <v>0.69399999999999995</v>
      </c>
      <c r="Q162" s="10">
        <v>33.200000000000003</v>
      </c>
      <c r="R162" s="10">
        <v>2.56</v>
      </c>
      <c r="S162" s="10" t="s">
        <v>34</v>
      </c>
      <c r="T162" s="10" t="s">
        <v>49</v>
      </c>
      <c r="U162" s="10" t="s">
        <v>306</v>
      </c>
      <c r="V162" s="10" t="s">
        <v>38</v>
      </c>
      <c r="W162" s="10">
        <v>3</v>
      </c>
      <c r="X162" s="10">
        <v>1</v>
      </c>
      <c r="Y162" s="10">
        <v>1</v>
      </c>
      <c r="Z162" s="10" t="s">
        <v>307</v>
      </c>
      <c r="AA162" s="10">
        <v>1.1100000000000001</v>
      </c>
      <c r="AB162" s="10">
        <v>2</v>
      </c>
      <c r="AC162" s="10" t="s">
        <v>308</v>
      </c>
      <c r="AD162" s="10" t="s">
        <v>277</v>
      </c>
      <c r="AE162" s="10">
        <v>0.66300000000000003</v>
      </c>
      <c r="AF162" s="10" t="s">
        <v>309</v>
      </c>
      <c r="AG162" s="10">
        <v>2025</v>
      </c>
      <c r="AH162" s="10" t="s">
        <v>310</v>
      </c>
      <c r="AI162" s="10">
        <v>50</v>
      </c>
      <c r="AJ162" s="10">
        <v>2</v>
      </c>
      <c r="AK162" s="10">
        <v>1</v>
      </c>
      <c r="AL162" t="str">
        <f t="shared" si="9"/>
        <v>Chen (2025) -pH controlled</v>
      </c>
    </row>
    <row r="163" spans="1:38" ht="15.6" x14ac:dyDescent="0.3">
      <c r="A163" s="11">
        <v>7.7573964497041397</v>
      </c>
      <c r="B163" s="11">
        <v>815.71691176470495</v>
      </c>
      <c r="C163" s="10" t="s">
        <v>33</v>
      </c>
      <c r="D163" s="10" t="s">
        <v>35</v>
      </c>
      <c r="E163" s="10" t="s">
        <v>170</v>
      </c>
      <c r="F163" s="10" t="s">
        <v>34</v>
      </c>
      <c r="G163" s="10">
        <v>0.51</v>
      </c>
      <c r="H163" s="10" t="s">
        <v>34</v>
      </c>
      <c r="I163" s="10" t="s">
        <v>34</v>
      </c>
      <c r="J163" s="10" t="s">
        <v>34</v>
      </c>
      <c r="K163" s="10" t="s">
        <v>34</v>
      </c>
      <c r="L163" s="10">
        <v>0</v>
      </c>
      <c r="M163" s="10">
        <v>62.47</v>
      </c>
      <c r="N163" s="10" t="s">
        <v>34</v>
      </c>
      <c r="O163" s="10">
        <v>1.2110000000000001</v>
      </c>
      <c r="P163" s="10">
        <v>0.69399999999999995</v>
      </c>
      <c r="Q163" s="10">
        <v>33.200000000000003</v>
      </c>
      <c r="R163" s="10">
        <v>2.56</v>
      </c>
      <c r="S163" s="10" t="s">
        <v>34</v>
      </c>
      <c r="T163" s="10" t="s">
        <v>49</v>
      </c>
      <c r="U163" s="10" t="s">
        <v>306</v>
      </c>
      <c r="V163" s="10" t="s">
        <v>38</v>
      </c>
      <c r="W163" s="10">
        <v>3</v>
      </c>
      <c r="X163" s="10">
        <v>1</v>
      </c>
      <c r="Y163" s="10">
        <v>1</v>
      </c>
      <c r="Z163" s="10" t="s">
        <v>307</v>
      </c>
      <c r="AA163" s="10">
        <v>1.1100000000000001</v>
      </c>
      <c r="AB163" s="10">
        <v>2</v>
      </c>
      <c r="AC163" s="10" t="s">
        <v>308</v>
      </c>
      <c r="AD163" s="10" t="s">
        <v>277</v>
      </c>
      <c r="AE163" s="10">
        <v>0.66300000000000003</v>
      </c>
      <c r="AF163" s="10" t="s">
        <v>309</v>
      </c>
      <c r="AG163" s="10">
        <v>2025</v>
      </c>
      <c r="AH163" s="10" t="s">
        <v>310</v>
      </c>
      <c r="AI163" s="10">
        <v>50</v>
      </c>
      <c r="AJ163" s="10">
        <v>2</v>
      </c>
      <c r="AK163" s="10">
        <v>1</v>
      </c>
      <c r="AL163" t="str">
        <f t="shared" si="9"/>
        <v>Chen (2025) -pH controlled</v>
      </c>
    </row>
    <row r="164" spans="1:38" ht="15.6" x14ac:dyDescent="0.3">
      <c r="A164" s="11">
        <v>7.6863905325443698</v>
      </c>
      <c r="B164" s="11">
        <v>1123.6213235294099</v>
      </c>
      <c r="C164" s="10" t="s">
        <v>33</v>
      </c>
      <c r="D164" s="10" t="s">
        <v>35</v>
      </c>
      <c r="E164" s="10" t="s">
        <v>170</v>
      </c>
      <c r="F164" s="10" t="s">
        <v>34</v>
      </c>
      <c r="G164" s="10">
        <v>0.51</v>
      </c>
      <c r="H164" s="10" t="s">
        <v>34</v>
      </c>
      <c r="I164" s="10" t="s">
        <v>34</v>
      </c>
      <c r="J164" s="10" t="s">
        <v>34</v>
      </c>
      <c r="K164" s="10" t="s">
        <v>34</v>
      </c>
      <c r="L164" s="10">
        <v>0</v>
      </c>
      <c r="M164" s="10">
        <v>62.47</v>
      </c>
      <c r="N164" s="10" t="s">
        <v>34</v>
      </c>
      <c r="O164" s="10">
        <v>1.2110000000000001</v>
      </c>
      <c r="P164" s="10">
        <v>0.69399999999999995</v>
      </c>
      <c r="Q164" s="10">
        <v>33.200000000000003</v>
      </c>
      <c r="R164" s="10">
        <v>2.56</v>
      </c>
      <c r="S164" s="10" t="s">
        <v>34</v>
      </c>
      <c r="T164" s="10" t="s">
        <v>49</v>
      </c>
      <c r="U164" s="10" t="s">
        <v>306</v>
      </c>
      <c r="V164" s="10" t="s">
        <v>38</v>
      </c>
      <c r="W164" s="10">
        <v>3</v>
      </c>
      <c r="X164" s="10">
        <v>1</v>
      </c>
      <c r="Y164" s="10">
        <v>1</v>
      </c>
      <c r="Z164" s="10" t="s">
        <v>307</v>
      </c>
      <c r="AA164" s="10">
        <v>1.1100000000000001</v>
      </c>
      <c r="AB164" s="10">
        <v>2</v>
      </c>
      <c r="AC164" s="10" t="s">
        <v>308</v>
      </c>
      <c r="AD164" s="10" t="s">
        <v>277</v>
      </c>
      <c r="AE164" s="10">
        <v>0.66300000000000003</v>
      </c>
      <c r="AF164" s="10" t="s">
        <v>309</v>
      </c>
      <c r="AG164" s="10">
        <v>2025</v>
      </c>
      <c r="AH164" s="10" t="s">
        <v>310</v>
      </c>
      <c r="AI164" s="10">
        <v>50</v>
      </c>
      <c r="AJ164" s="10">
        <v>2</v>
      </c>
      <c r="AK164" s="10">
        <v>1</v>
      </c>
      <c r="AL164" t="str">
        <f t="shared" si="9"/>
        <v>Chen (2025) -pH controlled</v>
      </c>
    </row>
    <row r="165" spans="1:38" ht="15.6" x14ac:dyDescent="0.3">
      <c r="A165" s="11">
        <v>7.3224852071005904</v>
      </c>
      <c r="B165" s="11">
        <v>1029.4117647058799</v>
      </c>
      <c r="C165" s="10" t="s">
        <v>33</v>
      </c>
      <c r="D165" s="10" t="s">
        <v>35</v>
      </c>
      <c r="E165" s="10" t="s">
        <v>170</v>
      </c>
      <c r="F165" s="10" t="s">
        <v>34</v>
      </c>
      <c r="G165" s="10">
        <v>0.51</v>
      </c>
      <c r="H165" s="10" t="s">
        <v>34</v>
      </c>
      <c r="I165" s="10" t="s">
        <v>34</v>
      </c>
      <c r="J165" s="10" t="s">
        <v>34</v>
      </c>
      <c r="K165" s="10" t="s">
        <v>34</v>
      </c>
      <c r="L165" s="10">
        <v>0</v>
      </c>
      <c r="M165" s="10">
        <v>62.47</v>
      </c>
      <c r="N165" s="10" t="s">
        <v>34</v>
      </c>
      <c r="O165" s="10">
        <v>1.2110000000000001</v>
      </c>
      <c r="P165" s="10">
        <v>0.69399999999999995</v>
      </c>
      <c r="Q165" s="10">
        <v>33.200000000000003</v>
      </c>
      <c r="R165" s="10">
        <v>2.56</v>
      </c>
      <c r="S165" s="10" t="s">
        <v>34</v>
      </c>
      <c r="T165" s="10" t="s">
        <v>49</v>
      </c>
      <c r="U165" s="10" t="s">
        <v>306</v>
      </c>
      <c r="V165" s="10" t="s">
        <v>38</v>
      </c>
      <c r="W165" s="10">
        <v>3</v>
      </c>
      <c r="X165" s="10">
        <v>1</v>
      </c>
      <c r="Y165" s="10">
        <v>1</v>
      </c>
      <c r="Z165" s="10" t="s">
        <v>307</v>
      </c>
      <c r="AA165" s="10">
        <v>1.1100000000000001</v>
      </c>
      <c r="AB165" s="10">
        <v>1.75</v>
      </c>
      <c r="AC165" s="10" t="s">
        <v>308</v>
      </c>
      <c r="AD165" s="10" t="s">
        <v>277</v>
      </c>
      <c r="AE165" s="10">
        <v>0.66300000000000003</v>
      </c>
      <c r="AF165" s="10" t="s">
        <v>309</v>
      </c>
      <c r="AG165" s="10">
        <v>2025</v>
      </c>
      <c r="AH165" s="10" t="s">
        <v>310</v>
      </c>
      <c r="AI165" s="10">
        <v>50</v>
      </c>
      <c r="AJ165" s="10">
        <v>2</v>
      </c>
      <c r="AK165" s="10">
        <v>1</v>
      </c>
      <c r="AL165" t="str">
        <f t="shared" si="9"/>
        <v>Chen (2025) -pH controlled</v>
      </c>
    </row>
    <row r="166" spans="1:38" ht="15.6" x14ac:dyDescent="0.3">
      <c r="A166" s="11">
        <v>7.5266272189348999</v>
      </c>
      <c r="B166" s="11">
        <v>988.05147058823502</v>
      </c>
      <c r="C166" s="10" t="s">
        <v>33</v>
      </c>
      <c r="D166" s="10" t="s">
        <v>35</v>
      </c>
      <c r="E166" s="10" t="s">
        <v>170</v>
      </c>
      <c r="F166" s="10" t="s">
        <v>34</v>
      </c>
      <c r="G166" s="10">
        <v>0.51</v>
      </c>
      <c r="H166" s="10" t="s">
        <v>34</v>
      </c>
      <c r="I166" s="10" t="s">
        <v>34</v>
      </c>
      <c r="J166" s="10" t="s">
        <v>34</v>
      </c>
      <c r="K166" s="10" t="s">
        <v>34</v>
      </c>
      <c r="L166" s="10">
        <v>0</v>
      </c>
      <c r="M166" s="10">
        <v>62.47</v>
      </c>
      <c r="N166" s="10" t="s">
        <v>34</v>
      </c>
      <c r="O166" s="10">
        <v>1.2110000000000001</v>
      </c>
      <c r="P166" s="10">
        <v>0.69399999999999995</v>
      </c>
      <c r="Q166" s="10">
        <v>33.200000000000003</v>
      </c>
      <c r="R166" s="10">
        <v>2.56</v>
      </c>
      <c r="S166" s="10" t="s">
        <v>34</v>
      </c>
      <c r="T166" s="10" t="s">
        <v>49</v>
      </c>
      <c r="U166" s="10" t="s">
        <v>306</v>
      </c>
      <c r="V166" s="10" t="s">
        <v>38</v>
      </c>
      <c r="W166" s="10">
        <v>3</v>
      </c>
      <c r="X166" s="10">
        <v>1</v>
      </c>
      <c r="Y166" s="10">
        <v>1</v>
      </c>
      <c r="Z166" s="10" t="s">
        <v>307</v>
      </c>
      <c r="AA166" s="10">
        <v>1.1100000000000001</v>
      </c>
      <c r="AB166" s="10">
        <v>1.75</v>
      </c>
      <c r="AC166" s="10" t="s">
        <v>308</v>
      </c>
      <c r="AD166" s="10" t="s">
        <v>277</v>
      </c>
      <c r="AE166" s="10">
        <v>0.66300000000000003</v>
      </c>
      <c r="AF166" s="10" t="s">
        <v>309</v>
      </c>
      <c r="AG166" s="10">
        <v>2025</v>
      </c>
      <c r="AH166" s="10" t="s">
        <v>310</v>
      </c>
      <c r="AI166" s="10">
        <v>50</v>
      </c>
      <c r="AJ166" s="10">
        <v>2</v>
      </c>
      <c r="AK166" s="10">
        <v>1</v>
      </c>
      <c r="AL166" t="str">
        <f t="shared" si="9"/>
        <v>Chen (2025) -pH controlled</v>
      </c>
    </row>
    <row r="167" spans="1:38" ht="15.6" x14ac:dyDescent="0.3">
      <c r="A167" s="11">
        <v>7.3224852071005904</v>
      </c>
      <c r="B167" s="11">
        <v>905.33088235294099</v>
      </c>
      <c r="C167" s="10" t="s">
        <v>33</v>
      </c>
      <c r="D167" s="10" t="s">
        <v>35</v>
      </c>
      <c r="E167" s="10" t="s">
        <v>170</v>
      </c>
      <c r="F167" s="10" t="s">
        <v>34</v>
      </c>
      <c r="G167" s="10">
        <v>0.51</v>
      </c>
      <c r="H167" s="10" t="s">
        <v>34</v>
      </c>
      <c r="I167" s="10" t="s">
        <v>34</v>
      </c>
      <c r="J167" s="10" t="s">
        <v>34</v>
      </c>
      <c r="K167" s="10" t="s">
        <v>34</v>
      </c>
      <c r="L167" s="10">
        <v>0</v>
      </c>
      <c r="M167" s="10">
        <v>62.47</v>
      </c>
      <c r="N167" s="10" t="s">
        <v>34</v>
      </c>
      <c r="O167" s="10">
        <v>1.2110000000000001</v>
      </c>
      <c r="P167" s="10">
        <v>0.69399999999999995</v>
      </c>
      <c r="Q167" s="10">
        <v>33.200000000000003</v>
      </c>
      <c r="R167" s="10">
        <v>2.56</v>
      </c>
      <c r="S167" s="10" t="s">
        <v>34</v>
      </c>
      <c r="T167" s="10" t="s">
        <v>49</v>
      </c>
      <c r="U167" s="10" t="s">
        <v>306</v>
      </c>
      <c r="V167" s="10" t="s">
        <v>38</v>
      </c>
      <c r="W167" s="10">
        <v>3</v>
      </c>
      <c r="X167" s="10">
        <v>1</v>
      </c>
      <c r="Y167" s="10">
        <v>1</v>
      </c>
      <c r="Z167" s="10" t="s">
        <v>307</v>
      </c>
      <c r="AA167" s="10">
        <v>1.1100000000000001</v>
      </c>
      <c r="AB167" s="10">
        <v>1.75</v>
      </c>
      <c r="AC167" s="10" t="s">
        <v>308</v>
      </c>
      <c r="AD167" s="10" t="s">
        <v>277</v>
      </c>
      <c r="AE167" s="10">
        <v>0.66300000000000003</v>
      </c>
      <c r="AF167" s="10" t="s">
        <v>309</v>
      </c>
      <c r="AG167" s="10">
        <v>2025</v>
      </c>
      <c r="AH167" s="10" t="s">
        <v>310</v>
      </c>
      <c r="AI167" s="10">
        <v>50</v>
      </c>
      <c r="AJ167" s="10">
        <v>2</v>
      </c>
      <c r="AK167" s="10">
        <v>1</v>
      </c>
      <c r="AL167" t="str">
        <f t="shared" si="9"/>
        <v>Chen (2025) -pH controlled</v>
      </c>
    </row>
    <row r="168" spans="1:38" ht="15.6" x14ac:dyDescent="0.3">
      <c r="A168" s="11">
        <v>6.2218934911242503</v>
      </c>
      <c r="B168" s="11">
        <v>778.95220588235202</v>
      </c>
      <c r="C168" s="10" t="s">
        <v>33</v>
      </c>
      <c r="D168" s="10" t="s">
        <v>35</v>
      </c>
      <c r="E168" s="10" t="s">
        <v>170</v>
      </c>
      <c r="F168" s="10" t="s">
        <v>34</v>
      </c>
      <c r="G168" s="10">
        <v>0.51</v>
      </c>
      <c r="H168" s="10" t="s">
        <v>34</v>
      </c>
      <c r="I168" s="10" t="s">
        <v>34</v>
      </c>
      <c r="J168" s="10" t="s">
        <v>34</v>
      </c>
      <c r="K168" s="10" t="s">
        <v>34</v>
      </c>
      <c r="L168" s="10">
        <v>0</v>
      </c>
      <c r="M168" s="10">
        <v>62.47</v>
      </c>
      <c r="N168" s="10" t="s">
        <v>34</v>
      </c>
      <c r="O168" s="10">
        <v>1.2110000000000001</v>
      </c>
      <c r="P168" s="10">
        <v>0.69399999999999995</v>
      </c>
      <c r="Q168" s="10">
        <v>33.200000000000003</v>
      </c>
      <c r="R168" s="10">
        <v>2.56</v>
      </c>
      <c r="S168" s="10" t="s">
        <v>34</v>
      </c>
      <c r="T168" s="10" t="s">
        <v>49</v>
      </c>
      <c r="U168" s="10" t="s">
        <v>306</v>
      </c>
      <c r="V168" s="10" t="s">
        <v>38</v>
      </c>
      <c r="W168" s="10">
        <v>3</v>
      </c>
      <c r="X168" s="10">
        <v>1</v>
      </c>
      <c r="Y168" s="10">
        <v>1</v>
      </c>
      <c r="Z168" s="10" t="s">
        <v>307</v>
      </c>
      <c r="AA168" s="10">
        <v>1.1100000000000001</v>
      </c>
      <c r="AB168" s="10">
        <v>1.25</v>
      </c>
      <c r="AC168" s="10" t="s">
        <v>308</v>
      </c>
      <c r="AD168" s="10" t="s">
        <v>277</v>
      </c>
      <c r="AE168" s="10">
        <v>0.66300000000000003</v>
      </c>
      <c r="AF168" s="10" t="s">
        <v>309</v>
      </c>
      <c r="AG168" s="10">
        <v>2025</v>
      </c>
      <c r="AH168" s="10" t="s">
        <v>310</v>
      </c>
      <c r="AI168" s="10">
        <v>50</v>
      </c>
      <c r="AJ168" s="10">
        <v>2</v>
      </c>
      <c r="AK168" s="10">
        <v>1</v>
      </c>
      <c r="AL168" t="str">
        <f t="shared" si="9"/>
        <v>Chen (2025) -pH controlled</v>
      </c>
    </row>
    <row r="169" spans="1:38" ht="15.6" x14ac:dyDescent="0.3">
      <c r="A169" s="11">
        <v>6.5414201183431899</v>
      </c>
      <c r="B169" s="11">
        <v>588.23529411764696</v>
      </c>
      <c r="C169" s="10" t="s">
        <v>33</v>
      </c>
      <c r="D169" s="10" t="s">
        <v>35</v>
      </c>
      <c r="E169" s="10" t="s">
        <v>170</v>
      </c>
      <c r="F169" s="10" t="s">
        <v>34</v>
      </c>
      <c r="G169" s="10">
        <v>0.51</v>
      </c>
      <c r="H169" s="10" t="s">
        <v>34</v>
      </c>
      <c r="I169" s="10" t="s">
        <v>34</v>
      </c>
      <c r="J169" s="10" t="s">
        <v>34</v>
      </c>
      <c r="K169" s="10" t="s">
        <v>34</v>
      </c>
      <c r="L169" s="10">
        <v>0</v>
      </c>
      <c r="M169" s="10">
        <v>62.47</v>
      </c>
      <c r="N169" s="10" t="s">
        <v>34</v>
      </c>
      <c r="O169" s="10">
        <v>1.2110000000000001</v>
      </c>
      <c r="P169" s="10">
        <v>0.69399999999999995</v>
      </c>
      <c r="Q169" s="10">
        <v>33.200000000000003</v>
      </c>
      <c r="R169" s="10">
        <v>2.56</v>
      </c>
      <c r="S169" s="10" t="s">
        <v>34</v>
      </c>
      <c r="T169" s="10" t="s">
        <v>49</v>
      </c>
      <c r="U169" s="10" t="s">
        <v>306</v>
      </c>
      <c r="V169" s="10" t="s">
        <v>38</v>
      </c>
      <c r="W169" s="10">
        <v>3</v>
      </c>
      <c r="X169" s="10">
        <v>1</v>
      </c>
      <c r="Y169" s="10">
        <v>1</v>
      </c>
      <c r="Z169" s="10" t="s">
        <v>307</v>
      </c>
      <c r="AA169" s="10">
        <v>1.1100000000000001</v>
      </c>
      <c r="AB169" s="10">
        <v>1.25</v>
      </c>
      <c r="AC169" s="10" t="s">
        <v>308</v>
      </c>
      <c r="AD169" s="10" t="s">
        <v>277</v>
      </c>
      <c r="AE169" s="10">
        <v>0.66300000000000003</v>
      </c>
      <c r="AF169" s="10" t="s">
        <v>309</v>
      </c>
      <c r="AG169" s="10">
        <v>2025</v>
      </c>
      <c r="AH169" s="10" t="s">
        <v>310</v>
      </c>
      <c r="AI169" s="10">
        <v>50</v>
      </c>
      <c r="AJ169" s="10">
        <v>2</v>
      </c>
      <c r="AK169" s="10">
        <v>1</v>
      </c>
      <c r="AL169" t="str">
        <f t="shared" si="9"/>
        <v>Chen (2025) -pH controlled</v>
      </c>
    </row>
    <row r="170" spans="1:38" ht="15.6" x14ac:dyDescent="0.3">
      <c r="A170" s="11">
        <v>6.6923076923076898</v>
      </c>
      <c r="B170" s="11">
        <v>551.47058823529301</v>
      </c>
      <c r="C170" s="10" t="s">
        <v>33</v>
      </c>
      <c r="D170" s="10" t="s">
        <v>35</v>
      </c>
      <c r="E170" s="10" t="s">
        <v>170</v>
      </c>
      <c r="F170" s="10" t="s">
        <v>34</v>
      </c>
      <c r="G170" s="10">
        <v>0.51</v>
      </c>
      <c r="H170" s="10" t="s">
        <v>34</v>
      </c>
      <c r="I170" s="10" t="s">
        <v>34</v>
      </c>
      <c r="J170" s="10" t="s">
        <v>34</v>
      </c>
      <c r="K170" s="10" t="s">
        <v>34</v>
      </c>
      <c r="L170" s="10">
        <v>0</v>
      </c>
      <c r="M170" s="10">
        <v>62.47</v>
      </c>
      <c r="N170" s="10" t="s">
        <v>34</v>
      </c>
      <c r="O170" s="10">
        <v>1.2110000000000001</v>
      </c>
      <c r="P170" s="10">
        <v>0.69399999999999995</v>
      </c>
      <c r="Q170" s="10">
        <v>33.200000000000003</v>
      </c>
      <c r="R170" s="10">
        <v>2.56</v>
      </c>
      <c r="S170" s="10" t="s">
        <v>34</v>
      </c>
      <c r="T170" s="10" t="s">
        <v>49</v>
      </c>
      <c r="U170" s="10" t="s">
        <v>306</v>
      </c>
      <c r="V170" s="10" t="s">
        <v>38</v>
      </c>
      <c r="W170" s="10">
        <v>3</v>
      </c>
      <c r="X170" s="10">
        <v>1</v>
      </c>
      <c r="Y170" s="10">
        <v>1</v>
      </c>
      <c r="Z170" s="10" t="s">
        <v>307</v>
      </c>
      <c r="AA170" s="10">
        <v>1.1100000000000001</v>
      </c>
      <c r="AB170" s="10">
        <v>1.25</v>
      </c>
      <c r="AC170" s="10" t="s">
        <v>308</v>
      </c>
      <c r="AD170" s="10" t="s">
        <v>277</v>
      </c>
      <c r="AE170" s="10">
        <v>0.66300000000000003</v>
      </c>
      <c r="AF170" s="10" t="s">
        <v>309</v>
      </c>
      <c r="AG170" s="10">
        <v>2025</v>
      </c>
      <c r="AH170" s="10" t="s">
        <v>310</v>
      </c>
      <c r="AI170" s="10">
        <v>50</v>
      </c>
      <c r="AJ170" s="10">
        <v>2</v>
      </c>
      <c r="AK170" s="10">
        <v>1</v>
      </c>
      <c r="AL170" t="str">
        <f t="shared" si="9"/>
        <v>Chen (2025) -pH controlled</v>
      </c>
    </row>
    <row r="171" spans="1:38" ht="15.6" x14ac:dyDescent="0.3">
      <c r="A171" s="11">
        <v>8.2810650887573907</v>
      </c>
      <c r="B171" s="11">
        <v>567.55514705882297</v>
      </c>
      <c r="C171" s="10" t="s">
        <v>33</v>
      </c>
      <c r="D171" s="10" t="s">
        <v>35</v>
      </c>
      <c r="E171" s="10" t="s">
        <v>170</v>
      </c>
      <c r="F171" s="10" t="s">
        <v>34</v>
      </c>
      <c r="G171" s="10">
        <v>0.51</v>
      </c>
      <c r="H171" s="10" t="s">
        <v>34</v>
      </c>
      <c r="I171" s="10" t="s">
        <v>34</v>
      </c>
      <c r="J171" s="10" t="s">
        <v>34</v>
      </c>
      <c r="K171" s="10" t="s">
        <v>34</v>
      </c>
      <c r="L171" s="10">
        <v>0</v>
      </c>
      <c r="M171" s="10">
        <v>62.47</v>
      </c>
      <c r="N171" s="10" t="s">
        <v>34</v>
      </c>
      <c r="O171" s="10">
        <v>1.2110000000000001</v>
      </c>
      <c r="P171" s="10">
        <v>0.69399999999999995</v>
      </c>
      <c r="Q171" s="10">
        <v>33.200000000000003</v>
      </c>
      <c r="R171" s="10">
        <v>2.56</v>
      </c>
      <c r="S171" s="10" t="s">
        <v>34</v>
      </c>
      <c r="T171" s="10" t="s">
        <v>49</v>
      </c>
      <c r="U171" s="10" t="s">
        <v>306</v>
      </c>
      <c r="V171" s="10" t="s">
        <v>38</v>
      </c>
      <c r="W171" s="10">
        <v>3</v>
      </c>
      <c r="X171" s="10">
        <v>1</v>
      </c>
      <c r="Y171" s="10">
        <v>1</v>
      </c>
      <c r="Z171" s="10" t="s">
        <v>307</v>
      </c>
      <c r="AA171" s="10">
        <v>1.1100000000000001</v>
      </c>
      <c r="AB171" s="10">
        <v>6</v>
      </c>
      <c r="AC171" s="10" t="s">
        <v>308</v>
      </c>
      <c r="AD171" s="10" t="s">
        <v>277</v>
      </c>
      <c r="AE171" s="10">
        <v>0.66300000000000003</v>
      </c>
      <c r="AF171" s="10" t="s">
        <v>309</v>
      </c>
      <c r="AG171" s="10">
        <v>2025</v>
      </c>
      <c r="AH171" s="10" t="s">
        <v>310</v>
      </c>
      <c r="AI171" s="10">
        <v>50</v>
      </c>
      <c r="AJ171" s="10">
        <v>2</v>
      </c>
      <c r="AK171" s="10">
        <v>1</v>
      </c>
      <c r="AL171" t="str">
        <f t="shared" si="9"/>
        <v>Chen (2025) -pH controlled</v>
      </c>
    </row>
    <row r="172" spans="1:38" ht="15.6" x14ac:dyDescent="0.3">
      <c r="A172" s="11">
        <v>8.1923076923076898</v>
      </c>
      <c r="B172" s="11">
        <v>762.86764705882297</v>
      </c>
      <c r="C172" s="10" t="s">
        <v>33</v>
      </c>
      <c r="D172" s="10" t="s">
        <v>35</v>
      </c>
      <c r="E172" s="10" t="s">
        <v>170</v>
      </c>
      <c r="F172" s="10" t="s">
        <v>34</v>
      </c>
      <c r="G172" s="10">
        <v>0.51</v>
      </c>
      <c r="H172" s="10" t="s">
        <v>34</v>
      </c>
      <c r="I172" s="10" t="s">
        <v>34</v>
      </c>
      <c r="J172" s="10" t="s">
        <v>34</v>
      </c>
      <c r="K172" s="10" t="s">
        <v>34</v>
      </c>
      <c r="L172" s="10">
        <v>0</v>
      </c>
      <c r="M172" s="10">
        <v>62.47</v>
      </c>
      <c r="N172" s="10" t="s">
        <v>34</v>
      </c>
      <c r="O172" s="10">
        <v>1.2110000000000001</v>
      </c>
      <c r="P172" s="10">
        <v>0.69399999999999995</v>
      </c>
      <c r="Q172" s="10">
        <v>33.200000000000003</v>
      </c>
      <c r="R172" s="10">
        <v>2.56</v>
      </c>
      <c r="S172" s="10" t="s">
        <v>34</v>
      </c>
      <c r="T172" s="10" t="s">
        <v>49</v>
      </c>
      <c r="U172" s="10" t="s">
        <v>306</v>
      </c>
      <c r="V172" s="10" t="s">
        <v>38</v>
      </c>
      <c r="W172" s="10">
        <v>3</v>
      </c>
      <c r="X172" s="10">
        <v>1</v>
      </c>
      <c r="Y172" s="10">
        <v>1</v>
      </c>
      <c r="Z172" s="10" t="s">
        <v>307</v>
      </c>
      <c r="AA172" s="10">
        <v>1.1100000000000001</v>
      </c>
      <c r="AB172" s="10">
        <v>6</v>
      </c>
      <c r="AC172" s="10" t="s">
        <v>308</v>
      </c>
      <c r="AD172" s="10" t="s">
        <v>277</v>
      </c>
      <c r="AE172" s="10">
        <v>0.66300000000000003</v>
      </c>
      <c r="AF172" s="10" t="s">
        <v>309</v>
      </c>
      <c r="AG172" s="10">
        <v>2025</v>
      </c>
      <c r="AH172" s="10" t="s">
        <v>310</v>
      </c>
      <c r="AI172" s="10">
        <v>50</v>
      </c>
      <c r="AJ172" s="10">
        <v>2</v>
      </c>
      <c r="AK172" s="10">
        <v>1</v>
      </c>
      <c r="AL172" t="str">
        <f t="shared" si="9"/>
        <v>Chen (2025) -pH controlled</v>
      </c>
    </row>
    <row r="173" spans="1:38" ht="15.6" x14ac:dyDescent="0.3">
      <c r="A173" s="11">
        <v>8.2810650887573907</v>
      </c>
      <c r="B173" s="11">
        <v>806.525735294117</v>
      </c>
      <c r="C173" s="10" t="s">
        <v>33</v>
      </c>
      <c r="D173" s="10" t="s">
        <v>35</v>
      </c>
      <c r="E173" s="10" t="s">
        <v>170</v>
      </c>
      <c r="F173" s="10" t="s">
        <v>34</v>
      </c>
      <c r="G173" s="10">
        <v>0.51</v>
      </c>
      <c r="H173" s="10" t="s">
        <v>34</v>
      </c>
      <c r="I173" s="10" t="s">
        <v>34</v>
      </c>
      <c r="J173" s="10" t="s">
        <v>34</v>
      </c>
      <c r="K173" s="10" t="s">
        <v>34</v>
      </c>
      <c r="L173" s="10">
        <v>0</v>
      </c>
      <c r="M173" s="10">
        <v>62.47</v>
      </c>
      <c r="N173" s="10" t="s">
        <v>34</v>
      </c>
      <c r="O173" s="10">
        <v>1.2110000000000001</v>
      </c>
      <c r="P173" s="10">
        <v>0.69399999999999995</v>
      </c>
      <c r="Q173" s="10">
        <v>33.200000000000003</v>
      </c>
      <c r="R173" s="10">
        <v>2.56</v>
      </c>
      <c r="S173" s="10" t="s">
        <v>34</v>
      </c>
      <c r="T173" s="10" t="s">
        <v>49</v>
      </c>
      <c r="U173" s="10" t="s">
        <v>306</v>
      </c>
      <c r="V173" s="10" t="s">
        <v>38</v>
      </c>
      <c r="W173" s="10">
        <v>3</v>
      </c>
      <c r="X173" s="10">
        <v>1</v>
      </c>
      <c r="Y173" s="10">
        <v>1</v>
      </c>
      <c r="Z173" s="10" t="s">
        <v>307</v>
      </c>
      <c r="AA173" s="10">
        <v>1.1100000000000001</v>
      </c>
      <c r="AB173" s="10">
        <v>6</v>
      </c>
      <c r="AC173" s="10" t="s">
        <v>308</v>
      </c>
      <c r="AD173" s="10" t="s">
        <v>277</v>
      </c>
      <c r="AE173" s="10">
        <v>0.66300000000000003</v>
      </c>
      <c r="AF173" s="10" t="s">
        <v>309</v>
      </c>
      <c r="AG173" s="10">
        <v>2025</v>
      </c>
      <c r="AH173" s="10" t="s">
        <v>310</v>
      </c>
      <c r="AI173" s="10">
        <v>50</v>
      </c>
      <c r="AJ173" s="10">
        <v>2</v>
      </c>
      <c r="AK173" s="10">
        <v>1</v>
      </c>
      <c r="AL173" t="str">
        <f t="shared" si="9"/>
        <v>Chen (2025) -pH controlled</v>
      </c>
    </row>
    <row r="174" spans="1:38" ht="15.6" x14ac:dyDescent="0.3">
      <c r="A174" s="11">
        <v>8.6538461538461497</v>
      </c>
      <c r="B174" s="11">
        <v>1107.5367647058799</v>
      </c>
      <c r="C174" s="10" t="s">
        <v>33</v>
      </c>
      <c r="D174" s="10" t="s">
        <v>35</v>
      </c>
      <c r="E174" s="10" t="s">
        <v>170</v>
      </c>
      <c r="F174" s="10" t="s">
        <v>34</v>
      </c>
      <c r="G174" s="10">
        <v>0.51</v>
      </c>
      <c r="H174" s="10" t="s">
        <v>34</v>
      </c>
      <c r="I174" s="10" t="s">
        <v>34</v>
      </c>
      <c r="J174" s="10" t="s">
        <v>34</v>
      </c>
      <c r="K174" s="10" t="s">
        <v>34</v>
      </c>
      <c r="L174" s="10">
        <v>0</v>
      </c>
      <c r="M174" s="10">
        <v>62.47</v>
      </c>
      <c r="N174" s="10" t="s">
        <v>34</v>
      </c>
      <c r="O174" s="10">
        <v>1.2110000000000001</v>
      </c>
      <c r="P174" s="10">
        <v>0.69399999999999995</v>
      </c>
      <c r="Q174" s="10">
        <v>33.200000000000003</v>
      </c>
      <c r="R174" s="10">
        <v>2.56</v>
      </c>
      <c r="S174" s="10" t="s">
        <v>34</v>
      </c>
      <c r="T174" s="10" t="s">
        <v>49</v>
      </c>
      <c r="U174" s="10" t="s">
        <v>306</v>
      </c>
      <c r="V174" s="10" t="s">
        <v>38</v>
      </c>
      <c r="W174" s="10">
        <v>3</v>
      </c>
      <c r="X174" s="10">
        <v>1</v>
      </c>
      <c r="Y174" s="10">
        <v>1</v>
      </c>
      <c r="Z174" s="10" t="s">
        <v>307</v>
      </c>
      <c r="AA174" s="10">
        <v>1.1100000000000001</v>
      </c>
      <c r="AB174" s="10">
        <v>3.5</v>
      </c>
      <c r="AC174" s="10" t="s">
        <v>308</v>
      </c>
      <c r="AD174" s="10" t="s">
        <v>277</v>
      </c>
      <c r="AE174" s="10">
        <v>0.66300000000000003</v>
      </c>
      <c r="AF174" s="10" t="s">
        <v>309</v>
      </c>
      <c r="AG174" s="10">
        <v>2025</v>
      </c>
      <c r="AH174" s="10" t="s">
        <v>310</v>
      </c>
      <c r="AI174" s="10">
        <v>50</v>
      </c>
      <c r="AJ174" s="10">
        <v>2</v>
      </c>
      <c r="AK174" s="10">
        <v>1</v>
      </c>
      <c r="AL174" t="str">
        <f t="shared" si="9"/>
        <v>Chen (2025) -pH controlled</v>
      </c>
    </row>
    <row r="175" spans="1:38" ht="15.6" x14ac:dyDescent="0.3">
      <c r="A175" s="11">
        <v>8.6893491124260294</v>
      </c>
      <c r="B175" s="11">
        <v>926.01102941176396</v>
      </c>
      <c r="C175" s="10" t="s">
        <v>33</v>
      </c>
      <c r="D175" s="10" t="s">
        <v>35</v>
      </c>
      <c r="E175" s="10" t="s">
        <v>170</v>
      </c>
      <c r="F175" s="10" t="s">
        <v>34</v>
      </c>
      <c r="G175" s="10">
        <v>0.51</v>
      </c>
      <c r="H175" s="10" t="s">
        <v>34</v>
      </c>
      <c r="I175" s="10" t="s">
        <v>34</v>
      </c>
      <c r="J175" s="10" t="s">
        <v>34</v>
      </c>
      <c r="K175" s="10" t="s">
        <v>34</v>
      </c>
      <c r="L175" s="10">
        <v>0</v>
      </c>
      <c r="M175" s="10">
        <v>62.47</v>
      </c>
      <c r="N175" s="10" t="s">
        <v>34</v>
      </c>
      <c r="O175" s="10">
        <v>1.2110000000000001</v>
      </c>
      <c r="P175" s="10">
        <v>0.69399999999999995</v>
      </c>
      <c r="Q175" s="10">
        <v>33.200000000000003</v>
      </c>
      <c r="R175" s="10">
        <v>2.56</v>
      </c>
      <c r="S175" s="10" t="s">
        <v>34</v>
      </c>
      <c r="T175" s="10" t="s">
        <v>49</v>
      </c>
      <c r="U175" s="10" t="s">
        <v>306</v>
      </c>
      <c r="V175" s="10" t="s">
        <v>38</v>
      </c>
      <c r="W175" s="10">
        <v>3</v>
      </c>
      <c r="X175" s="10">
        <v>1</v>
      </c>
      <c r="Y175" s="10">
        <v>1</v>
      </c>
      <c r="Z175" s="10" t="s">
        <v>307</v>
      </c>
      <c r="AA175" s="10">
        <v>1.1100000000000001</v>
      </c>
      <c r="AB175" s="10">
        <v>3.5</v>
      </c>
      <c r="AC175" s="10" t="s">
        <v>308</v>
      </c>
      <c r="AD175" s="10" t="s">
        <v>277</v>
      </c>
      <c r="AE175" s="10">
        <v>0.66300000000000003</v>
      </c>
      <c r="AF175" s="10" t="s">
        <v>309</v>
      </c>
      <c r="AG175" s="10">
        <v>2025</v>
      </c>
      <c r="AH175" s="10" t="s">
        <v>310</v>
      </c>
      <c r="AI175" s="10">
        <v>50</v>
      </c>
      <c r="AJ175" s="10">
        <v>2</v>
      </c>
      <c r="AK175" s="10">
        <v>1</v>
      </c>
      <c r="AL175" t="str">
        <f t="shared" si="9"/>
        <v>Chen (2025) -pH controlled</v>
      </c>
    </row>
    <row r="176" spans="1:38" ht="15.6" x14ac:dyDescent="0.3">
      <c r="A176" s="11">
        <v>7.72189349112426</v>
      </c>
      <c r="B176" s="11">
        <v>971.96691176470495</v>
      </c>
      <c r="C176" s="10" t="s">
        <v>33</v>
      </c>
      <c r="D176" s="10" t="s">
        <v>35</v>
      </c>
      <c r="E176" s="10" t="s">
        <v>170</v>
      </c>
      <c r="F176" s="10" t="s">
        <v>34</v>
      </c>
      <c r="G176" s="10">
        <v>0.51</v>
      </c>
      <c r="H176" s="10" t="s">
        <v>34</v>
      </c>
      <c r="I176" s="10" t="s">
        <v>34</v>
      </c>
      <c r="J176" s="10" t="s">
        <v>34</v>
      </c>
      <c r="K176" s="10" t="s">
        <v>34</v>
      </c>
      <c r="L176" s="10">
        <v>0</v>
      </c>
      <c r="M176" s="10">
        <v>62.47</v>
      </c>
      <c r="N176" s="10" t="s">
        <v>34</v>
      </c>
      <c r="O176" s="10">
        <v>1.2110000000000001</v>
      </c>
      <c r="P176" s="10">
        <v>0.69399999999999995</v>
      </c>
      <c r="Q176" s="10">
        <v>33.200000000000003</v>
      </c>
      <c r="R176" s="10">
        <v>2.56</v>
      </c>
      <c r="S176" s="10" t="s">
        <v>34</v>
      </c>
      <c r="T176" s="10" t="s">
        <v>49</v>
      </c>
      <c r="U176" s="10" t="s">
        <v>306</v>
      </c>
      <c r="V176" s="10" t="s">
        <v>38</v>
      </c>
      <c r="W176" s="10">
        <v>3</v>
      </c>
      <c r="X176" s="10">
        <v>1</v>
      </c>
      <c r="Y176" s="10">
        <v>1</v>
      </c>
      <c r="Z176" s="10" t="s">
        <v>307</v>
      </c>
      <c r="AA176" s="10">
        <v>1.1100000000000001</v>
      </c>
      <c r="AB176" s="10">
        <v>3.5</v>
      </c>
      <c r="AC176" s="10" t="s">
        <v>308</v>
      </c>
      <c r="AD176" s="10" t="s">
        <v>277</v>
      </c>
      <c r="AE176" s="10">
        <v>0.66300000000000003</v>
      </c>
      <c r="AF176" s="10" t="s">
        <v>309</v>
      </c>
      <c r="AG176" s="10">
        <v>2025</v>
      </c>
      <c r="AH176" s="10" t="s">
        <v>310</v>
      </c>
      <c r="AI176" s="10">
        <v>50</v>
      </c>
      <c r="AJ176" s="10">
        <v>2</v>
      </c>
      <c r="AK176" s="10">
        <v>1</v>
      </c>
      <c r="AL176" t="str">
        <f t="shared" si="9"/>
        <v>Chen (2025) -pH controlled</v>
      </c>
    </row>
    <row r="177" spans="1:38" ht="15.6" x14ac:dyDescent="0.3">
      <c r="A177" s="11">
        <v>3.02694610778443</v>
      </c>
      <c r="B177" s="11">
        <v>393.02325581395303</v>
      </c>
      <c r="C177" s="10" t="s">
        <v>33</v>
      </c>
      <c r="D177" s="10" t="s">
        <v>35</v>
      </c>
      <c r="E177" s="10" t="s">
        <v>170</v>
      </c>
      <c r="F177" s="10" t="s">
        <v>34</v>
      </c>
      <c r="G177" s="10">
        <v>0.51</v>
      </c>
      <c r="H177" s="10" t="s">
        <v>34</v>
      </c>
      <c r="I177" s="10" t="s">
        <v>34</v>
      </c>
      <c r="J177" s="10" t="s">
        <v>34</v>
      </c>
      <c r="K177" s="10" t="s">
        <v>34</v>
      </c>
      <c r="L177" s="10">
        <v>0</v>
      </c>
      <c r="M177" s="10">
        <v>62.47</v>
      </c>
      <c r="N177" s="10" t="s">
        <v>34</v>
      </c>
      <c r="O177" s="10">
        <v>1.2110000000000001</v>
      </c>
      <c r="P177" s="10">
        <v>0.69399999999999995</v>
      </c>
      <c r="Q177" s="10">
        <v>33.200000000000003</v>
      </c>
      <c r="R177" s="10">
        <v>2.56</v>
      </c>
      <c r="S177" s="10" t="s">
        <v>34</v>
      </c>
      <c r="T177" s="10" t="s">
        <v>49</v>
      </c>
      <c r="U177" s="10" t="s">
        <v>306</v>
      </c>
      <c r="V177" s="10" t="s">
        <v>38</v>
      </c>
      <c r="W177" s="10">
        <v>1</v>
      </c>
      <c r="X177" s="10">
        <v>1</v>
      </c>
      <c r="Y177" s="10">
        <v>1</v>
      </c>
      <c r="Z177" s="10" t="s">
        <v>307</v>
      </c>
      <c r="AA177" s="10">
        <v>1.1100000000000001</v>
      </c>
      <c r="AB177" s="10">
        <v>2.5</v>
      </c>
      <c r="AC177" s="10" t="s">
        <v>308</v>
      </c>
      <c r="AD177" s="10" t="s">
        <v>277</v>
      </c>
      <c r="AE177" s="10">
        <v>0.66300000000000003</v>
      </c>
      <c r="AF177" s="10" t="s">
        <v>309</v>
      </c>
      <c r="AG177" s="10">
        <v>2025</v>
      </c>
      <c r="AH177" s="10" t="s">
        <v>310</v>
      </c>
      <c r="AI177" s="10">
        <v>50</v>
      </c>
      <c r="AJ177" s="10">
        <v>2</v>
      </c>
      <c r="AK177" s="10">
        <v>1</v>
      </c>
      <c r="AL177" t="str">
        <f t="shared" si="9"/>
        <v>Chen (2025) -pH controlled</v>
      </c>
    </row>
    <row r="178" spans="1:38" ht="15.6" x14ac:dyDescent="0.3">
      <c r="A178" s="11">
        <v>2.7664670658682602</v>
      </c>
      <c r="B178" s="11">
        <v>269.767441860465</v>
      </c>
      <c r="C178" s="10" t="s">
        <v>33</v>
      </c>
      <c r="D178" s="10" t="s">
        <v>35</v>
      </c>
      <c r="E178" s="10" t="s">
        <v>170</v>
      </c>
      <c r="F178" s="10" t="s">
        <v>34</v>
      </c>
      <c r="G178" s="10">
        <v>0.51</v>
      </c>
      <c r="H178" s="10" t="s">
        <v>34</v>
      </c>
      <c r="I178" s="10" t="s">
        <v>34</v>
      </c>
      <c r="J178" s="10" t="s">
        <v>34</v>
      </c>
      <c r="K178" s="10" t="s">
        <v>34</v>
      </c>
      <c r="L178" s="10">
        <v>0</v>
      </c>
      <c r="M178" s="10">
        <v>62.47</v>
      </c>
      <c r="N178" s="10" t="s">
        <v>34</v>
      </c>
      <c r="O178" s="10">
        <v>1.2110000000000001</v>
      </c>
      <c r="P178" s="10">
        <v>0.69399999999999995</v>
      </c>
      <c r="Q178" s="10">
        <v>33.200000000000003</v>
      </c>
      <c r="R178" s="10">
        <v>2.56</v>
      </c>
      <c r="S178" s="10" t="s">
        <v>34</v>
      </c>
      <c r="T178" s="10" t="s">
        <v>49</v>
      </c>
      <c r="U178" s="10" t="s">
        <v>306</v>
      </c>
      <c r="V178" s="10" t="s">
        <v>38</v>
      </c>
      <c r="W178" s="10">
        <v>1</v>
      </c>
      <c r="X178" s="10">
        <v>1</v>
      </c>
      <c r="Y178" s="10">
        <v>1</v>
      </c>
      <c r="Z178" s="10" t="s">
        <v>307</v>
      </c>
      <c r="AA178" s="10">
        <v>1.1100000000000001</v>
      </c>
      <c r="AB178" s="10">
        <v>2.5</v>
      </c>
      <c r="AC178" s="10" t="s">
        <v>308</v>
      </c>
      <c r="AD178" s="10" t="s">
        <v>277</v>
      </c>
      <c r="AE178" s="10">
        <v>0.66300000000000003</v>
      </c>
      <c r="AF178" s="10" t="s">
        <v>309</v>
      </c>
      <c r="AG178" s="10">
        <v>2025</v>
      </c>
      <c r="AH178" s="10" t="s">
        <v>310</v>
      </c>
      <c r="AI178" s="10">
        <v>50</v>
      </c>
      <c r="AJ178" s="10">
        <v>2</v>
      </c>
      <c r="AK178" s="10">
        <v>1</v>
      </c>
      <c r="AL178" t="str">
        <f t="shared" si="9"/>
        <v>Chen (2025) -pH controlled</v>
      </c>
    </row>
    <row r="179" spans="1:38" ht="15.6" x14ac:dyDescent="0.3">
      <c r="A179" s="11">
        <v>2.9730538922155598</v>
      </c>
      <c r="B179" s="11">
        <v>213.95348837209301</v>
      </c>
      <c r="C179" s="10" t="s">
        <v>33</v>
      </c>
      <c r="D179" s="10" t="s">
        <v>35</v>
      </c>
      <c r="E179" s="10" t="s">
        <v>170</v>
      </c>
      <c r="F179" s="10" t="s">
        <v>34</v>
      </c>
      <c r="G179" s="10">
        <v>0.51</v>
      </c>
      <c r="H179" s="10" t="s">
        <v>34</v>
      </c>
      <c r="I179" s="10" t="s">
        <v>34</v>
      </c>
      <c r="J179" s="10" t="s">
        <v>34</v>
      </c>
      <c r="K179" s="10" t="s">
        <v>34</v>
      </c>
      <c r="L179" s="10">
        <v>0</v>
      </c>
      <c r="M179" s="10">
        <v>62.47</v>
      </c>
      <c r="N179" s="10" t="s">
        <v>34</v>
      </c>
      <c r="O179" s="10">
        <v>1.2110000000000001</v>
      </c>
      <c r="P179" s="10">
        <v>0.69399999999999995</v>
      </c>
      <c r="Q179" s="10">
        <v>33.200000000000003</v>
      </c>
      <c r="R179" s="10">
        <v>2.56</v>
      </c>
      <c r="S179" s="10" t="s">
        <v>34</v>
      </c>
      <c r="T179" s="10" t="s">
        <v>49</v>
      </c>
      <c r="U179" s="10" t="s">
        <v>306</v>
      </c>
      <c r="V179" s="10" t="s">
        <v>38</v>
      </c>
      <c r="W179" s="10">
        <v>1</v>
      </c>
      <c r="X179" s="10">
        <v>1</v>
      </c>
      <c r="Y179" s="10">
        <v>1</v>
      </c>
      <c r="Z179" s="10" t="s">
        <v>307</v>
      </c>
      <c r="AA179" s="10">
        <v>1.1100000000000001</v>
      </c>
      <c r="AB179" s="10">
        <v>2.5</v>
      </c>
      <c r="AC179" s="10" t="s">
        <v>308</v>
      </c>
      <c r="AD179" s="10" t="s">
        <v>277</v>
      </c>
      <c r="AE179" s="10">
        <v>0.66300000000000003</v>
      </c>
      <c r="AF179" s="10" t="s">
        <v>309</v>
      </c>
      <c r="AG179" s="10">
        <v>2025</v>
      </c>
      <c r="AH179" s="10" t="s">
        <v>310</v>
      </c>
      <c r="AI179" s="10">
        <v>50</v>
      </c>
      <c r="AJ179" s="10">
        <v>2</v>
      </c>
      <c r="AK179" s="10">
        <v>1</v>
      </c>
      <c r="AL179" t="str">
        <f t="shared" si="9"/>
        <v>Chen (2025) -pH controlled</v>
      </c>
    </row>
    <row r="180" spans="1:38" ht="15.6" x14ac:dyDescent="0.3">
      <c r="A180" s="11">
        <v>5.3532934131736498</v>
      </c>
      <c r="B180" s="11">
        <v>604.65116279069798</v>
      </c>
      <c r="C180" s="10" t="s">
        <v>33</v>
      </c>
      <c r="D180" s="10" t="s">
        <v>35</v>
      </c>
      <c r="E180" s="10" t="s">
        <v>170</v>
      </c>
      <c r="F180" s="10" t="s">
        <v>34</v>
      </c>
      <c r="G180" s="10">
        <v>0.51</v>
      </c>
      <c r="H180" s="10" t="s">
        <v>34</v>
      </c>
      <c r="I180" s="10" t="s">
        <v>34</v>
      </c>
      <c r="J180" s="10" t="s">
        <v>34</v>
      </c>
      <c r="K180" s="10" t="s">
        <v>34</v>
      </c>
      <c r="L180" s="10">
        <v>0</v>
      </c>
      <c r="M180" s="10">
        <v>62.47</v>
      </c>
      <c r="N180" s="10" t="s">
        <v>34</v>
      </c>
      <c r="O180" s="10">
        <v>1.2110000000000001</v>
      </c>
      <c r="P180" s="10">
        <v>0.69399999999999995</v>
      </c>
      <c r="Q180" s="10">
        <v>33.200000000000003</v>
      </c>
      <c r="R180" s="10">
        <v>2.56</v>
      </c>
      <c r="S180" s="10" t="s">
        <v>34</v>
      </c>
      <c r="T180" s="10" t="s">
        <v>49</v>
      </c>
      <c r="U180" s="10" t="s">
        <v>306</v>
      </c>
      <c r="V180" s="10" t="s">
        <v>38</v>
      </c>
      <c r="W180" s="10">
        <v>2</v>
      </c>
      <c r="X180" s="10">
        <v>1</v>
      </c>
      <c r="Y180" s="10">
        <v>1</v>
      </c>
      <c r="Z180" s="10" t="s">
        <v>307</v>
      </c>
      <c r="AA180" s="10">
        <v>1.1100000000000001</v>
      </c>
      <c r="AB180" s="10">
        <v>2.5</v>
      </c>
      <c r="AC180" s="10" t="s">
        <v>308</v>
      </c>
      <c r="AD180" s="10" t="s">
        <v>277</v>
      </c>
      <c r="AE180" s="10">
        <v>0.66300000000000003</v>
      </c>
      <c r="AF180" s="10" t="s">
        <v>309</v>
      </c>
      <c r="AG180" s="10">
        <v>2025</v>
      </c>
      <c r="AH180" s="10" t="s">
        <v>310</v>
      </c>
      <c r="AI180" s="10">
        <v>50</v>
      </c>
      <c r="AJ180" s="10">
        <v>2</v>
      </c>
      <c r="AK180" s="10">
        <v>1</v>
      </c>
      <c r="AL180" t="str">
        <f t="shared" si="9"/>
        <v>Chen (2025) -pH controlled</v>
      </c>
    </row>
    <row r="181" spans="1:38" ht="15.6" x14ac:dyDescent="0.3">
      <c r="A181" s="11">
        <v>5.3712574850299397</v>
      </c>
      <c r="B181" s="11">
        <v>497.67441860465101</v>
      </c>
      <c r="C181" s="10" t="s">
        <v>33</v>
      </c>
      <c r="D181" s="10" t="s">
        <v>35</v>
      </c>
      <c r="E181" s="10" t="s">
        <v>170</v>
      </c>
      <c r="F181" s="10" t="s">
        <v>34</v>
      </c>
      <c r="G181" s="10">
        <v>0.51</v>
      </c>
      <c r="H181" s="10" t="s">
        <v>34</v>
      </c>
      <c r="I181" s="10" t="s">
        <v>34</v>
      </c>
      <c r="J181" s="10" t="s">
        <v>34</v>
      </c>
      <c r="K181" s="10" t="s">
        <v>34</v>
      </c>
      <c r="L181" s="10">
        <v>0</v>
      </c>
      <c r="M181" s="10">
        <v>62.47</v>
      </c>
      <c r="N181" s="10" t="s">
        <v>34</v>
      </c>
      <c r="O181" s="10">
        <v>1.2110000000000001</v>
      </c>
      <c r="P181" s="10">
        <v>0.69399999999999995</v>
      </c>
      <c r="Q181" s="10">
        <v>33.200000000000003</v>
      </c>
      <c r="R181" s="10">
        <v>2.56</v>
      </c>
      <c r="S181" s="10" t="s">
        <v>34</v>
      </c>
      <c r="T181" s="10" t="s">
        <v>49</v>
      </c>
      <c r="U181" s="10" t="s">
        <v>306</v>
      </c>
      <c r="V181" s="10" t="s">
        <v>38</v>
      </c>
      <c r="W181" s="10">
        <v>2</v>
      </c>
      <c r="X181" s="10">
        <v>1</v>
      </c>
      <c r="Y181" s="10">
        <v>1</v>
      </c>
      <c r="Z181" s="10" t="s">
        <v>307</v>
      </c>
      <c r="AA181" s="10">
        <v>1.1100000000000001</v>
      </c>
      <c r="AB181" s="10">
        <v>2.5</v>
      </c>
      <c r="AC181" s="10" t="s">
        <v>308</v>
      </c>
      <c r="AD181" s="10" t="s">
        <v>277</v>
      </c>
      <c r="AE181" s="10">
        <v>0.66300000000000003</v>
      </c>
      <c r="AF181" s="10" t="s">
        <v>309</v>
      </c>
      <c r="AG181" s="10">
        <v>2025</v>
      </c>
      <c r="AH181" s="10" t="s">
        <v>310</v>
      </c>
      <c r="AI181" s="10">
        <v>50</v>
      </c>
      <c r="AJ181" s="10">
        <v>2</v>
      </c>
      <c r="AK181" s="10">
        <v>1</v>
      </c>
      <c r="AL181" t="str">
        <f t="shared" si="9"/>
        <v>Chen (2025) -pH controlled</v>
      </c>
    </row>
    <row r="182" spans="1:38" ht="15.6" x14ac:dyDescent="0.3">
      <c r="A182" s="11">
        <v>5.9461077844311303</v>
      </c>
      <c r="B182" s="11">
        <v>590.69767441860404</v>
      </c>
      <c r="C182" s="10" t="s">
        <v>33</v>
      </c>
      <c r="D182" s="10" t="s">
        <v>35</v>
      </c>
      <c r="E182" s="10" t="s">
        <v>170</v>
      </c>
      <c r="F182" s="10" t="s">
        <v>34</v>
      </c>
      <c r="G182" s="10">
        <v>0.51</v>
      </c>
      <c r="H182" s="10" t="s">
        <v>34</v>
      </c>
      <c r="I182" s="10" t="s">
        <v>34</v>
      </c>
      <c r="J182" s="10" t="s">
        <v>34</v>
      </c>
      <c r="K182" s="10" t="s">
        <v>34</v>
      </c>
      <c r="L182" s="10">
        <v>0</v>
      </c>
      <c r="M182" s="10">
        <v>62.47</v>
      </c>
      <c r="N182" s="10" t="s">
        <v>34</v>
      </c>
      <c r="O182" s="10">
        <v>1.2110000000000001</v>
      </c>
      <c r="P182" s="10">
        <v>0.69399999999999995</v>
      </c>
      <c r="Q182" s="10">
        <v>33.200000000000003</v>
      </c>
      <c r="R182" s="10">
        <v>2.56</v>
      </c>
      <c r="S182" s="10" t="s">
        <v>34</v>
      </c>
      <c r="T182" s="10" t="s">
        <v>49</v>
      </c>
      <c r="U182" s="10" t="s">
        <v>306</v>
      </c>
      <c r="V182" s="10" t="s">
        <v>38</v>
      </c>
      <c r="W182" s="10">
        <v>2</v>
      </c>
      <c r="X182" s="10">
        <v>1</v>
      </c>
      <c r="Y182" s="10">
        <v>1</v>
      </c>
      <c r="Z182" s="10" t="s">
        <v>307</v>
      </c>
      <c r="AA182" s="10">
        <v>1.1100000000000001</v>
      </c>
      <c r="AB182" s="10">
        <v>2.5</v>
      </c>
      <c r="AC182" s="10" t="s">
        <v>308</v>
      </c>
      <c r="AD182" s="10" t="s">
        <v>277</v>
      </c>
      <c r="AE182" s="10">
        <v>0.66300000000000003</v>
      </c>
      <c r="AF182" s="10" t="s">
        <v>309</v>
      </c>
      <c r="AG182" s="10">
        <v>2025</v>
      </c>
      <c r="AH182" s="10" t="s">
        <v>310</v>
      </c>
      <c r="AI182" s="10">
        <v>50</v>
      </c>
      <c r="AJ182" s="10">
        <v>2</v>
      </c>
      <c r="AK182" s="10">
        <v>1</v>
      </c>
      <c r="AL182" t="str">
        <f t="shared" si="9"/>
        <v>Chen (2025) -pH controlled</v>
      </c>
    </row>
    <row r="183" spans="1:38" ht="15.6" x14ac:dyDescent="0.3">
      <c r="A183" s="11">
        <v>8.5778443113772394</v>
      </c>
      <c r="B183" s="11">
        <v>925.58139534883696</v>
      </c>
      <c r="C183" s="10" t="s">
        <v>33</v>
      </c>
      <c r="D183" s="10" t="s">
        <v>35</v>
      </c>
      <c r="E183" s="10" t="s">
        <v>170</v>
      </c>
      <c r="F183" s="10" t="s">
        <v>34</v>
      </c>
      <c r="G183" s="10">
        <v>0.51</v>
      </c>
      <c r="H183" s="10" t="s">
        <v>34</v>
      </c>
      <c r="I183" s="10" t="s">
        <v>34</v>
      </c>
      <c r="J183" s="10" t="s">
        <v>34</v>
      </c>
      <c r="K183" s="10" t="s">
        <v>34</v>
      </c>
      <c r="L183" s="10">
        <v>0</v>
      </c>
      <c r="M183" s="10">
        <v>62.47</v>
      </c>
      <c r="N183" s="10" t="s">
        <v>34</v>
      </c>
      <c r="O183" s="10">
        <v>1.2110000000000001</v>
      </c>
      <c r="P183" s="10">
        <v>0.69399999999999995</v>
      </c>
      <c r="Q183" s="10">
        <v>33.200000000000003</v>
      </c>
      <c r="R183" s="10">
        <v>2.56</v>
      </c>
      <c r="S183" s="10" t="s">
        <v>34</v>
      </c>
      <c r="T183" s="10" t="s">
        <v>49</v>
      </c>
      <c r="U183" s="10" t="s">
        <v>306</v>
      </c>
      <c r="V183" s="10" t="s">
        <v>38</v>
      </c>
      <c r="W183" s="10">
        <v>3</v>
      </c>
      <c r="X183" s="10">
        <v>1</v>
      </c>
      <c r="Y183" s="10">
        <v>1</v>
      </c>
      <c r="Z183" s="10" t="s">
        <v>307</v>
      </c>
      <c r="AA183" s="10">
        <v>1.1100000000000001</v>
      </c>
      <c r="AB183" s="10">
        <v>2.5</v>
      </c>
      <c r="AC183" s="10" t="s">
        <v>308</v>
      </c>
      <c r="AD183" s="10" t="s">
        <v>277</v>
      </c>
      <c r="AE183" s="10">
        <v>0.66300000000000003</v>
      </c>
      <c r="AF183" s="10" t="s">
        <v>309</v>
      </c>
      <c r="AG183" s="10">
        <v>2025</v>
      </c>
      <c r="AH183" s="10" t="s">
        <v>310</v>
      </c>
      <c r="AI183" s="10">
        <v>50</v>
      </c>
      <c r="AJ183" s="10">
        <v>2</v>
      </c>
      <c r="AK183" s="10">
        <v>1</v>
      </c>
      <c r="AL183" t="str">
        <f t="shared" si="9"/>
        <v>Chen (2025) -pH controlled</v>
      </c>
    </row>
    <row r="184" spans="1:38" ht="15.6" x14ac:dyDescent="0.3">
      <c r="A184" s="11">
        <v>8.8832335329341294</v>
      </c>
      <c r="B184" s="11">
        <v>1220.93023255813</v>
      </c>
      <c r="C184" s="10" t="s">
        <v>33</v>
      </c>
      <c r="D184" s="10" t="s">
        <v>35</v>
      </c>
      <c r="E184" s="10" t="s">
        <v>170</v>
      </c>
      <c r="F184" s="10" t="s">
        <v>34</v>
      </c>
      <c r="G184" s="10">
        <v>0.51</v>
      </c>
      <c r="H184" s="10" t="s">
        <v>34</v>
      </c>
      <c r="I184" s="10" t="s">
        <v>34</v>
      </c>
      <c r="J184" s="10" t="s">
        <v>34</v>
      </c>
      <c r="K184" s="10" t="s">
        <v>34</v>
      </c>
      <c r="L184" s="10">
        <v>0</v>
      </c>
      <c r="M184" s="10">
        <v>62.47</v>
      </c>
      <c r="N184" s="10" t="s">
        <v>34</v>
      </c>
      <c r="O184" s="10">
        <v>1.2110000000000001</v>
      </c>
      <c r="P184" s="10">
        <v>0.69399999999999995</v>
      </c>
      <c r="Q184" s="10">
        <v>33.200000000000003</v>
      </c>
      <c r="R184" s="10">
        <v>2.56</v>
      </c>
      <c r="S184" s="10" t="s">
        <v>34</v>
      </c>
      <c r="T184" s="10" t="s">
        <v>49</v>
      </c>
      <c r="U184" s="10" t="s">
        <v>306</v>
      </c>
      <c r="V184" s="10" t="s">
        <v>38</v>
      </c>
      <c r="W184" s="10">
        <v>3</v>
      </c>
      <c r="X184" s="10">
        <v>1</v>
      </c>
      <c r="Y184" s="10">
        <v>1</v>
      </c>
      <c r="Z184" s="10" t="s">
        <v>307</v>
      </c>
      <c r="AA184" s="10">
        <v>1.1100000000000001</v>
      </c>
      <c r="AB184" s="10">
        <v>2.5</v>
      </c>
      <c r="AC184" s="10" t="s">
        <v>308</v>
      </c>
      <c r="AD184" s="10" t="s">
        <v>277</v>
      </c>
      <c r="AE184" s="10">
        <v>0.66300000000000003</v>
      </c>
      <c r="AF184" s="10" t="s">
        <v>309</v>
      </c>
      <c r="AG184" s="10">
        <v>2025</v>
      </c>
      <c r="AH184" s="10" t="s">
        <v>310</v>
      </c>
      <c r="AI184" s="10">
        <v>50</v>
      </c>
      <c r="AJ184" s="10">
        <v>2</v>
      </c>
      <c r="AK184" s="10">
        <v>1</v>
      </c>
      <c r="AL184" t="str">
        <f t="shared" si="9"/>
        <v>Chen (2025) -pH controlled</v>
      </c>
    </row>
    <row r="185" spans="1:38" ht="15.6" x14ac:dyDescent="0.3">
      <c r="A185" s="11">
        <v>8.7485029940119698</v>
      </c>
      <c r="B185" s="11">
        <v>1253.48837209302</v>
      </c>
      <c r="C185" s="10" t="s">
        <v>33</v>
      </c>
      <c r="D185" s="10" t="s">
        <v>35</v>
      </c>
      <c r="E185" s="10" t="s">
        <v>170</v>
      </c>
      <c r="F185" s="10" t="s">
        <v>34</v>
      </c>
      <c r="G185" s="10">
        <v>0.51</v>
      </c>
      <c r="H185" s="10" t="s">
        <v>34</v>
      </c>
      <c r="I185" s="10" t="s">
        <v>34</v>
      </c>
      <c r="J185" s="10" t="s">
        <v>34</v>
      </c>
      <c r="K185" s="10" t="s">
        <v>34</v>
      </c>
      <c r="L185" s="10">
        <v>0</v>
      </c>
      <c r="M185" s="10">
        <v>62.47</v>
      </c>
      <c r="N185" s="10" t="s">
        <v>34</v>
      </c>
      <c r="O185" s="10">
        <v>1.2110000000000001</v>
      </c>
      <c r="P185" s="10">
        <v>0.69399999999999995</v>
      </c>
      <c r="Q185" s="10">
        <v>33.200000000000003</v>
      </c>
      <c r="R185" s="10">
        <v>2.56</v>
      </c>
      <c r="S185" s="10" t="s">
        <v>34</v>
      </c>
      <c r="T185" s="10" t="s">
        <v>49</v>
      </c>
      <c r="U185" s="10" t="s">
        <v>306</v>
      </c>
      <c r="V185" s="10" t="s">
        <v>38</v>
      </c>
      <c r="W185" s="10">
        <v>3</v>
      </c>
      <c r="X185" s="10">
        <v>1</v>
      </c>
      <c r="Y185" s="10">
        <v>1</v>
      </c>
      <c r="Z185" s="10" t="s">
        <v>307</v>
      </c>
      <c r="AA185" s="10">
        <v>1.1100000000000001</v>
      </c>
      <c r="AB185" s="10">
        <v>2.5</v>
      </c>
      <c r="AC185" s="10" t="s">
        <v>308</v>
      </c>
      <c r="AD185" s="10" t="s">
        <v>277</v>
      </c>
      <c r="AE185" s="10">
        <v>0.66300000000000003</v>
      </c>
      <c r="AF185" s="10" t="s">
        <v>309</v>
      </c>
      <c r="AG185" s="10">
        <v>2025</v>
      </c>
      <c r="AH185" s="10" t="s">
        <v>310</v>
      </c>
      <c r="AI185" s="10">
        <v>50</v>
      </c>
      <c r="AJ185" s="10">
        <v>2</v>
      </c>
      <c r="AK185" s="10">
        <v>1</v>
      </c>
      <c r="AL185" t="str">
        <f t="shared" si="9"/>
        <v>Chen (2025) -pH controlled</v>
      </c>
    </row>
    <row r="186" spans="1:38" ht="15.6" x14ac:dyDescent="0.3">
      <c r="A186" s="11">
        <v>10.3922155688622</v>
      </c>
      <c r="B186" s="11">
        <v>2320.9302325581398</v>
      </c>
      <c r="C186" s="10" t="s">
        <v>33</v>
      </c>
      <c r="D186" s="10" t="s">
        <v>35</v>
      </c>
      <c r="E186" s="10" t="s">
        <v>170</v>
      </c>
      <c r="F186" s="10" t="s">
        <v>34</v>
      </c>
      <c r="G186" s="10">
        <v>0.51</v>
      </c>
      <c r="H186" s="10" t="s">
        <v>34</v>
      </c>
      <c r="I186" s="10" t="s">
        <v>34</v>
      </c>
      <c r="J186" s="10" t="s">
        <v>34</v>
      </c>
      <c r="K186" s="10" t="s">
        <v>34</v>
      </c>
      <c r="L186" s="10">
        <v>0</v>
      </c>
      <c r="M186" s="10">
        <v>62.47</v>
      </c>
      <c r="N186" s="10" t="s">
        <v>34</v>
      </c>
      <c r="O186" s="10">
        <v>1.2110000000000001</v>
      </c>
      <c r="P186" s="10">
        <v>0.69399999999999995</v>
      </c>
      <c r="Q186" s="10">
        <v>33.200000000000003</v>
      </c>
      <c r="R186" s="10">
        <v>2.56</v>
      </c>
      <c r="S186" s="10" t="s">
        <v>34</v>
      </c>
      <c r="T186" s="10" t="s">
        <v>49</v>
      </c>
      <c r="U186" s="10" t="s">
        <v>306</v>
      </c>
      <c r="V186" s="10" t="s">
        <v>38</v>
      </c>
      <c r="W186" s="10">
        <v>4</v>
      </c>
      <c r="X186" s="10">
        <v>1</v>
      </c>
      <c r="Y186" s="10">
        <v>1</v>
      </c>
      <c r="Z186" s="10" t="s">
        <v>307</v>
      </c>
      <c r="AA186" s="10">
        <v>1.1100000000000001</v>
      </c>
      <c r="AB186" s="10">
        <v>2.5</v>
      </c>
      <c r="AC186" s="10" t="s">
        <v>308</v>
      </c>
      <c r="AD186" s="10" t="s">
        <v>277</v>
      </c>
      <c r="AE186" s="10">
        <v>0.66300000000000003</v>
      </c>
      <c r="AF186" s="10" t="s">
        <v>309</v>
      </c>
      <c r="AG186" s="10">
        <v>2025</v>
      </c>
      <c r="AH186" s="10" t="s">
        <v>310</v>
      </c>
      <c r="AI186" s="10">
        <v>50</v>
      </c>
      <c r="AJ186" s="10">
        <v>2</v>
      </c>
      <c r="AK186" s="10">
        <v>1</v>
      </c>
      <c r="AL186" t="str">
        <f t="shared" si="9"/>
        <v>Chen (2025) -pH controlled</v>
      </c>
    </row>
    <row r="187" spans="1:38" ht="15.6" x14ac:dyDescent="0.3">
      <c r="A187" s="11">
        <v>10.949101796407099</v>
      </c>
      <c r="B187" s="11">
        <v>2127.9069767441802</v>
      </c>
      <c r="C187" s="10" t="s">
        <v>33</v>
      </c>
      <c r="D187" s="10" t="s">
        <v>35</v>
      </c>
      <c r="E187" s="10" t="s">
        <v>170</v>
      </c>
      <c r="F187" s="10" t="s">
        <v>34</v>
      </c>
      <c r="G187" s="10">
        <v>0.51</v>
      </c>
      <c r="H187" s="10" t="s">
        <v>34</v>
      </c>
      <c r="I187" s="10" t="s">
        <v>34</v>
      </c>
      <c r="J187" s="10" t="s">
        <v>34</v>
      </c>
      <c r="K187" s="10" t="s">
        <v>34</v>
      </c>
      <c r="L187" s="10">
        <v>0</v>
      </c>
      <c r="M187" s="10">
        <v>62.47</v>
      </c>
      <c r="N187" s="10" t="s">
        <v>34</v>
      </c>
      <c r="O187" s="10">
        <v>1.2110000000000001</v>
      </c>
      <c r="P187" s="10">
        <v>0.69399999999999995</v>
      </c>
      <c r="Q187" s="10">
        <v>33.200000000000003</v>
      </c>
      <c r="R187" s="10">
        <v>2.56</v>
      </c>
      <c r="S187" s="10" t="s">
        <v>34</v>
      </c>
      <c r="T187" s="10" t="s">
        <v>49</v>
      </c>
      <c r="U187" s="10" t="s">
        <v>306</v>
      </c>
      <c r="V187" s="10" t="s">
        <v>38</v>
      </c>
      <c r="W187" s="10">
        <v>4</v>
      </c>
      <c r="X187" s="10">
        <v>1</v>
      </c>
      <c r="Y187" s="10">
        <v>1</v>
      </c>
      <c r="Z187" s="10" t="s">
        <v>307</v>
      </c>
      <c r="AA187" s="10">
        <v>1.1100000000000001</v>
      </c>
      <c r="AB187" s="10">
        <v>2.5</v>
      </c>
      <c r="AC187" s="10" t="s">
        <v>308</v>
      </c>
      <c r="AD187" s="10" t="s">
        <v>277</v>
      </c>
      <c r="AE187" s="10">
        <v>0.66300000000000003</v>
      </c>
      <c r="AF187" s="10" t="s">
        <v>309</v>
      </c>
      <c r="AG187" s="10">
        <v>2025</v>
      </c>
      <c r="AH187" s="10" t="s">
        <v>310</v>
      </c>
      <c r="AI187" s="10">
        <v>50</v>
      </c>
      <c r="AJ187" s="10">
        <v>2</v>
      </c>
      <c r="AK187" s="10">
        <v>1</v>
      </c>
      <c r="AL187" t="str">
        <f t="shared" si="9"/>
        <v>Chen (2025) -pH controlled</v>
      </c>
    </row>
    <row r="188" spans="1:38" ht="15.6" x14ac:dyDescent="0.3">
      <c r="A188" s="11">
        <v>11.182634730538901</v>
      </c>
      <c r="B188" s="11">
        <v>2006.9767441860399</v>
      </c>
      <c r="C188" s="10" t="s">
        <v>33</v>
      </c>
      <c r="D188" s="10" t="s">
        <v>35</v>
      </c>
      <c r="E188" s="10" t="s">
        <v>170</v>
      </c>
      <c r="F188" s="10" t="s">
        <v>34</v>
      </c>
      <c r="G188" s="10">
        <v>0.51</v>
      </c>
      <c r="H188" s="10" t="s">
        <v>34</v>
      </c>
      <c r="I188" s="10" t="s">
        <v>34</v>
      </c>
      <c r="J188" s="10" t="s">
        <v>34</v>
      </c>
      <c r="K188" s="10" t="s">
        <v>34</v>
      </c>
      <c r="L188" s="10">
        <v>0</v>
      </c>
      <c r="M188" s="10">
        <v>62.47</v>
      </c>
      <c r="N188" s="10" t="s">
        <v>34</v>
      </c>
      <c r="O188" s="10">
        <v>1.2110000000000001</v>
      </c>
      <c r="P188" s="10">
        <v>0.69399999999999995</v>
      </c>
      <c r="Q188" s="10">
        <v>33.200000000000003</v>
      </c>
      <c r="R188" s="10">
        <v>2.56</v>
      </c>
      <c r="S188" s="10" t="s">
        <v>34</v>
      </c>
      <c r="T188" s="10" t="s">
        <v>49</v>
      </c>
      <c r="U188" s="10" t="s">
        <v>306</v>
      </c>
      <c r="V188" s="10" t="s">
        <v>38</v>
      </c>
      <c r="W188" s="10">
        <v>4</v>
      </c>
      <c r="X188" s="10">
        <v>1</v>
      </c>
      <c r="Y188" s="10">
        <v>1</v>
      </c>
      <c r="Z188" s="10" t="s">
        <v>307</v>
      </c>
      <c r="AA188" s="10">
        <v>1.1100000000000001</v>
      </c>
      <c r="AB188" s="10">
        <v>2.5</v>
      </c>
      <c r="AC188" s="10" t="s">
        <v>308</v>
      </c>
      <c r="AD188" s="10" t="s">
        <v>277</v>
      </c>
      <c r="AE188" s="10">
        <v>0.66300000000000003</v>
      </c>
      <c r="AF188" s="10" t="s">
        <v>309</v>
      </c>
      <c r="AG188" s="10">
        <v>2025</v>
      </c>
      <c r="AH188" s="10" t="s">
        <v>310</v>
      </c>
      <c r="AI188" s="10">
        <v>50</v>
      </c>
      <c r="AJ188" s="10">
        <v>2</v>
      </c>
      <c r="AK188" s="10">
        <v>1</v>
      </c>
      <c r="AL188" t="str">
        <f t="shared" si="9"/>
        <v>Chen (2025) -pH controlled</v>
      </c>
    </row>
    <row r="189" spans="1:38" ht="15.6" x14ac:dyDescent="0.3">
      <c r="A189" s="11">
        <v>6.4792899408283997</v>
      </c>
      <c r="B189" s="11">
        <v>790.44117647058704</v>
      </c>
      <c r="C189" s="10" t="s">
        <v>33</v>
      </c>
      <c r="D189" s="10" t="s">
        <v>35</v>
      </c>
      <c r="E189" s="10" t="s">
        <v>170</v>
      </c>
      <c r="F189" s="10" t="s">
        <v>34</v>
      </c>
      <c r="G189" s="10">
        <v>0.51</v>
      </c>
      <c r="H189" s="10" t="s">
        <v>34</v>
      </c>
      <c r="I189" s="10" t="s">
        <v>34</v>
      </c>
      <c r="J189" s="10" t="s">
        <v>34</v>
      </c>
      <c r="K189" s="10" t="s">
        <v>34</v>
      </c>
      <c r="L189" s="10">
        <v>0</v>
      </c>
      <c r="M189" s="10">
        <v>62.47</v>
      </c>
      <c r="N189" s="10" t="s">
        <v>34</v>
      </c>
      <c r="O189" s="10">
        <v>1.2110000000000001</v>
      </c>
      <c r="P189" s="10">
        <v>0.69399999999999995</v>
      </c>
      <c r="Q189" s="10">
        <v>33.200000000000003</v>
      </c>
      <c r="R189" s="10">
        <v>2.56</v>
      </c>
      <c r="S189" s="10" t="s">
        <v>34</v>
      </c>
      <c r="T189" s="10" t="s">
        <v>49</v>
      </c>
      <c r="U189" s="10" t="s">
        <v>306</v>
      </c>
      <c r="V189" s="10" t="s">
        <v>38</v>
      </c>
      <c r="W189" s="10">
        <v>3</v>
      </c>
      <c r="X189" s="10">
        <v>1</v>
      </c>
      <c r="Y189" s="10">
        <v>1</v>
      </c>
      <c r="Z189" s="10" t="s">
        <v>307</v>
      </c>
      <c r="AA189" s="10">
        <v>1.1100000000000001</v>
      </c>
      <c r="AB189" s="10">
        <v>1.5</v>
      </c>
      <c r="AC189" s="10" t="s">
        <v>308</v>
      </c>
      <c r="AD189" s="10" t="s">
        <v>277</v>
      </c>
      <c r="AE189" s="10">
        <v>0.66300000000000003</v>
      </c>
      <c r="AF189" s="10" t="s">
        <v>309</v>
      </c>
      <c r="AG189" s="10">
        <v>2025</v>
      </c>
      <c r="AH189" s="10" t="s">
        <v>310</v>
      </c>
      <c r="AI189" s="10">
        <v>50</v>
      </c>
      <c r="AJ189" s="10">
        <v>2</v>
      </c>
      <c r="AK189" s="10">
        <v>1</v>
      </c>
      <c r="AL189" t="str">
        <f t="shared" si="9"/>
        <v>Chen (2025) -pH controlled</v>
      </c>
    </row>
    <row r="190" spans="1:38" ht="15.6" x14ac:dyDescent="0.3">
      <c r="A190" s="11">
        <v>6.7721893491124199</v>
      </c>
      <c r="B190" s="11">
        <v>631.89338235294099</v>
      </c>
      <c r="C190" s="10" t="s">
        <v>33</v>
      </c>
      <c r="D190" s="10" t="s">
        <v>35</v>
      </c>
      <c r="E190" s="10" t="s">
        <v>170</v>
      </c>
      <c r="F190" s="10" t="s">
        <v>34</v>
      </c>
      <c r="G190" s="10">
        <v>0.51</v>
      </c>
      <c r="H190" s="10" t="s">
        <v>34</v>
      </c>
      <c r="I190" s="10" t="s">
        <v>34</v>
      </c>
      <c r="J190" s="10" t="s">
        <v>34</v>
      </c>
      <c r="K190" s="10" t="s">
        <v>34</v>
      </c>
      <c r="L190" s="10">
        <v>0</v>
      </c>
      <c r="M190" s="10">
        <v>62.47</v>
      </c>
      <c r="N190" s="10" t="s">
        <v>34</v>
      </c>
      <c r="O190" s="10">
        <v>1.2110000000000001</v>
      </c>
      <c r="P190" s="10">
        <v>0.69399999999999995</v>
      </c>
      <c r="Q190" s="10">
        <v>33.200000000000003</v>
      </c>
      <c r="R190" s="10">
        <v>2.56</v>
      </c>
      <c r="S190" s="10" t="s">
        <v>34</v>
      </c>
      <c r="T190" s="10" t="s">
        <v>49</v>
      </c>
      <c r="U190" s="10" t="s">
        <v>306</v>
      </c>
      <c r="V190" s="10" t="s">
        <v>38</v>
      </c>
      <c r="W190" s="10">
        <v>3</v>
      </c>
      <c r="X190" s="10">
        <v>1</v>
      </c>
      <c r="Y190" s="10">
        <v>1</v>
      </c>
      <c r="Z190" s="10" t="s">
        <v>307</v>
      </c>
      <c r="AA190" s="10">
        <v>1.1100000000000001</v>
      </c>
      <c r="AB190" s="10">
        <v>1.5</v>
      </c>
      <c r="AC190" s="10" t="s">
        <v>308</v>
      </c>
      <c r="AD190" s="10" t="s">
        <v>277</v>
      </c>
      <c r="AE190" s="10">
        <v>0.66300000000000003</v>
      </c>
      <c r="AF190" s="10" t="s">
        <v>309</v>
      </c>
      <c r="AG190" s="10">
        <v>2025</v>
      </c>
      <c r="AH190" s="10" t="s">
        <v>310</v>
      </c>
      <c r="AI190" s="10">
        <v>50</v>
      </c>
      <c r="AJ190" s="10">
        <v>2</v>
      </c>
      <c r="AK190" s="10">
        <v>1</v>
      </c>
      <c r="AL190" t="str">
        <f t="shared" si="9"/>
        <v>Chen (2025) -pH controlled</v>
      </c>
    </row>
    <row r="191" spans="1:38" s="117" customFormat="1" ht="16.2" thickBot="1" x14ac:dyDescent="0.35">
      <c r="A191" s="17">
        <v>6.5502958579881598</v>
      </c>
      <c r="B191" s="17">
        <v>546.87499999999898</v>
      </c>
      <c r="C191" s="14" t="s">
        <v>33</v>
      </c>
      <c r="D191" s="14" t="s">
        <v>35</v>
      </c>
      <c r="E191" s="14" t="s">
        <v>170</v>
      </c>
      <c r="F191" s="14" t="s">
        <v>34</v>
      </c>
      <c r="G191" s="14">
        <v>0.51</v>
      </c>
      <c r="H191" s="14" t="s">
        <v>34</v>
      </c>
      <c r="I191" s="14" t="s">
        <v>34</v>
      </c>
      <c r="J191" s="14" t="s">
        <v>34</v>
      </c>
      <c r="K191" s="14" t="s">
        <v>34</v>
      </c>
      <c r="L191" s="14">
        <v>0</v>
      </c>
      <c r="M191" s="14">
        <v>62.47</v>
      </c>
      <c r="N191" s="14" t="s">
        <v>34</v>
      </c>
      <c r="O191" s="14">
        <v>1.2110000000000001</v>
      </c>
      <c r="P191" s="14">
        <v>0.69399999999999995</v>
      </c>
      <c r="Q191" s="14">
        <v>33.200000000000003</v>
      </c>
      <c r="R191" s="14">
        <v>2.56</v>
      </c>
      <c r="S191" s="14" t="s">
        <v>34</v>
      </c>
      <c r="T191" s="14" t="s">
        <v>49</v>
      </c>
      <c r="U191" s="14" t="s">
        <v>306</v>
      </c>
      <c r="V191" s="14" t="s">
        <v>38</v>
      </c>
      <c r="W191" s="14">
        <v>3</v>
      </c>
      <c r="X191" s="14">
        <v>1</v>
      </c>
      <c r="Y191" s="14">
        <v>1</v>
      </c>
      <c r="Z191" s="14" t="s">
        <v>307</v>
      </c>
      <c r="AA191" s="14">
        <v>1.1100000000000001</v>
      </c>
      <c r="AB191" s="14">
        <v>1.5</v>
      </c>
      <c r="AC191" s="14" t="s">
        <v>308</v>
      </c>
      <c r="AD191" s="14" t="s">
        <v>277</v>
      </c>
      <c r="AE191" s="14">
        <v>0.66300000000000003</v>
      </c>
      <c r="AF191" s="14" t="s">
        <v>309</v>
      </c>
      <c r="AG191" s="14">
        <v>2025</v>
      </c>
      <c r="AH191" s="14" t="s">
        <v>310</v>
      </c>
      <c r="AI191" s="14">
        <v>50</v>
      </c>
      <c r="AJ191" s="14">
        <v>2</v>
      </c>
      <c r="AK191" s="14">
        <v>1</v>
      </c>
      <c r="AL191" t="str">
        <f t="shared" si="9"/>
        <v>Chen (2025) -pH controlled</v>
      </c>
    </row>
    <row r="192" spans="1:38" ht="15.6" x14ac:dyDescent="0.3">
      <c r="A192" s="12">
        <v>7.48</v>
      </c>
      <c r="B192" s="12">
        <v>1930</v>
      </c>
      <c r="C192" s="13" t="s">
        <v>311</v>
      </c>
      <c r="D192" s="13" t="s">
        <v>312</v>
      </c>
      <c r="E192" s="13" t="s">
        <v>170</v>
      </c>
      <c r="F192" s="13">
        <v>0.45</v>
      </c>
      <c r="G192" s="13">
        <v>5.65</v>
      </c>
      <c r="H192" s="13">
        <v>1.02</v>
      </c>
      <c r="I192" s="13">
        <v>6.29</v>
      </c>
      <c r="J192" s="13">
        <v>13.98</v>
      </c>
      <c r="K192" s="13">
        <v>0.42</v>
      </c>
      <c r="L192" s="13">
        <v>0.67</v>
      </c>
      <c r="M192" s="13" t="s">
        <v>34</v>
      </c>
      <c r="N192" s="13" t="s">
        <v>34</v>
      </c>
      <c r="O192" s="13" t="s">
        <v>34</v>
      </c>
      <c r="P192" s="13" t="s">
        <v>34</v>
      </c>
      <c r="Q192" s="13">
        <v>0</v>
      </c>
      <c r="R192" s="13" t="s">
        <v>34</v>
      </c>
      <c r="S192" s="13" t="s">
        <v>34</v>
      </c>
      <c r="T192" s="13" t="s">
        <v>49</v>
      </c>
      <c r="U192" s="13" t="s">
        <v>313</v>
      </c>
      <c r="V192" s="13" t="s">
        <v>162</v>
      </c>
      <c r="W192" s="13">
        <v>9</v>
      </c>
      <c r="X192" s="13">
        <v>1</v>
      </c>
      <c r="Y192" s="13">
        <v>1</v>
      </c>
      <c r="Z192" s="13" t="s">
        <v>314</v>
      </c>
      <c r="AA192" s="13">
        <v>0.106</v>
      </c>
      <c r="AB192" s="13" t="s">
        <v>34</v>
      </c>
      <c r="AC192" s="13" t="s">
        <v>40</v>
      </c>
      <c r="AD192" s="13" t="s">
        <v>277</v>
      </c>
      <c r="AE192" s="13">
        <v>0.63300000000000001</v>
      </c>
      <c r="AF192" s="13" t="s">
        <v>315</v>
      </c>
      <c r="AG192" s="13">
        <v>2025</v>
      </c>
      <c r="AH192" s="13" t="s">
        <v>316</v>
      </c>
      <c r="AI192" s="13">
        <v>50</v>
      </c>
      <c r="AJ192" s="13">
        <v>2</v>
      </c>
      <c r="AK192" s="13">
        <v>1</v>
      </c>
      <c r="AL192" t="str">
        <f t="shared" si="9"/>
        <v>Jiang (2025) -Pure</v>
      </c>
    </row>
    <row r="193" spans="1:38" ht="15.6" x14ac:dyDescent="0.3">
      <c r="A193" s="11">
        <v>9.8699999999999992</v>
      </c>
      <c r="B193" s="11">
        <v>2390</v>
      </c>
      <c r="C193" s="10" t="s">
        <v>311</v>
      </c>
      <c r="D193" s="10" t="s">
        <v>312</v>
      </c>
      <c r="E193" s="10" t="s">
        <v>170</v>
      </c>
      <c r="F193" s="10">
        <v>0.45</v>
      </c>
      <c r="G193" s="10">
        <v>5.65</v>
      </c>
      <c r="H193" s="10">
        <v>1.02</v>
      </c>
      <c r="I193" s="10">
        <v>6.29</v>
      </c>
      <c r="J193" s="10">
        <v>13.98</v>
      </c>
      <c r="K193" s="10">
        <v>0.42</v>
      </c>
      <c r="L193" s="10">
        <v>0.67</v>
      </c>
      <c r="M193" s="10" t="s">
        <v>34</v>
      </c>
      <c r="N193" s="10" t="s">
        <v>34</v>
      </c>
      <c r="O193" s="10" t="s">
        <v>34</v>
      </c>
      <c r="P193" s="10" t="s">
        <v>34</v>
      </c>
      <c r="Q193" s="10">
        <v>0</v>
      </c>
      <c r="R193" s="10" t="s">
        <v>34</v>
      </c>
      <c r="S193" s="10" t="s">
        <v>34</v>
      </c>
      <c r="T193" s="10" t="s">
        <v>49</v>
      </c>
      <c r="U193" s="10" t="s">
        <v>313</v>
      </c>
      <c r="V193" s="10" t="s">
        <v>162</v>
      </c>
      <c r="W193" s="10">
        <v>12</v>
      </c>
      <c r="X193" s="10">
        <v>1</v>
      </c>
      <c r="Y193" s="10">
        <v>1</v>
      </c>
      <c r="Z193" s="10" t="s">
        <v>314</v>
      </c>
      <c r="AA193" s="10">
        <v>1.1060000000000001</v>
      </c>
      <c r="AB193" s="10" t="s">
        <v>34</v>
      </c>
      <c r="AC193" s="10" t="s">
        <v>40</v>
      </c>
      <c r="AD193" s="10" t="s">
        <v>277</v>
      </c>
      <c r="AE193" s="10">
        <v>0.63300000000000001</v>
      </c>
      <c r="AF193" s="10" t="s">
        <v>315</v>
      </c>
      <c r="AG193" s="10">
        <v>2025</v>
      </c>
      <c r="AH193" s="10" t="s">
        <v>316</v>
      </c>
      <c r="AI193" s="10">
        <v>50</v>
      </c>
      <c r="AJ193" s="10">
        <v>2</v>
      </c>
      <c r="AK193" s="10">
        <v>1</v>
      </c>
      <c r="AL193" t="str">
        <f t="shared" si="9"/>
        <v>Jiang (2025) -Pure</v>
      </c>
    </row>
    <row r="194" spans="1:38" ht="15.6" x14ac:dyDescent="0.3">
      <c r="A194" s="11">
        <v>12.06</v>
      </c>
      <c r="B194" s="11">
        <v>4130</v>
      </c>
      <c r="C194" s="10" t="s">
        <v>311</v>
      </c>
      <c r="D194" s="10" t="s">
        <v>312</v>
      </c>
      <c r="E194" s="10" t="s">
        <v>170</v>
      </c>
      <c r="F194" s="10">
        <v>0.45</v>
      </c>
      <c r="G194" s="10">
        <v>5.65</v>
      </c>
      <c r="H194" s="10">
        <v>1.02</v>
      </c>
      <c r="I194" s="10">
        <v>6.29</v>
      </c>
      <c r="J194" s="10">
        <v>13.98</v>
      </c>
      <c r="K194" s="10">
        <v>0.42</v>
      </c>
      <c r="L194" s="10">
        <v>0.67</v>
      </c>
      <c r="M194" s="10" t="s">
        <v>34</v>
      </c>
      <c r="N194" s="10" t="s">
        <v>34</v>
      </c>
      <c r="O194" s="10" t="s">
        <v>34</v>
      </c>
      <c r="P194" s="10" t="s">
        <v>34</v>
      </c>
      <c r="Q194" s="10">
        <v>0</v>
      </c>
      <c r="R194" s="10" t="s">
        <v>34</v>
      </c>
      <c r="S194" s="10" t="s">
        <v>34</v>
      </c>
      <c r="T194" s="10" t="s">
        <v>49</v>
      </c>
      <c r="U194" s="10" t="s">
        <v>313</v>
      </c>
      <c r="V194" s="10" t="s">
        <v>162</v>
      </c>
      <c r="W194" s="10">
        <v>15</v>
      </c>
      <c r="X194" s="10">
        <v>1</v>
      </c>
      <c r="Y194" s="10">
        <v>1</v>
      </c>
      <c r="Z194" s="10" t="s">
        <v>314</v>
      </c>
      <c r="AA194" s="10">
        <v>2.1059999999999999</v>
      </c>
      <c r="AB194" s="10" t="s">
        <v>34</v>
      </c>
      <c r="AC194" s="10" t="s">
        <v>40</v>
      </c>
      <c r="AD194" s="10" t="s">
        <v>277</v>
      </c>
      <c r="AE194" s="10">
        <v>0.63300000000000001</v>
      </c>
      <c r="AF194" s="10" t="s">
        <v>315</v>
      </c>
      <c r="AG194" s="10">
        <v>2025</v>
      </c>
      <c r="AH194" s="10" t="s">
        <v>316</v>
      </c>
      <c r="AI194" s="10">
        <v>50</v>
      </c>
      <c r="AJ194" s="10">
        <v>2</v>
      </c>
      <c r="AK194" s="10">
        <v>1</v>
      </c>
      <c r="AL194" t="str">
        <f t="shared" si="9"/>
        <v>Jiang (2025) -Pure</v>
      </c>
    </row>
    <row r="195" spans="1:38" ht="15.6" x14ac:dyDescent="0.3">
      <c r="A195" s="11">
        <v>7.57</v>
      </c>
      <c r="B195" s="11">
        <v>2040</v>
      </c>
      <c r="C195" s="10" t="s">
        <v>311</v>
      </c>
      <c r="D195" s="10" t="s">
        <v>312</v>
      </c>
      <c r="E195" s="10" t="s">
        <v>170</v>
      </c>
      <c r="F195" s="10">
        <v>0.41</v>
      </c>
      <c r="G195" s="10">
        <v>5.0999999999999996</v>
      </c>
      <c r="H195" s="10">
        <v>0.79</v>
      </c>
      <c r="I195" s="10">
        <v>5.84</v>
      </c>
      <c r="J195" s="10">
        <v>14.36</v>
      </c>
      <c r="K195" s="10">
        <v>0.26</v>
      </c>
      <c r="L195" s="10">
        <v>0.57999999999999996</v>
      </c>
      <c r="M195" s="10" t="s">
        <v>34</v>
      </c>
      <c r="N195" s="10" t="s">
        <v>34</v>
      </c>
      <c r="O195" s="10" t="s">
        <v>34</v>
      </c>
      <c r="P195" s="10" t="s">
        <v>34</v>
      </c>
      <c r="Q195" s="10">
        <v>0</v>
      </c>
      <c r="R195" s="10" t="s">
        <v>34</v>
      </c>
      <c r="S195" s="10" t="s">
        <v>34</v>
      </c>
      <c r="T195" s="10" t="s">
        <v>49</v>
      </c>
      <c r="U195" s="10" t="s">
        <v>313</v>
      </c>
      <c r="V195" s="10" t="s">
        <v>162</v>
      </c>
      <c r="W195" s="10">
        <v>9</v>
      </c>
      <c r="X195" s="10">
        <v>1</v>
      </c>
      <c r="Y195" s="10">
        <v>1</v>
      </c>
      <c r="Z195" s="10" t="s">
        <v>314</v>
      </c>
      <c r="AA195" s="10">
        <v>3.1059999999999999</v>
      </c>
      <c r="AB195" s="10" t="s">
        <v>34</v>
      </c>
      <c r="AC195" s="10" t="s">
        <v>40</v>
      </c>
      <c r="AD195" s="10" t="s">
        <v>277</v>
      </c>
      <c r="AE195" s="10">
        <v>0.63300000000000001</v>
      </c>
      <c r="AF195" s="10" t="s">
        <v>315</v>
      </c>
      <c r="AG195" s="10">
        <v>2025</v>
      </c>
      <c r="AH195" s="10" t="s">
        <v>316</v>
      </c>
      <c r="AI195" s="10">
        <v>50</v>
      </c>
      <c r="AJ195" s="10">
        <v>2</v>
      </c>
      <c r="AK195" s="10">
        <v>1</v>
      </c>
      <c r="AL195" t="str">
        <f t="shared" ref="AL195:AL212" si="10">CONCATENATE(AF195," (",AG195,") -",AC195)</f>
        <v>Jiang (2025) -Pure</v>
      </c>
    </row>
    <row r="196" spans="1:38" ht="15.6" x14ac:dyDescent="0.3">
      <c r="A196" s="11">
        <v>9.94</v>
      </c>
      <c r="B196" s="11">
        <v>3020</v>
      </c>
      <c r="C196" s="10" t="s">
        <v>311</v>
      </c>
      <c r="D196" s="10" t="s">
        <v>312</v>
      </c>
      <c r="E196" s="10" t="s">
        <v>170</v>
      </c>
      <c r="F196" s="10">
        <v>0.41</v>
      </c>
      <c r="G196" s="10">
        <v>5.0999999999999996</v>
      </c>
      <c r="H196" s="10">
        <v>0.79</v>
      </c>
      <c r="I196" s="10">
        <v>5.84</v>
      </c>
      <c r="J196" s="10">
        <v>14.36</v>
      </c>
      <c r="K196" s="10">
        <v>0.26</v>
      </c>
      <c r="L196" s="10">
        <v>0.57999999999999996</v>
      </c>
      <c r="M196" s="10" t="s">
        <v>34</v>
      </c>
      <c r="N196" s="10" t="s">
        <v>34</v>
      </c>
      <c r="O196" s="10" t="s">
        <v>34</v>
      </c>
      <c r="P196" s="10" t="s">
        <v>34</v>
      </c>
      <c r="Q196" s="10">
        <v>0</v>
      </c>
      <c r="R196" s="10" t="s">
        <v>34</v>
      </c>
      <c r="S196" s="10" t="s">
        <v>34</v>
      </c>
      <c r="T196" s="10" t="s">
        <v>49</v>
      </c>
      <c r="U196" s="10" t="s">
        <v>313</v>
      </c>
      <c r="V196" s="10" t="s">
        <v>162</v>
      </c>
      <c r="W196" s="10">
        <v>12</v>
      </c>
      <c r="X196" s="10">
        <v>1</v>
      </c>
      <c r="Y196" s="10">
        <v>1</v>
      </c>
      <c r="Z196" s="10" t="s">
        <v>314</v>
      </c>
      <c r="AA196" s="10">
        <v>4.1059999999999999</v>
      </c>
      <c r="AB196" s="10" t="s">
        <v>34</v>
      </c>
      <c r="AC196" s="10" t="s">
        <v>40</v>
      </c>
      <c r="AD196" s="10" t="s">
        <v>277</v>
      </c>
      <c r="AE196" s="10">
        <v>0.63300000000000001</v>
      </c>
      <c r="AF196" s="10" t="s">
        <v>315</v>
      </c>
      <c r="AG196" s="10">
        <v>2025</v>
      </c>
      <c r="AH196" s="10" t="s">
        <v>316</v>
      </c>
      <c r="AI196" s="10">
        <v>50</v>
      </c>
      <c r="AJ196" s="10">
        <v>2</v>
      </c>
      <c r="AK196" s="10">
        <v>1</v>
      </c>
      <c r="AL196" t="str">
        <f t="shared" si="10"/>
        <v>Jiang (2025) -Pure</v>
      </c>
    </row>
    <row r="197" spans="1:38" ht="15.6" x14ac:dyDescent="0.3">
      <c r="A197" s="11">
        <v>11.59</v>
      </c>
      <c r="B197" s="11">
        <v>4180</v>
      </c>
      <c r="C197" s="10" t="s">
        <v>311</v>
      </c>
      <c r="D197" s="10" t="s">
        <v>312</v>
      </c>
      <c r="E197" s="10" t="s">
        <v>170</v>
      </c>
      <c r="F197" s="10">
        <v>0.41</v>
      </c>
      <c r="G197" s="10">
        <v>5.0999999999999996</v>
      </c>
      <c r="H197" s="10">
        <v>0.79</v>
      </c>
      <c r="I197" s="10">
        <v>5.84</v>
      </c>
      <c r="J197" s="10">
        <v>14.36</v>
      </c>
      <c r="K197" s="10">
        <v>0.26</v>
      </c>
      <c r="L197" s="10">
        <v>0.57999999999999996</v>
      </c>
      <c r="M197" s="10" t="s">
        <v>34</v>
      </c>
      <c r="N197" s="10" t="s">
        <v>34</v>
      </c>
      <c r="O197" s="10" t="s">
        <v>34</v>
      </c>
      <c r="P197" s="10" t="s">
        <v>34</v>
      </c>
      <c r="Q197" s="10">
        <v>0</v>
      </c>
      <c r="R197" s="10" t="s">
        <v>34</v>
      </c>
      <c r="S197" s="10" t="s">
        <v>34</v>
      </c>
      <c r="T197" s="10" t="s">
        <v>49</v>
      </c>
      <c r="U197" s="10" t="s">
        <v>313</v>
      </c>
      <c r="V197" s="10" t="s">
        <v>162</v>
      </c>
      <c r="W197" s="10">
        <v>15</v>
      </c>
      <c r="X197" s="10">
        <v>1</v>
      </c>
      <c r="Y197" s="10">
        <v>1</v>
      </c>
      <c r="Z197" s="10" t="s">
        <v>314</v>
      </c>
      <c r="AA197" s="10">
        <v>5.1059999999999999</v>
      </c>
      <c r="AB197" s="10" t="s">
        <v>34</v>
      </c>
      <c r="AC197" s="10" t="s">
        <v>40</v>
      </c>
      <c r="AD197" s="10" t="s">
        <v>277</v>
      </c>
      <c r="AE197" s="10">
        <v>0.63300000000000001</v>
      </c>
      <c r="AF197" s="10" t="s">
        <v>315</v>
      </c>
      <c r="AG197" s="10">
        <v>2025</v>
      </c>
      <c r="AH197" s="10" t="s">
        <v>316</v>
      </c>
      <c r="AI197" s="10">
        <v>50</v>
      </c>
      <c r="AJ197" s="10">
        <v>2</v>
      </c>
      <c r="AK197" s="10">
        <v>1</v>
      </c>
      <c r="AL197" t="str">
        <f t="shared" si="10"/>
        <v>Jiang (2025) -Pure</v>
      </c>
    </row>
    <row r="198" spans="1:38" ht="15.6" x14ac:dyDescent="0.3">
      <c r="A198" s="11">
        <v>7.53</v>
      </c>
      <c r="B198" s="11">
        <v>2790</v>
      </c>
      <c r="C198" s="10" t="s">
        <v>33</v>
      </c>
      <c r="D198" s="10" t="s">
        <v>35</v>
      </c>
      <c r="E198" s="10" t="s">
        <v>170</v>
      </c>
      <c r="F198" s="10">
        <v>0.39</v>
      </c>
      <c r="G198" s="10">
        <v>1.2</v>
      </c>
      <c r="H198" s="10">
        <v>0.69</v>
      </c>
      <c r="I198" s="10">
        <v>5.43</v>
      </c>
      <c r="J198" s="10">
        <v>14.02</v>
      </c>
      <c r="K198" s="10">
        <v>0.23</v>
      </c>
      <c r="L198" s="10">
        <v>0.52</v>
      </c>
      <c r="M198" s="10" t="s">
        <v>34</v>
      </c>
      <c r="N198" s="10" t="s">
        <v>34</v>
      </c>
      <c r="O198" s="10" t="s">
        <v>34</v>
      </c>
      <c r="P198" s="10" t="s">
        <v>34</v>
      </c>
      <c r="Q198" s="10">
        <v>0</v>
      </c>
      <c r="R198" s="10" t="s">
        <v>34</v>
      </c>
      <c r="S198" s="10" t="s">
        <v>34</v>
      </c>
      <c r="T198" s="10" t="s">
        <v>49</v>
      </c>
      <c r="U198" s="10" t="s">
        <v>313</v>
      </c>
      <c r="V198" s="10" t="s">
        <v>162</v>
      </c>
      <c r="W198" s="10">
        <v>9</v>
      </c>
      <c r="X198" s="10">
        <v>1</v>
      </c>
      <c r="Y198" s="10">
        <v>1</v>
      </c>
      <c r="Z198" s="10" t="s">
        <v>314</v>
      </c>
      <c r="AA198" s="10">
        <v>6.1059999999999999</v>
      </c>
      <c r="AB198" s="10" t="s">
        <v>34</v>
      </c>
      <c r="AC198" s="10" t="s">
        <v>40</v>
      </c>
      <c r="AD198" s="10" t="s">
        <v>277</v>
      </c>
      <c r="AE198" s="10">
        <v>0.63300000000000001</v>
      </c>
      <c r="AF198" s="10" t="s">
        <v>315</v>
      </c>
      <c r="AG198" s="10">
        <v>2025</v>
      </c>
      <c r="AH198" s="10" t="s">
        <v>316</v>
      </c>
      <c r="AI198" s="10">
        <v>50</v>
      </c>
      <c r="AJ198" s="10">
        <v>2</v>
      </c>
      <c r="AK198" s="10">
        <v>1</v>
      </c>
      <c r="AL198" t="str">
        <f t="shared" si="10"/>
        <v>Jiang (2025) -Pure</v>
      </c>
    </row>
    <row r="199" spans="1:38" ht="15.6" x14ac:dyDescent="0.3">
      <c r="A199" s="11">
        <v>9.83</v>
      </c>
      <c r="B199" s="11">
        <v>4080</v>
      </c>
      <c r="C199" s="10" t="s">
        <v>33</v>
      </c>
      <c r="D199" s="10" t="s">
        <v>35</v>
      </c>
      <c r="E199" s="10" t="s">
        <v>170</v>
      </c>
      <c r="F199" s="10">
        <v>0.39</v>
      </c>
      <c r="G199" s="10">
        <v>1.2</v>
      </c>
      <c r="H199" s="10">
        <v>0.69</v>
      </c>
      <c r="I199" s="10">
        <v>5.43</v>
      </c>
      <c r="J199" s="10">
        <v>14.02</v>
      </c>
      <c r="K199" s="10">
        <v>0.23</v>
      </c>
      <c r="L199" s="10">
        <v>0.52</v>
      </c>
      <c r="M199" s="10" t="s">
        <v>34</v>
      </c>
      <c r="N199" s="10" t="s">
        <v>34</v>
      </c>
      <c r="O199" s="10" t="s">
        <v>34</v>
      </c>
      <c r="P199" s="10" t="s">
        <v>34</v>
      </c>
      <c r="Q199" s="10">
        <v>0</v>
      </c>
      <c r="R199" s="10" t="s">
        <v>34</v>
      </c>
      <c r="S199" s="10" t="s">
        <v>34</v>
      </c>
      <c r="T199" s="10" t="s">
        <v>49</v>
      </c>
      <c r="U199" s="10" t="s">
        <v>313</v>
      </c>
      <c r="V199" s="10" t="s">
        <v>162</v>
      </c>
      <c r="W199" s="10">
        <v>12</v>
      </c>
      <c r="X199" s="10">
        <v>1</v>
      </c>
      <c r="Y199" s="10">
        <v>1</v>
      </c>
      <c r="Z199" s="10" t="s">
        <v>314</v>
      </c>
      <c r="AA199" s="10">
        <v>7.1059999999999999</v>
      </c>
      <c r="AB199" s="10" t="s">
        <v>34</v>
      </c>
      <c r="AC199" s="10" t="s">
        <v>40</v>
      </c>
      <c r="AD199" s="10" t="s">
        <v>277</v>
      </c>
      <c r="AE199" s="10">
        <v>0.63300000000000001</v>
      </c>
      <c r="AF199" s="10" t="s">
        <v>315</v>
      </c>
      <c r="AG199" s="10">
        <v>2025</v>
      </c>
      <c r="AH199" s="10" t="s">
        <v>316</v>
      </c>
      <c r="AI199" s="10">
        <v>50</v>
      </c>
      <c r="AJ199" s="10">
        <v>2</v>
      </c>
      <c r="AK199" s="10">
        <v>1</v>
      </c>
      <c r="AL199" t="str">
        <f t="shared" si="10"/>
        <v>Jiang (2025) -Pure</v>
      </c>
    </row>
    <row r="200" spans="1:38" ht="15.6" x14ac:dyDescent="0.3">
      <c r="A200" s="11">
        <v>11.07</v>
      </c>
      <c r="B200" s="11">
        <v>4240</v>
      </c>
      <c r="C200" s="10" t="s">
        <v>33</v>
      </c>
      <c r="D200" s="10" t="s">
        <v>35</v>
      </c>
      <c r="E200" s="10" t="s">
        <v>170</v>
      </c>
      <c r="F200" s="10">
        <v>0.39</v>
      </c>
      <c r="G200" s="10">
        <v>1.2</v>
      </c>
      <c r="H200" s="10">
        <v>0.69</v>
      </c>
      <c r="I200" s="10">
        <v>5.43</v>
      </c>
      <c r="J200" s="10">
        <v>14.02</v>
      </c>
      <c r="K200" s="10">
        <v>0.23</v>
      </c>
      <c r="L200" s="10">
        <v>0.52</v>
      </c>
      <c r="M200" s="10" t="s">
        <v>34</v>
      </c>
      <c r="N200" s="10" t="s">
        <v>34</v>
      </c>
      <c r="O200" s="10" t="s">
        <v>34</v>
      </c>
      <c r="P200" s="10" t="s">
        <v>34</v>
      </c>
      <c r="Q200" s="10">
        <v>0</v>
      </c>
      <c r="R200" s="10" t="s">
        <v>34</v>
      </c>
      <c r="S200" s="10" t="s">
        <v>34</v>
      </c>
      <c r="T200" s="10" t="s">
        <v>49</v>
      </c>
      <c r="U200" s="10" t="s">
        <v>313</v>
      </c>
      <c r="V200" s="10" t="s">
        <v>162</v>
      </c>
      <c r="W200" s="10">
        <v>15</v>
      </c>
      <c r="X200" s="10">
        <v>1</v>
      </c>
      <c r="Y200" s="10">
        <v>1</v>
      </c>
      <c r="Z200" s="10" t="s">
        <v>314</v>
      </c>
      <c r="AA200" s="10">
        <v>8.1059999999999999</v>
      </c>
      <c r="AB200" s="10" t="s">
        <v>34</v>
      </c>
      <c r="AC200" s="10" t="s">
        <v>40</v>
      </c>
      <c r="AD200" s="10" t="s">
        <v>277</v>
      </c>
      <c r="AE200" s="10">
        <v>0.63300000000000001</v>
      </c>
      <c r="AF200" s="10" t="s">
        <v>315</v>
      </c>
      <c r="AG200" s="10">
        <v>2025</v>
      </c>
      <c r="AH200" s="10" t="s">
        <v>316</v>
      </c>
      <c r="AI200" s="10">
        <v>50</v>
      </c>
      <c r="AJ200" s="10">
        <v>2</v>
      </c>
      <c r="AK200" s="10">
        <v>1</v>
      </c>
      <c r="AL200" t="str">
        <f t="shared" si="10"/>
        <v>Jiang (2025) -Pure</v>
      </c>
    </row>
    <row r="201" spans="1:38" ht="15.6" x14ac:dyDescent="0.3">
      <c r="A201" s="11">
        <v>7.56</v>
      </c>
      <c r="B201" s="11">
        <v>2940</v>
      </c>
      <c r="C201" s="10" t="s">
        <v>33</v>
      </c>
      <c r="D201" s="10" t="s">
        <v>35</v>
      </c>
      <c r="E201" s="10" t="s">
        <v>170</v>
      </c>
      <c r="F201" s="10">
        <v>0.37</v>
      </c>
      <c r="G201" s="10">
        <v>1.08</v>
      </c>
      <c r="H201" s="10">
        <v>0.62</v>
      </c>
      <c r="I201" s="10">
        <v>2.88</v>
      </c>
      <c r="J201" s="10">
        <v>7.68</v>
      </c>
      <c r="K201" s="10">
        <v>0.36</v>
      </c>
      <c r="L201" s="10">
        <v>0.4</v>
      </c>
      <c r="M201" s="10" t="s">
        <v>34</v>
      </c>
      <c r="N201" s="10" t="s">
        <v>34</v>
      </c>
      <c r="O201" s="10" t="s">
        <v>34</v>
      </c>
      <c r="P201" s="10" t="s">
        <v>34</v>
      </c>
      <c r="Q201" s="10">
        <v>0</v>
      </c>
      <c r="R201" s="10" t="s">
        <v>34</v>
      </c>
      <c r="S201" s="10" t="s">
        <v>34</v>
      </c>
      <c r="T201" s="10" t="s">
        <v>49</v>
      </c>
      <c r="U201" s="10" t="s">
        <v>313</v>
      </c>
      <c r="V201" s="10" t="s">
        <v>162</v>
      </c>
      <c r="W201" s="10">
        <v>9</v>
      </c>
      <c r="X201" s="10">
        <v>1</v>
      </c>
      <c r="Y201" s="10">
        <v>1</v>
      </c>
      <c r="Z201" s="10" t="s">
        <v>314</v>
      </c>
      <c r="AA201" s="10">
        <v>9.1059999999999999</v>
      </c>
      <c r="AB201" s="10" t="s">
        <v>34</v>
      </c>
      <c r="AC201" s="10" t="s">
        <v>40</v>
      </c>
      <c r="AD201" s="10" t="s">
        <v>277</v>
      </c>
      <c r="AE201" s="10">
        <v>0.63300000000000001</v>
      </c>
      <c r="AF201" s="10" t="s">
        <v>315</v>
      </c>
      <c r="AG201" s="10">
        <v>2025</v>
      </c>
      <c r="AH201" s="10" t="s">
        <v>316</v>
      </c>
      <c r="AI201" s="10">
        <v>50</v>
      </c>
      <c r="AJ201" s="10">
        <v>2</v>
      </c>
      <c r="AK201" s="10">
        <v>1</v>
      </c>
      <c r="AL201" t="str">
        <f t="shared" si="10"/>
        <v>Jiang (2025) -Pure</v>
      </c>
    </row>
    <row r="202" spans="1:38" ht="15.6" x14ac:dyDescent="0.3">
      <c r="A202" s="11">
        <v>9.83</v>
      </c>
      <c r="B202" s="11">
        <v>4160</v>
      </c>
      <c r="C202" s="10" t="s">
        <v>33</v>
      </c>
      <c r="D202" s="10" t="s">
        <v>35</v>
      </c>
      <c r="E202" s="10" t="s">
        <v>170</v>
      </c>
      <c r="F202" s="10">
        <v>0.37</v>
      </c>
      <c r="G202" s="10">
        <v>1.08</v>
      </c>
      <c r="H202" s="10">
        <v>0.62</v>
      </c>
      <c r="I202" s="10">
        <v>2.88</v>
      </c>
      <c r="J202" s="10">
        <v>7.68</v>
      </c>
      <c r="K202" s="10">
        <v>0.36</v>
      </c>
      <c r="L202" s="10">
        <v>0.4</v>
      </c>
      <c r="M202" s="10" t="s">
        <v>34</v>
      </c>
      <c r="N202" s="10" t="s">
        <v>34</v>
      </c>
      <c r="O202" s="10" t="s">
        <v>34</v>
      </c>
      <c r="P202" s="10" t="s">
        <v>34</v>
      </c>
      <c r="Q202" s="10">
        <v>0</v>
      </c>
      <c r="R202" s="10" t="s">
        <v>34</v>
      </c>
      <c r="S202" s="10" t="s">
        <v>34</v>
      </c>
      <c r="T202" s="10" t="s">
        <v>49</v>
      </c>
      <c r="U202" s="10" t="s">
        <v>313</v>
      </c>
      <c r="V202" s="10" t="s">
        <v>162</v>
      </c>
      <c r="W202" s="10">
        <v>12</v>
      </c>
      <c r="X202" s="10">
        <v>1</v>
      </c>
      <c r="Y202" s="10">
        <v>1</v>
      </c>
      <c r="Z202" s="10" t="s">
        <v>314</v>
      </c>
      <c r="AA202" s="10">
        <v>10.106</v>
      </c>
      <c r="AB202" s="10" t="s">
        <v>34</v>
      </c>
      <c r="AC202" s="10" t="s">
        <v>40</v>
      </c>
      <c r="AD202" s="10" t="s">
        <v>277</v>
      </c>
      <c r="AE202" s="10">
        <v>0.63300000000000001</v>
      </c>
      <c r="AF202" s="10" t="s">
        <v>315</v>
      </c>
      <c r="AG202" s="10">
        <v>2025</v>
      </c>
      <c r="AH202" s="10" t="s">
        <v>316</v>
      </c>
      <c r="AI202" s="10">
        <v>50</v>
      </c>
      <c r="AJ202" s="10">
        <v>2</v>
      </c>
      <c r="AK202" s="10">
        <v>1</v>
      </c>
      <c r="AL202" t="str">
        <f t="shared" si="10"/>
        <v>Jiang (2025) -Pure</v>
      </c>
    </row>
    <row r="203" spans="1:38" ht="15.6" x14ac:dyDescent="0.3">
      <c r="A203" s="11">
        <v>11.03</v>
      </c>
      <c r="B203" s="11">
        <v>4370</v>
      </c>
      <c r="C203" s="10" t="s">
        <v>33</v>
      </c>
      <c r="D203" s="10" t="s">
        <v>35</v>
      </c>
      <c r="E203" s="10" t="s">
        <v>170</v>
      </c>
      <c r="F203" s="10">
        <v>0.37</v>
      </c>
      <c r="G203" s="10">
        <v>1.08</v>
      </c>
      <c r="H203" s="10">
        <v>0.62</v>
      </c>
      <c r="I203" s="10">
        <v>2.88</v>
      </c>
      <c r="J203" s="10">
        <v>7.68</v>
      </c>
      <c r="K203" s="10">
        <v>0.36</v>
      </c>
      <c r="L203" s="10">
        <v>0.4</v>
      </c>
      <c r="M203" s="10" t="s">
        <v>34</v>
      </c>
      <c r="N203" s="10" t="s">
        <v>34</v>
      </c>
      <c r="O203" s="10" t="s">
        <v>34</v>
      </c>
      <c r="P203" s="10" t="s">
        <v>34</v>
      </c>
      <c r="Q203" s="10">
        <v>0</v>
      </c>
      <c r="R203" s="10" t="s">
        <v>34</v>
      </c>
      <c r="S203" s="10" t="s">
        <v>34</v>
      </c>
      <c r="T203" s="10" t="s">
        <v>49</v>
      </c>
      <c r="U203" s="10" t="s">
        <v>313</v>
      </c>
      <c r="V203" s="10" t="s">
        <v>162</v>
      </c>
      <c r="W203" s="10">
        <v>15</v>
      </c>
      <c r="X203" s="10">
        <v>1</v>
      </c>
      <c r="Y203" s="10">
        <v>1</v>
      </c>
      <c r="Z203" s="10" t="s">
        <v>314</v>
      </c>
      <c r="AA203" s="10">
        <v>11.106</v>
      </c>
      <c r="AB203" s="10" t="s">
        <v>34</v>
      </c>
      <c r="AC203" s="10" t="s">
        <v>40</v>
      </c>
      <c r="AD203" s="10" t="s">
        <v>277</v>
      </c>
      <c r="AE203" s="10">
        <v>0.63300000000000001</v>
      </c>
      <c r="AF203" s="10" t="s">
        <v>315</v>
      </c>
      <c r="AG203" s="10">
        <v>2025</v>
      </c>
      <c r="AH203" s="10" t="s">
        <v>316</v>
      </c>
      <c r="AI203" s="10">
        <v>50</v>
      </c>
      <c r="AJ203" s="10">
        <v>2</v>
      </c>
      <c r="AK203" s="10">
        <v>1</v>
      </c>
      <c r="AL203" t="str">
        <f t="shared" si="10"/>
        <v>Jiang (2025) -Pure</v>
      </c>
    </row>
    <row r="204" spans="1:38" ht="15.6" x14ac:dyDescent="0.3">
      <c r="A204" s="11">
        <v>7.57</v>
      </c>
      <c r="B204" s="11">
        <v>3060</v>
      </c>
      <c r="C204" s="10" t="s">
        <v>33</v>
      </c>
      <c r="D204" s="10" t="s">
        <v>35</v>
      </c>
      <c r="E204" s="10" t="s">
        <v>170</v>
      </c>
      <c r="F204" s="10">
        <v>0.37</v>
      </c>
      <c r="G204" s="10">
        <v>0.98</v>
      </c>
      <c r="H204" s="10">
        <v>0.59</v>
      </c>
      <c r="I204" s="10">
        <v>1.2</v>
      </c>
      <c r="J204" s="10">
        <v>3.27</v>
      </c>
      <c r="K204" s="10">
        <v>0.79</v>
      </c>
      <c r="L204" s="10">
        <v>0.43</v>
      </c>
      <c r="M204" s="10" t="s">
        <v>34</v>
      </c>
      <c r="N204" s="10" t="s">
        <v>34</v>
      </c>
      <c r="O204" s="10" t="s">
        <v>34</v>
      </c>
      <c r="P204" s="10" t="s">
        <v>34</v>
      </c>
      <c r="Q204" s="10">
        <v>0</v>
      </c>
      <c r="R204" s="10" t="s">
        <v>34</v>
      </c>
      <c r="S204" s="10" t="s">
        <v>34</v>
      </c>
      <c r="T204" s="10" t="s">
        <v>49</v>
      </c>
      <c r="U204" s="10" t="s">
        <v>313</v>
      </c>
      <c r="V204" s="10" t="s">
        <v>162</v>
      </c>
      <c r="W204" s="10">
        <v>9</v>
      </c>
      <c r="X204" s="10">
        <v>1</v>
      </c>
      <c r="Y204" s="10">
        <v>1</v>
      </c>
      <c r="Z204" s="10" t="s">
        <v>314</v>
      </c>
      <c r="AA204" s="10">
        <v>12.106</v>
      </c>
      <c r="AB204" s="10" t="s">
        <v>34</v>
      </c>
      <c r="AC204" s="10" t="s">
        <v>40</v>
      </c>
      <c r="AD204" s="10" t="s">
        <v>277</v>
      </c>
      <c r="AE204" s="10">
        <v>0.63300000000000001</v>
      </c>
      <c r="AF204" s="10" t="s">
        <v>315</v>
      </c>
      <c r="AG204" s="10">
        <v>2025</v>
      </c>
      <c r="AH204" s="10" t="s">
        <v>316</v>
      </c>
      <c r="AI204" s="10">
        <v>50</v>
      </c>
      <c r="AJ204" s="10">
        <v>2</v>
      </c>
      <c r="AK204" s="10">
        <v>1</v>
      </c>
      <c r="AL204" t="str">
        <f t="shared" si="10"/>
        <v>Jiang (2025) -Pure</v>
      </c>
    </row>
    <row r="205" spans="1:38" ht="15.6" x14ac:dyDescent="0.3">
      <c r="A205" s="11">
        <v>10.050000000000001</v>
      </c>
      <c r="B205" s="11">
        <v>4180</v>
      </c>
      <c r="C205" s="10" t="s">
        <v>33</v>
      </c>
      <c r="D205" s="10" t="s">
        <v>35</v>
      </c>
      <c r="E205" s="10" t="s">
        <v>170</v>
      </c>
      <c r="F205" s="10">
        <v>0.37</v>
      </c>
      <c r="G205" s="10">
        <v>0.98</v>
      </c>
      <c r="H205" s="10">
        <v>0.59</v>
      </c>
      <c r="I205" s="10">
        <v>1.2</v>
      </c>
      <c r="J205" s="10">
        <v>3.27</v>
      </c>
      <c r="K205" s="10">
        <v>0.79</v>
      </c>
      <c r="L205" s="10">
        <v>0.43</v>
      </c>
      <c r="M205" s="10" t="s">
        <v>34</v>
      </c>
      <c r="N205" s="10" t="s">
        <v>34</v>
      </c>
      <c r="O205" s="10" t="s">
        <v>34</v>
      </c>
      <c r="P205" s="10" t="s">
        <v>34</v>
      </c>
      <c r="Q205" s="10">
        <v>0</v>
      </c>
      <c r="R205" s="10" t="s">
        <v>34</v>
      </c>
      <c r="S205" s="10" t="s">
        <v>34</v>
      </c>
      <c r="T205" s="10" t="s">
        <v>49</v>
      </c>
      <c r="U205" s="10" t="s">
        <v>313</v>
      </c>
      <c r="V205" s="10" t="s">
        <v>162</v>
      </c>
      <c r="W205" s="10">
        <v>12</v>
      </c>
      <c r="X205" s="10">
        <v>1</v>
      </c>
      <c r="Y205" s="10">
        <v>1</v>
      </c>
      <c r="Z205" s="10" t="s">
        <v>314</v>
      </c>
      <c r="AA205" s="10">
        <v>13.106</v>
      </c>
      <c r="AB205" s="10" t="s">
        <v>34</v>
      </c>
      <c r="AC205" s="10" t="s">
        <v>40</v>
      </c>
      <c r="AD205" s="10" t="s">
        <v>277</v>
      </c>
      <c r="AE205" s="10">
        <v>0.63300000000000001</v>
      </c>
      <c r="AF205" s="10" t="s">
        <v>315</v>
      </c>
      <c r="AG205" s="10">
        <v>2025</v>
      </c>
      <c r="AH205" s="10" t="s">
        <v>316</v>
      </c>
      <c r="AI205" s="10">
        <v>50</v>
      </c>
      <c r="AJ205" s="10">
        <v>2</v>
      </c>
      <c r="AK205" s="10">
        <v>1</v>
      </c>
      <c r="AL205" t="str">
        <f t="shared" si="10"/>
        <v>Jiang (2025) -Pure</v>
      </c>
    </row>
    <row r="206" spans="1:38" s="117" customFormat="1" ht="16.2" thickBot="1" x14ac:dyDescent="0.35">
      <c r="A206" s="17">
        <v>11.06</v>
      </c>
      <c r="B206" s="17">
        <v>4440</v>
      </c>
      <c r="C206" s="14" t="s">
        <v>33</v>
      </c>
      <c r="D206" s="14" t="s">
        <v>35</v>
      </c>
      <c r="E206" s="14" t="s">
        <v>170</v>
      </c>
      <c r="F206" s="14">
        <v>0.37</v>
      </c>
      <c r="G206" s="14">
        <v>0.98</v>
      </c>
      <c r="H206" s="14">
        <v>0.59</v>
      </c>
      <c r="I206" s="14">
        <v>1.2</v>
      </c>
      <c r="J206" s="14">
        <v>3.27</v>
      </c>
      <c r="K206" s="14">
        <v>0.79</v>
      </c>
      <c r="L206" s="14">
        <v>0.43</v>
      </c>
      <c r="M206" s="14" t="s">
        <v>34</v>
      </c>
      <c r="N206" s="14" t="s">
        <v>34</v>
      </c>
      <c r="O206" s="14" t="s">
        <v>34</v>
      </c>
      <c r="P206" s="14" t="s">
        <v>34</v>
      </c>
      <c r="Q206" s="14">
        <v>0</v>
      </c>
      <c r="R206" s="14" t="s">
        <v>34</v>
      </c>
      <c r="S206" s="14" t="s">
        <v>34</v>
      </c>
      <c r="T206" s="14" t="s">
        <v>49</v>
      </c>
      <c r="U206" s="14" t="s">
        <v>313</v>
      </c>
      <c r="V206" s="14" t="s">
        <v>162</v>
      </c>
      <c r="W206" s="14">
        <v>15</v>
      </c>
      <c r="X206" s="14">
        <v>1</v>
      </c>
      <c r="Y206" s="14">
        <v>1</v>
      </c>
      <c r="Z206" s="14" t="s">
        <v>314</v>
      </c>
      <c r="AA206" s="14">
        <v>14.106</v>
      </c>
      <c r="AB206" s="14" t="s">
        <v>34</v>
      </c>
      <c r="AC206" s="14" t="s">
        <v>40</v>
      </c>
      <c r="AD206" s="14" t="s">
        <v>277</v>
      </c>
      <c r="AE206" s="14">
        <v>0.63300000000000001</v>
      </c>
      <c r="AF206" s="14" t="s">
        <v>315</v>
      </c>
      <c r="AG206" s="14">
        <v>2025</v>
      </c>
      <c r="AH206" s="14" t="s">
        <v>316</v>
      </c>
      <c r="AI206" s="14">
        <v>50</v>
      </c>
      <c r="AJ206" s="14">
        <v>2</v>
      </c>
      <c r="AK206" s="14">
        <v>1</v>
      </c>
      <c r="AL206" s="117" t="str">
        <f t="shared" si="10"/>
        <v>Jiang (2025) -Pure</v>
      </c>
    </row>
    <row r="207" spans="1:38" ht="15.6" x14ac:dyDescent="0.3">
      <c r="A207" s="12">
        <v>0.5</v>
      </c>
      <c r="B207" s="12">
        <v>77.2</v>
      </c>
      <c r="C207" s="13" t="s">
        <v>33</v>
      </c>
      <c r="D207" s="13" t="s">
        <v>341</v>
      </c>
      <c r="E207" s="13" t="s">
        <v>170</v>
      </c>
      <c r="F207" s="13">
        <v>0.23</v>
      </c>
      <c r="G207" s="13">
        <v>0.36</v>
      </c>
      <c r="H207" s="13">
        <v>0.31900000000000001</v>
      </c>
      <c r="I207" s="13">
        <v>0.4</v>
      </c>
      <c r="J207" s="13">
        <v>1.74</v>
      </c>
      <c r="K207" s="13">
        <v>1.1100000000000001</v>
      </c>
      <c r="L207" s="13">
        <v>0</v>
      </c>
      <c r="M207" s="13">
        <v>45</v>
      </c>
      <c r="N207" s="13">
        <v>1632</v>
      </c>
      <c r="O207" s="13">
        <v>0.753</v>
      </c>
      <c r="P207" s="13">
        <v>0.46700000000000003</v>
      </c>
      <c r="Q207" s="13">
        <v>0</v>
      </c>
      <c r="R207" s="13">
        <v>2.65</v>
      </c>
      <c r="S207" s="13">
        <v>8.3300000000000008E-4</v>
      </c>
      <c r="T207" s="13" t="s">
        <v>49</v>
      </c>
      <c r="U207" s="13" t="s">
        <v>262</v>
      </c>
      <c r="V207" s="13" t="s">
        <v>162</v>
      </c>
      <c r="W207" s="13">
        <v>1</v>
      </c>
      <c r="X207" s="13">
        <v>0.5</v>
      </c>
      <c r="Y207" s="13">
        <v>1</v>
      </c>
      <c r="Z207" s="13" t="s">
        <v>262</v>
      </c>
      <c r="AA207" s="13">
        <v>0.45419999999999999</v>
      </c>
      <c r="AB207" s="13" t="s">
        <v>34</v>
      </c>
      <c r="AC207" s="13" t="s">
        <v>40</v>
      </c>
      <c r="AD207" s="13" t="s">
        <v>32</v>
      </c>
      <c r="AE207" s="13">
        <v>0.95209999999999995</v>
      </c>
      <c r="AF207" s="13" t="s">
        <v>342</v>
      </c>
      <c r="AG207" s="13">
        <v>2024</v>
      </c>
      <c r="AH207" s="13" t="s">
        <v>343</v>
      </c>
      <c r="AI207" s="13">
        <v>50</v>
      </c>
      <c r="AJ207" s="13">
        <v>2</v>
      </c>
      <c r="AK207" s="13" t="s">
        <v>34</v>
      </c>
      <c r="AL207" t="str">
        <f t="shared" si="10"/>
        <v>Liu (2024) -Pure</v>
      </c>
    </row>
    <row r="208" spans="1:38" ht="15.6" x14ac:dyDescent="0.3">
      <c r="A208" s="11">
        <v>1</v>
      </c>
      <c r="B208" s="11">
        <v>380.2</v>
      </c>
      <c r="C208" s="10" t="s">
        <v>33</v>
      </c>
      <c r="D208" s="10" t="s">
        <v>341</v>
      </c>
      <c r="E208" s="10" t="s">
        <v>170</v>
      </c>
      <c r="F208" s="10">
        <v>0.23</v>
      </c>
      <c r="G208" s="10">
        <v>0.36</v>
      </c>
      <c r="H208" s="10">
        <v>0.31900000000000001</v>
      </c>
      <c r="I208" s="10">
        <v>0.4</v>
      </c>
      <c r="J208" s="10">
        <v>1.74</v>
      </c>
      <c r="K208" s="10">
        <v>1.1100000000000001</v>
      </c>
      <c r="L208" s="10">
        <v>0</v>
      </c>
      <c r="M208" s="10">
        <v>45</v>
      </c>
      <c r="N208" s="10">
        <v>1632</v>
      </c>
      <c r="O208" s="10">
        <v>0.753</v>
      </c>
      <c r="P208" s="10">
        <v>0.46700000000000003</v>
      </c>
      <c r="Q208" s="10">
        <v>0</v>
      </c>
      <c r="R208" s="10">
        <v>2.65</v>
      </c>
      <c r="S208" s="10">
        <v>8.3300000000000008E-4</v>
      </c>
      <c r="T208" s="10" t="s">
        <v>49</v>
      </c>
      <c r="U208" s="10" t="s">
        <v>262</v>
      </c>
      <c r="V208" s="10" t="s">
        <v>162</v>
      </c>
      <c r="W208" s="10">
        <v>1</v>
      </c>
      <c r="X208" s="10">
        <v>1</v>
      </c>
      <c r="Y208" s="10">
        <v>1</v>
      </c>
      <c r="Z208" s="10" t="s">
        <v>262</v>
      </c>
      <c r="AA208" s="10">
        <v>0.90839999999999999</v>
      </c>
      <c r="AB208" s="10" t="s">
        <v>34</v>
      </c>
      <c r="AC208" s="10" t="s">
        <v>40</v>
      </c>
      <c r="AD208" s="10" t="s">
        <v>32</v>
      </c>
      <c r="AE208" s="10">
        <v>1.9520999999999999</v>
      </c>
      <c r="AF208" s="10" t="s">
        <v>342</v>
      </c>
      <c r="AG208" s="10">
        <v>2024</v>
      </c>
      <c r="AH208" s="10" t="s">
        <v>343</v>
      </c>
      <c r="AI208" s="10">
        <v>50</v>
      </c>
      <c r="AJ208" s="10">
        <v>2</v>
      </c>
      <c r="AK208" s="10" t="s">
        <v>34</v>
      </c>
      <c r="AL208" t="str">
        <f t="shared" si="10"/>
        <v>Liu (2024) -Pure</v>
      </c>
    </row>
    <row r="209" spans="1:38" ht="15.6" x14ac:dyDescent="0.3">
      <c r="A209" s="11">
        <v>1.5</v>
      </c>
      <c r="B209" s="11">
        <v>561.1</v>
      </c>
      <c r="C209" s="10" t="s">
        <v>33</v>
      </c>
      <c r="D209" s="10" t="s">
        <v>341</v>
      </c>
      <c r="E209" s="10" t="s">
        <v>170</v>
      </c>
      <c r="F209" s="10">
        <v>0.23</v>
      </c>
      <c r="G209" s="10">
        <v>0.36</v>
      </c>
      <c r="H209" s="10">
        <v>0.31900000000000001</v>
      </c>
      <c r="I209" s="10">
        <v>0.4</v>
      </c>
      <c r="J209" s="10">
        <v>1.74</v>
      </c>
      <c r="K209" s="10">
        <v>1.1100000000000001</v>
      </c>
      <c r="L209" s="10">
        <v>0</v>
      </c>
      <c r="M209" s="10">
        <v>45</v>
      </c>
      <c r="N209" s="10">
        <v>1632</v>
      </c>
      <c r="O209" s="10">
        <v>0.753</v>
      </c>
      <c r="P209" s="10">
        <v>0.46700000000000003</v>
      </c>
      <c r="Q209" s="10">
        <v>0</v>
      </c>
      <c r="R209" s="10">
        <v>2.65</v>
      </c>
      <c r="S209" s="10">
        <v>8.3300000000000008E-4</v>
      </c>
      <c r="T209" s="10" t="s">
        <v>49</v>
      </c>
      <c r="U209" s="10" t="s">
        <v>262</v>
      </c>
      <c r="V209" s="10" t="s">
        <v>162</v>
      </c>
      <c r="W209" s="10">
        <v>1</v>
      </c>
      <c r="X209" s="10">
        <v>1.5</v>
      </c>
      <c r="Y209" s="10">
        <v>1</v>
      </c>
      <c r="Z209" s="10" t="s">
        <v>262</v>
      </c>
      <c r="AA209" s="10">
        <v>1.3632</v>
      </c>
      <c r="AB209" s="10" t="s">
        <v>34</v>
      </c>
      <c r="AC209" s="10" t="s">
        <v>40</v>
      </c>
      <c r="AD209" s="10" t="s">
        <v>32</v>
      </c>
      <c r="AE209" s="10">
        <v>2.9521000000000002</v>
      </c>
      <c r="AF209" s="10" t="s">
        <v>342</v>
      </c>
      <c r="AG209" s="10">
        <v>2024</v>
      </c>
      <c r="AH209" s="10" t="s">
        <v>343</v>
      </c>
      <c r="AI209" s="10">
        <v>50</v>
      </c>
      <c r="AJ209" s="10">
        <v>2</v>
      </c>
      <c r="AK209" s="10" t="s">
        <v>34</v>
      </c>
      <c r="AL209" t="str">
        <f t="shared" si="10"/>
        <v>Liu (2024) -Pure</v>
      </c>
    </row>
    <row r="210" spans="1:38" ht="15.6" x14ac:dyDescent="0.3">
      <c r="A210" s="11">
        <v>2</v>
      </c>
      <c r="B210" s="11">
        <v>699.2</v>
      </c>
      <c r="C210" s="10" t="s">
        <v>33</v>
      </c>
      <c r="D210" s="10" t="s">
        <v>341</v>
      </c>
      <c r="E210" s="10" t="s">
        <v>170</v>
      </c>
      <c r="F210" s="10">
        <v>0.23</v>
      </c>
      <c r="G210" s="10">
        <v>0.36</v>
      </c>
      <c r="H210" s="10">
        <v>0.31900000000000001</v>
      </c>
      <c r="I210" s="10">
        <v>0.4</v>
      </c>
      <c r="J210" s="10">
        <v>1.74</v>
      </c>
      <c r="K210" s="10">
        <v>1.1100000000000001</v>
      </c>
      <c r="L210" s="10">
        <v>0</v>
      </c>
      <c r="M210" s="10">
        <v>45</v>
      </c>
      <c r="N210" s="10">
        <v>1632</v>
      </c>
      <c r="O210" s="10">
        <v>0.753</v>
      </c>
      <c r="P210" s="10">
        <v>0.46700000000000003</v>
      </c>
      <c r="Q210" s="10">
        <v>0</v>
      </c>
      <c r="R210" s="10">
        <v>2.65</v>
      </c>
      <c r="S210" s="10">
        <v>8.3300000000000008E-4</v>
      </c>
      <c r="T210" s="10" t="s">
        <v>49</v>
      </c>
      <c r="U210" s="10" t="s">
        <v>262</v>
      </c>
      <c r="V210" s="10" t="s">
        <v>162</v>
      </c>
      <c r="W210" s="10">
        <v>1</v>
      </c>
      <c r="X210" s="10">
        <v>2</v>
      </c>
      <c r="Y210" s="10">
        <v>1</v>
      </c>
      <c r="Z210" s="10" t="s">
        <v>262</v>
      </c>
      <c r="AA210" s="10">
        <v>1.8168</v>
      </c>
      <c r="AB210" s="10" t="s">
        <v>34</v>
      </c>
      <c r="AC210" s="10" t="s">
        <v>40</v>
      </c>
      <c r="AD210" s="10" t="s">
        <v>32</v>
      </c>
      <c r="AE210" s="10">
        <v>3.9521000000000002</v>
      </c>
      <c r="AF210" s="10" t="s">
        <v>342</v>
      </c>
      <c r="AG210" s="10">
        <v>2024</v>
      </c>
      <c r="AH210" s="10" t="s">
        <v>343</v>
      </c>
      <c r="AI210" s="10">
        <v>50</v>
      </c>
      <c r="AJ210" s="10">
        <v>2</v>
      </c>
      <c r="AK210" s="10" t="s">
        <v>34</v>
      </c>
      <c r="AL210" t="str">
        <f t="shared" si="10"/>
        <v>Liu (2024) -Pure</v>
      </c>
    </row>
    <row r="211" spans="1:38" ht="15.6" x14ac:dyDescent="0.3">
      <c r="A211" s="11">
        <v>2.5</v>
      </c>
      <c r="B211" s="11">
        <v>1071.7</v>
      </c>
      <c r="C211" s="10" t="s">
        <v>33</v>
      </c>
      <c r="D211" s="10" t="s">
        <v>341</v>
      </c>
      <c r="E211" s="10" t="s">
        <v>170</v>
      </c>
      <c r="F211" s="10">
        <v>0.23</v>
      </c>
      <c r="G211" s="10">
        <v>0.36</v>
      </c>
      <c r="H211" s="10">
        <v>0.31900000000000001</v>
      </c>
      <c r="I211" s="10">
        <v>0.4</v>
      </c>
      <c r="J211" s="10">
        <v>1.74</v>
      </c>
      <c r="K211" s="10">
        <v>1.1100000000000001</v>
      </c>
      <c r="L211" s="10">
        <v>0</v>
      </c>
      <c r="M211" s="10">
        <v>45</v>
      </c>
      <c r="N211" s="10">
        <v>1632</v>
      </c>
      <c r="O211" s="10">
        <v>0.753</v>
      </c>
      <c r="P211" s="10">
        <v>0.46700000000000003</v>
      </c>
      <c r="Q211" s="10">
        <v>0</v>
      </c>
      <c r="R211" s="10">
        <v>2.65</v>
      </c>
      <c r="S211" s="10">
        <v>8.3300000000000008E-4</v>
      </c>
      <c r="T211" s="10" t="s">
        <v>49</v>
      </c>
      <c r="U211" s="10" t="s">
        <v>262</v>
      </c>
      <c r="V211" s="10" t="s">
        <v>162</v>
      </c>
      <c r="W211" s="10">
        <v>1</v>
      </c>
      <c r="X211" s="10">
        <v>2.5</v>
      </c>
      <c r="Y211" s="10">
        <v>1</v>
      </c>
      <c r="Z211" s="10" t="s">
        <v>262</v>
      </c>
      <c r="AA211" s="10">
        <v>2.2709999999999999</v>
      </c>
      <c r="AB211" s="10" t="s">
        <v>34</v>
      </c>
      <c r="AC211" s="10" t="s">
        <v>40</v>
      </c>
      <c r="AD211" s="10" t="s">
        <v>32</v>
      </c>
      <c r="AE211" s="10">
        <v>4.9520999999999997</v>
      </c>
      <c r="AF211" s="10" t="s">
        <v>342</v>
      </c>
      <c r="AG211" s="10">
        <v>2024</v>
      </c>
      <c r="AH211" s="10" t="s">
        <v>343</v>
      </c>
      <c r="AI211" s="10">
        <v>50</v>
      </c>
      <c r="AJ211" s="10">
        <v>2</v>
      </c>
      <c r="AK211" s="10" t="s">
        <v>34</v>
      </c>
      <c r="AL211" t="str">
        <f t="shared" si="10"/>
        <v>Liu (2024) -Pure</v>
      </c>
    </row>
    <row r="212" spans="1:38" ht="15.6" x14ac:dyDescent="0.3">
      <c r="A212" s="11">
        <v>3</v>
      </c>
      <c r="B212" s="11">
        <v>1823.7</v>
      </c>
      <c r="C212" s="10" t="s">
        <v>33</v>
      </c>
      <c r="D212" s="10" t="s">
        <v>341</v>
      </c>
      <c r="E212" s="10" t="s">
        <v>170</v>
      </c>
      <c r="F212" s="10">
        <v>0.23</v>
      </c>
      <c r="G212" s="10">
        <v>0.36</v>
      </c>
      <c r="H212" s="10">
        <v>0.31900000000000001</v>
      </c>
      <c r="I212" s="10">
        <v>0.4</v>
      </c>
      <c r="J212" s="10">
        <v>1.74</v>
      </c>
      <c r="K212" s="10">
        <v>1.1100000000000001</v>
      </c>
      <c r="L212" s="10">
        <v>0</v>
      </c>
      <c r="M212" s="10">
        <v>45</v>
      </c>
      <c r="N212" s="10">
        <v>1632</v>
      </c>
      <c r="O212" s="10">
        <v>0.753</v>
      </c>
      <c r="P212" s="10">
        <v>0.46700000000000003</v>
      </c>
      <c r="Q212" s="10">
        <v>0</v>
      </c>
      <c r="R212" s="10">
        <v>2.65</v>
      </c>
      <c r="S212" s="10">
        <v>8.3300000000000008E-4</v>
      </c>
      <c r="T212" s="10" t="s">
        <v>49</v>
      </c>
      <c r="U212" s="10" t="s">
        <v>262</v>
      </c>
      <c r="V212" s="10" t="s">
        <v>162</v>
      </c>
      <c r="W212" s="10">
        <v>1</v>
      </c>
      <c r="X212" s="10">
        <v>3</v>
      </c>
      <c r="Y212" s="10">
        <v>1</v>
      </c>
      <c r="Z212" s="10" t="s">
        <v>262</v>
      </c>
      <c r="AA212" s="10">
        <v>2.7252000000000001</v>
      </c>
      <c r="AB212" s="10" t="s">
        <v>34</v>
      </c>
      <c r="AC212" s="10" t="s">
        <v>40</v>
      </c>
      <c r="AD212" s="10" t="s">
        <v>32</v>
      </c>
      <c r="AE212" s="10">
        <v>5.9520999999999997</v>
      </c>
      <c r="AF212" s="10" t="s">
        <v>342</v>
      </c>
      <c r="AG212" s="10">
        <v>2024</v>
      </c>
      <c r="AH212" s="10" t="s">
        <v>343</v>
      </c>
      <c r="AI212" s="10">
        <v>50</v>
      </c>
      <c r="AJ212" s="10">
        <v>2</v>
      </c>
      <c r="AK212" s="10" t="s">
        <v>34</v>
      </c>
      <c r="AL212" t="str">
        <f t="shared" si="10"/>
        <v>Liu (2024) -Pure</v>
      </c>
    </row>
  </sheetData>
  <sortState xmlns:xlrd2="http://schemas.microsoft.com/office/spreadsheetml/2017/richdata2" ref="A2:AK212">
    <sortCondition ref="E2:E212"/>
  </sortState>
  <dataValidations count="3">
    <dataValidation type="list" allowBlank="1" showInputMessage="1" showErrorMessage="1" sqref="T93:T98" xr:uid="{5AA9BF35-1FBB-4735-AB7C-F4A79CE651D1}">
      <formula1>"MICP,EICP,Other"</formula1>
    </dataValidation>
    <dataValidation type="list" allowBlank="1" showInputMessage="1" showErrorMessage="1" sqref="V87:V92 V2:V59" xr:uid="{0A51C502-5F22-4044-88C9-3DA3B9B71D15}">
      <formula1>"IMMERSION,PERCOLATION,MIX-COMPACT,INJECTION"</formula1>
    </dataValidation>
    <dataValidation type="list" allowBlank="1" showInputMessage="1" showErrorMessage="1" sqref="U87:U92" xr:uid="{FE1AEACB-08DA-47ED-97FA-FDA9BC3C0985}">
      <formula1>"Augmented, Stimulated, Jack Beans, Soybeans, Commercial, 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502AE-7FEE-47E1-93AF-11CA3F76A3FA}">
  <dimension ref="B1:T573"/>
  <sheetViews>
    <sheetView topLeftCell="L5" workbookViewId="0">
      <selection activeCell="Y32" sqref="Y32"/>
    </sheetView>
  </sheetViews>
  <sheetFormatPr defaultRowHeight="14.4" x14ac:dyDescent="0.3"/>
  <cols>
    <col min="19" max="19" width="14.109375" customWidth="1"/>
  </cols>
  <sheetData>
    <row r="1" spans="2:20" ht="31.2" x14ac:dyDescent="0.3">
      <c r="B1" t="s">
        <v>442</v>
      </c>
      <c r="C1" t="s">
        <v>443</v>
      </c>
      <c r="S1" s="16" t="s">
        <v>0</v>
      </c>
    </row>
    <row r="2" spans="2:20" ht="15.6" x14ac:dyDescent="0.3">
      <c r="B2" s="11">
        <v>4.8426150121067604</v>
      </c>
      <c r="C2">
        <f>LOG10(B2)</f>
        <v>0.68507994400760019</v>
      </c>
      <c r="F2" t="s">
        <v>447</v>
      </c>
      <c r="S2" s="11">
        <v>12.6</v>
      </c>
      <c r="T2" cm="1">
        <f t="array" ref="T2:T573">LOG10(S2:S573)</f>
        <v>1.1003705451175629</v>
      </c>
    </row>
    <row r="3" spans="2:20" ht="15.6" x14ac:dyDescent="0.3">
      <c r="B3" s="11">
        <v>5.6497175141243998</v>
      </c>
      <c r="C3">
        <f t="shared" ref="C3:C66" si="0">LOG10(B3)</f>
        <v>0.75202673363820149</v>
      </c>
      <c r="D3">
        <v>0</v>
      </c>
      <c r="E3">
        <v>100</v>
      </c>
      <c r="F3" t="str">
        <f>_xlfn.CONCAT(D3,"-",E3)</f>
        <v>0-100</v>
      </c>
      <c r="G3">
        <f>COUNTIF(B2:B573,AND(B2&gt;D3,B2&lt;E3))</f>
        <v>0</v>
      </c>
      <c r="S3" s="11">
        <v>13.2</v>
      </c>
      <c r="T3">
        <v>1.1205739312058498</v>
      </c>
    </row>
    <row r="4" spans="2:20" ht="15.6" x14ac:dyDescent="0.3">
      <c r="B4" s="11">
        <v>15.2563151389925</v>
      </c>
      <c r="C4">
        <f t="shared" si="0"/>
        <v>1.1834496510468586</v>
      </c>
      <c r="D4">
        <f>D3+100</f>
        <v>100</v>
      </c>
      <c r="E4">
        <f>E3+100</f>
        <v>200</v>
      </c>
      <c r="F4" t="str">
        <f t="shared" ref="F4:F67" si="1">_xlfn.CONCAT(D4,"-",E4)</f>
        <v>100-200</v>
      </c>
      <c r="S4" s="11">
        <v>13.8</v>
      </c>
      <c r="T4">
        <v>1.1398790864012365</v>
      </c>
    </row>
    <row r="5" spans="2:20" ht="15.6" x14ac:dyDescent="0.3">
      <c r="B5" s="11">
        <v>16.9491525423729</v>
      </c>
      <c r="C5">
        <f t="shared" si="0"/>
        <v>1.2291479883578562</v>
      </c>
      <c r="D5">
        <f t="shared" ref="D5:D27" si="2">D4+100</f>
        <v>200</v>
      </c>
      <c r="E5">
        <f t="shared" ref="E5:E27" si="3">E4+100</f>
        <v>300</v>
      </c>
      <c r="F5" t="str">
        <f t="shared" si="1"/>
        <v>200-300</v>
      </c>
      <c r="S5" s="11">
        <v>14</v>
      </c>
      <c r="T5">
        <v>1.146128035678238</v>
      </c>
    </row>
    <row r="6" spans="2:20" ht="15.6" x14ac:dyDescent="0.3">
      <c r="B6" s="11">
        <v>18.416385059523801</v>
      </c>
      <c r="C6">
        <f t="shared" si="0"/>
        <v>1.2652043868394807</v>
      </c>
      <c r="D6">
        <f t="shared" si="2"/>
        <v>300</v>
      </c>
      <c r="E6">
        <f t="shared" si="3"/>
        <v>400</v>
      </c>
      <c r="F6" t="str">
        <f t="shared" si="1"/>
        <v>300-400</v>
      </c>
      <c r="S6" s="11">
        <v>14.6</v>
      </c>
      <c r="T6">
        <v>1.1643528557844371</v>
      </c>
    </row>
    <row r="7" spans="2:20" ht="15.6" x14ac:dyDescent="0.3">
      <c r="B7" s="11">
        <v>21.791767554479499</v>
      </c>
      <c r="C7">
        <f t="shared" si="0"/>
        <v>1.3382924577829254</v>
      </c>
      <c r="D7">
        <f t="shared" si="2"/>
        <v>400</v>
      </c>
      <c r="E7">
        <f t="shared" si="3"/>
        <v>500</v>
      </c>
      <c r="F7" t="str">
        <f t="shared" si="1"/>
        <v>400-500</v>
      </c>
      <c r="S7" s="11">
        <v>14</v>
      </c>
      <c r="T7">
        <v>1.146128035678238</v>
      </c>
    </row>
    <row r="8" spans="2:20" ht="15.6" x14ac:dyDescent="0.3">
      <c r="B8" s="11">
        <v>24.723693038891</v>
      </c>
      <c r="C8">
        <f t="shared" si="0"/>
        <v>1.3931133428981339</v>
      </c>
      <c r="D8">
        <f t="shared" si="2"/>
        <v>500</v>
      </c>
      <c r="E8">
        <f t="shared" si="3"/>
        <v>600</v>
      </c>
      <c r="F8" t="str">
        <f t="shared" si="1"/>
        <v>500-600</v>
      </c>
      <c r="S8" s="11">
        <v>14.5</v>
      </c>
      <c r="T8">
        <v>1.1613680022349748</v>
      </c>
    </row>
    <row r="9" spans="2:20" ht="15.6" x14ac:dyDescent="0.3">
      <c r="B9" s="11">
        <v>27.4414850686039</v>
      </c>
      <c r="C9">
        <f t="shared" si="0"/>
        <v>1.4384076106661947</v>
      </c>
      <c r="D9">
        <f t="shared" si="2"/>
        <v>600</v>
      </c>
      <c r="E9">
        <f t="shared" si="3"/>
        <v>700</v>
      </c>
      <c r="F9" t="str">
        <f t="shared" si="1"/>
        <v>600-700</v>
      </c>
      <c r="S9" s="11">
        <v>14.5</v>
      </c>
      <c r="T9">
        <v>1.1613680022349748</v>
      </c>
    </row>
    <row r="10" spans="2:20" ht="15.6" x14ac:dyDescent="0.3">
      <c r="B10" s="11">
        <v>28.881393623758999</v>
      </c>
      <c r="C10">
        <f t="shared" si="0"/>
        <v>1.4606181455633094</v>
      </c>
      <c r="D10">
        <f t="shared" si="2"/>
        <v>700</v>
      </c>
      <c r="E10">
        <f t="shared" si="3"/>
        <v>800</v>
      </c>
      <c r="F10" t="str">
        <f t="shared" si="1"/>
        <v>700-800</v>
      </c>
      <c r="S10" s="11">
        <v>14.5</v>
      </c>
      <c r="T10">
        <v>1.1613680022349748</v>
      </c>
    </row>
    <row r="11" spans="2:20" ht="15.6" x14ac:dyDescent="0.3">
      <c r="B11" s="11">
        <v>28.972095889031301</v>
      </c>
      <c r="C11">
        <f t="shared" si="0"/>
        <v>1.4619799139167857</v>
      </c>
      <c r="D11">
        <f t="shared" si="2"/>
        <v>800</v>
      </c>
      <c r="E11">
        <f t="shared" si="3"/>
        <v>900</v>
      </c>
      <c r="F11" t="str">
        <f t="shared" si="1"/>
        <v>800-900</v>
      </c>
      <c r="S11" s="11">
        <v>14.8</v>
      </c>
      <c r="T11">
        <v>1.1702617153949575</v>
      </c>
    </row>
    <row r="12" spans="2:20" ht="15.6" x14ac:dyDescent="0.3">
      <c r="B12" s="11">
        <v>30</v>
      </c>
      <c r="C12">
        <f t="shared" si="0"/>
        <v>1.4771212547196624</v>
      </c>
      <c r="D12">
        <f t="shared" si="2"/>
        <v>900</v>
      </c>
      <c r="E12">
        <f t="shared" si="3"/>
        <v>1000</v>
      </c>
      <c r="F12" t="str">
        <f t="shared" si="1"/>
        <v>900-1000</v>
      </c>
      <c r="S12" s="11">
        <v>15.5</v>
      </c>
      <c r="T12">
        <v>1.1903316981702914</v>
      </c>
    </row>
    <row r="13" spans="2:20" ht="15.6" x14ac:dyDescent="0.3">
      <c r="B13" s="11">
        <v>30.669895076674901</v>
      </c>
      <c r="C13">
        <f t="shared" si="0"/>
        <v>1.486712290240749</v>
      </c>
      <c r="D13">
        <f t="shared" si="2"/>
        <v>1000</v>
      </c>
      <c r="E13">
        <f t="shared" si="3"/>
        <v>1100</v>
      </c>
      <c r="F13" t="str">
        <f t="shared" si="1"/>
        <v>1000-1100</v>
      </c>
      <c r="S13" s="11">
        <v>15.8</v>
      </c>
      <c r="T13">
        <v>1.1986570869544226</v>
      </c>
    </row>
    <row r="14" spans="2:20" ht="15.6" x14ac:dyDescent="0.3">
      <c r="B14" s="11">
        <v>33.1465768372056</v>
      </c>
      <c r="C14">
        <f t="shared" si="0"/>
        <v>1.5204386839481541</v>
      </c>
      <c r="D14">
        <f t="shared" si="2"/>
        <v>1100</v>
      </c>
      <c r="E14">
        <f t="shared" si="3"/>
        <v>1200</v>
      </c>
      <c r="F14" t="str">
        <f t="shared" si="1"/>
        <v>1100-1200</v>
      </c>
      <c r="S14" s="11">
        <v>16.3</v>
      </c>
      <c r="T14">
        <v>1.2121876044039579</v>
      </c>
    </row>
    <row r="15" spans="2:20" ht="15.6" x14ac:dyDescent="0.3">
      <c r="B15" s="11">
        <v>38.7409200968522</v>
      </c>
      <c r="C15">
        <f t="shared" si="0"/>
        <v>1.5881699309995225</v>
      </c>
      <c r="D15">
        <f t="shared" si="2"/>
        <v>1200</v>
      </c>
      <c r="E15">
        <f t="shared" si="3"/>
        <v>1300</v>
      </c>
      <c r="F15" t="str">
        <f t="shared" si="1"/>
        <v>1200-1300</v>
      </c>
      <c r="S15" s="11">
        <v>16.8</v>
      </c>
      <c r="T15">
        <v>1.2253092817258628</v>
      </c>
    </row>
    <row r="16" spans="2:20" ht="15.6" x14ac:dyDescent="0.3">
      <c r="B16" s="11">
        <v>44.397463002114399</v>
      </c>
      <c r="C16">
        <f t="shared" si="0"/>
        <v>1.64735815399611</v>
      </c>
      <c r="D16">
        <f t="shared" si="2"/>
        <v>1300</v>
      </c>
      <c r="E16">
        <f t="shared" si="3"/>
        <v>1400</v>
      </c>
      <c r="F16" t="str">
        <f t="shared" si="1"/>
        <v>1300-1400</v>
      </c>
      <c r="S16" s="11">
        <v>16.8</v>
      </c>
      <c r="T16">
        <v>1.2253092817258628</v>
      </c>
    </row>
    <row r="17" spans="2:20" ht="15.6" x14ac:dyDescent="0.3">
      <c r="B17" s="11">
        <v>44.673486762516497</v>
      </c>
      <c r="C17">
        <f t="shared" si="0"/>
        <v>1.6500498504486529</v>
      </c>
      <c r="D17">
        <f t="shared" si="2"/>
        <v>1400</v>
      </c>
      <c r="E17">
        <f t="shared" si="3"/>
        <v>1500</v>
      </c>
      <c r="F17" t="str">
        <f t="shared" si="1"/>
        <v>1400-1500</v>
      </c>
      <c r="S17" s="11">
        <v>17.5</v>
      </c>
      <c r="T17">
        <v>1.2430380486862944</v>
      </c>
    </row>
    <row r="18" spans="2:20" ht="15.6" x14ac:dyDescent="0.3">
      <c r="B18" s="11">
        <v>45.197740112994502</v>
      </c>
      <c r="C18">
        <f t="shared" si="0"/>
        <v>1.6551167206301385</v>
      </c>
      <c r="D18">
        <f t="shared" si="2"/>
        <v>1500</v>
      </c>
      <c r="E18">
        <f t="shared" si="3"/>
        <v>1600</v>
      </c>
      <c r="F18" t="str">
        <f t="shared" si="1"/>
        <v>1500-1600</v>
      </c>
      <c r="S18" s="11">
        <v>17.5</v>
      </c>
      <c r="T18">
        <v>1.2430380486862944</v>
      </c>
    </row>
    <row r="19" spans="2:20" ht="15.6" x14ac:dyDescent="0.3">
      <c r="B19" s="11">
        <v>45.705799019786298</v>
      </c>
      <c r="C19">
        <f t="shared" si="0"/>
        <v>1.6599713055954082</v>
      </c>
      <c r="D19">
        <f t="shared" si="2"/>
        <v>1600</v>
      </c>
      <c r="E19">
        <f t="shared" si="3"/>
        <v>1700</v>
      </c>
      <c r="F19" t="str">
        <f t="shared" si="1"/>
        <v>1600-1700</v>
      </c>
      <c r="S19" s="11">
        <v>18.600000000000001</v>
      </c>
      <c r="T19">
        <v>1.2695129442179163</v>
      </c>
    </row>
    <row r="20" spans="2:20" ht="15.6" x14ac:dyDescent="0.3">
      <c r="B20" s="11">
        <v>49.421764312422503</v>
      </c>
      <c r="C20">
        <f t="shared" si="0"/>
        <v>1.6939182452642072</v>
      </c>
      <c r="D20">
        <f t="shared" si="2"/>
        <v>1700</v>
      </c>
      <c r="E20">
        <f t="shared" si="3"/>
        <v>1800</v>
      </c>
      <c r="F20" t="str">
        <f t="shared" si="1"/>
        <v>1700-1800</v>
      </c>
      <c r="S20" s="11">
        <v>19.100000000000001</v>
      </c>
      <c r="T20">
        <v>1.2810333672477277</v>
      </c>
    </row>
    <row r="21" spans="2:20" ht="15.6" x14ac:dyDescent="0.3">
      <c r="B21" s="11">
        <v>53.594771241830003</v>
      </c>
      <c r="C21">
        <f t="shared" si="0"/>
        <v>1.7291224215661174</v>
      </c>
      <c r="D21">
        <f t="shared" si="2"/>
        <v>1800</v>
      </c>
      <c r="E21">
        <f t="shared" si="3"/>
        <v>1900</v>
      </c>
      <c r="F21" t="str">
        <f t="shared" si="1"/>
        <v>1800-1900</v>
      </c>
      <c r="S21" s="11">
        <v>20.3</v>
      </c>
      <c r="T21">
        <v>1.307496037913213</v>
      </c>
    </row>
    <row r="22" spans="2:20" ht="15.6" x14ac:dyDescent="0.3">
      <c r="B22" s="11">
        <v>57.082452431290001</v>
      </c>
      <c r="C22">
        <f t="shared" si="0"/>
        <v>1.7565026234211785</v>
      </c>
      <c r="D22">
        <f t="shared" si="2"/>
        <v>1900</v>
      </c>
      <c r="E22">
        <f t="shared" si="3"/>
        <v>2000</v>
      </c>
      <c r="F22" t="str">
        <f t="shared" si="1"/>
        <v>1900-2000</v>
      </c>
      <c r="S22" s="11">
        <v>20.3</v>
      </c>
      <c r="T22">
        <v>1.307496037913213</v>
      </c>
    </row>
    <row r="23" spans="2:20" ht="15.6" x14ac:dyDescent="0.3">
      <c r="B23" s="11">
        <v>58.111380145278503</v>
      </c>
      <c r="C23">
        <f t="shared" si="0"/>
        <v>1.7642611900552054</v>
      </c>
      <c r="D23">
        <f t="shared" si="2"/>
        <v>2000</v>
      </c>
      <c r="E23">
        <f t="shared" si="3"/>
        <v>2100</v>
      </c>
      <c r="F23" t="str">
        <f t="shared" si="1"/>
        <v>2000-2100</v>
      </c>
      <c r="S23" s="11">
        <v>20</v>
      </c>
      <c r="T23">
        <v>1.3010299956639813</v>
      </c>
    </row>
    <row r="24" spans="2:20" ht="15.6" x14ac:dyDescent="0.3">
      <c r="B24" s="11">
        <v>58.111380145278503</v>
      </c>
      <c r="C24">
        <f t="shared" si="0"/>
        <v>1.7642611900552054</v>
      </c>
      <c r="D24">
        <f t="shared" si="2"/>
        <v>2100</v>
      </c>
      <c r="E24">
        <f t="shared" si="3"/>
        <v>2200</v>
      </c>
      <c r="F24" t="str">
        <f t="shared" si="1"/>
        <v>2100-2200</v>
      </c>
      <c r="S24" s="11">
        <v>20.3</v>
      </c>
      <c r="T24">
        <v>1.307496037913213</v>
      </c>
    </row>
    <row r="25" spans="2:20" ht="15.6" x14ac:dyDescent="0.3">
      <c r="B25" s="11">
        <v>64.798552437267006</v>
      </c>
      <c r="C25">
        <f t="shared" si="0"/>
        <v>1.8115653040877362</v>
      </c>
      <c r="D25">
        <f t="shared" si="2"/>
        <v>2200</v>
      </c>
      <c r="E25">
        <f t="shared" si="3"/>
        <v>2300</v>
      </c>
      <c r="F25" t="str">
        <f t="shared" si="1"/>
        <v>2200-2300</v>
      </c>
      <c r="S25" s="11">
        <v>20.5</v>
      </c>
      <c r="T25">
        <v>1.3117538610557542</v>
      </c>
    </row>
    <row r="26" spans="2:20" ht="15.6" x14ac:dyDescent="0.3">
      <c r="B26" s="11">
        <v>67.8430686540013</v>
      </c>
      <c r="C26">
        <f t="shared" si="0"/>
        <v>1.8315054835493514</v>
      </c>
      <c r="D26">
        <f t="shared" si="2"/>
        <v>2300</v>
      </c>
      <c r="E26">
        <f t="shared" si="3"/>
        <v>2400</v>
      </c>
      <c r="F26" t="str">
        <f t="shared" si="1"/>
        <v>2300-2400</v>
      </c>
      <c r="S26" s="11">
        <v>21.4</v>
      </c>
      <c r="T26">
        <v>1.3304137733491908</v>
      </c>
    </row>
    <row r="27" spans="2:20" ht="15.6" x14ac:dyDescent="0.3">
      <c r="B27" s="11">
        <v>68</v>
      </c>
      <c r="C27">
        <f t="shared" si="0"/>
        <v>1.8325089127062364</v>
      </c>
      <c r="D27">
        <f t="shared" si="2"/>
        <v>2400</v>
      </c>
      <c r="E27">
        <f t="shared" si="3"/>
        <v>2500</v>
      </c>
      <c r="F27" t="str">
        <f t="shared" si="1"/>
        <v>2400-2500</v>
      </c>
      <c r="S27" s="11">
        <v>22.5</v>
      </c>
      <c r="T27">
        <v>1.3521825181113625</v>
      </c>
    </row>
    <row r="28" spans="2:20" ht="15.6" x14ac:dyDescent="0.3">
      <c r="B28" s="11">
        <v>68.392294410904597</v>
      </c>
      <c r="C28">
        <f t="shared" si="0"/>
        <v>1.8350071736011473</v>
      </c>
      <c r="D28">
        <f>D27+100</f>
        <v>2500</v>
      </c>
      <c r="E28">
        <f>E27+100</f>
        <v>2600</v>
      </c>
      <c r="F28" t="str">
        <f t="shared" si="1"/>
        <v>2500-2600</v>
      </c>
      <c r="S28" s="11">
        <v>23.4</v>
      </c>
      <c r="T28">
        <v>1.3692158574101427</v>
      </c>
    </row>
    <row r="29" spans="2:20" ht="15.6" x14ac:dyDescent="0.3">
      <c r="B29" s="11">
        <v>69.767441860465595</v>
      </c>
      <c r="C29">
        <f t="shared" si="0"/>
        <v>1.8436527991400788</v>
      </c>
      <c r="D29">
        <f t="shared" ref="D29:D44" si="4">D28+100</f>
        <v>2600</v>
      </c>
      <c r="E29">
        <f t="shared" ref="E29:E44" si="5">E28+100</f>
        <v>2700</v>
      </c>
      <c r="F29" t="str">
        <f t="shared" si="1"/>
        <v>2600-2700</v>
      </c>
      <c r="S29" s="11">
        <v>22.6</v>
      </c>
      <c r="T29">
        <v>1.354108439147401</v>
      </c>
    </row>
    <row r="30" spans="2:20" ht="15.6" x14ac:dyDescent="0.3">
      <c r="B30" s="11">
        <v>76.796949253539296</v>
      </c>
      <c r="C30">
        <f t="shared" si="0"/>
        <v>1.8853439680957127</v>
      </c>
      <c r="D30">
        <f t="shared" si="4"/>
        <v>2700</v>
      </c>
      <c r="E30">
        <f t="shared" si="5"/>
        <v>2800</v>
      </c>
      <c r="F30" t="str">
        <f t="shared" si="1"/>
        <v>2700-2800</v>
      </c>
      <c r="S30" s="11">
        <v>23.2</v>
      </c>
      <c r="T30">
        <v>1.3654879848908996</v>
      </c>
    </row>
    <row r="31" spans="2:20" ht="15.6" x14ac:dyDescent="0.3">
      <c r="B31" s="11">
        <v>76.796949253539296</v>
      </c>
      <c r="C31">
        <f t="shared" si="0"/>
        <v>1.8853439680957127</v>
      </c>
      <c r="D31">
        <f t="shared" si="4"/>
        <v>2800</v>
      </c>
      <c r="E31">
        <f t="shared" si="5"/>
        <v>2900</v>
      </c>
      <c r="F31" t="str">
        <f t="shared" si="1"/>
        <v>2800-2900</v>
      </c>
      <c r="S31" s="11">
        <v>23.1</v>
      </c>
      <c r="T31">
        <v>1.3636119798921444</v>
      </c>
    </row>
    <row r="32" spans="2:20" ht="15.6" x14ac:dyDescent="0.3">
      <c r="B32" s="11">
        <v>77.2</v>
      </c>
      <c r="C32">
        <f t="shared" si="0"/>
        <v>1.8876173003357362</v>
      </c>
      <c r="D32">
        <f t="shared" si="4"/>
        <v>2900</v>
      </c>
      <c r="E32">
        <f t="shared" si="5"/>
        <v>3000</v>
      </c>
      <c r="F32" t="str">
        <f t="shared" si="1"/>
        <v>2900-3000</v>
      </c>
      <c r="S32" s="11">
        <v>23.2</v>
      </c>
      <c r="T32">
        <v>1.3654879848908996</v>
      </c>
    </row>
    <row r="33" spans="2:20" ht="15.6" x14ac:dyDescent="0.3">
      <c r="B33" s="11">
        <v>77.259809625575201</v>
      </c>
      <c r="C33">
        <f t="shared" si="0"/>
        <v>1.8879536336733622</v>
      </c>
      <c r="D33">
        <f t="shared" si="4"/>
        <v>3000</v>
      </c>
      <c r="E33">
        <f t="shared" si="5"/>
        <v>3100</v>
      </c>
      <c r="F33" t="str">
        <f t="shared" si="1"/>
        <v>3000-3100</v>
      </c>
      <c r="S33" s="11">
        <v>23.8</v>
      </c>
      <c r="T33">
        <v>1.3765769570565121</v>
      </c>
    </row>
    <row r="34" spans="2:20" ht="15.6" x14ac:dyDescent="0.3">
      <c r="B34" s="11">
        <v>77.481840193704599</v>
      </c>
      <c r="C34">
        <f t="shared" si="0"/>
        <v>1.8891999266635049</v>
      </c>
      <c r="D34">
        <f t="shared" si="4"/>
        <v>3100</v>
      </c>
      <c r="E34">
        <f t="shared" si="5"/>
        <v>3200</v>
      </c>
      <c r="F34" t="str">
        <f t="shared" si="1"/>
        <v>3100-3200</v>
      </c>
      <c r="S34" s="11">
        <v>24.7</v>
      </c>
      <c r="T34">
        <v>1.3926969532596658</v>
      </c>
    </row>
    <row r="35" spans="2:20" ht="15.6" x14ac:dyDescent="0.3">
      <c r="B35" s="11">
        <v>82.452431289640799</v>
      </c>
      <c r="C35">
        <f t="shared" si="0"/>
        <v>1.9162034662886887</v>
      </c>
      <c r="D35">
        <f t="shared" si="4"/>
        <v>3200</v>
      </c>
      <c r="E35">
        <f t="shared" si="5"/>
        <v>3300</v>
      </c>
      <c r="F35" t="str">
        <f t="shared" si="1"/>
        <v>3200-3300</v>
      </c>
      <c r="S35" s="11">
        <v>24.8</v>
      </c>
      <c r="T35">
        <v>1.3944516808262162</v>
      </c>
    </row>
    <row r="36" spans="2:20" ht="15.6" x14ac:dyDescent="0.3">
      <c r="B36" s="11">
        <v>89</v>
      </c>
      <c r="C36">
        <f t="shared" si="0"/>
        <v>1.9493900066449128</v>
      </c>
      <c r="D36">
        <f t="shared" si="4"/>
        <v>3300</v>
      </c>
      <c r="E36">
        <f t="shared" si="5"/>
        <v>3400</v>
      </c>
      <c r="F36" t="str">
        <f t="shared" si="1"/>
        <v>3300-3400</v>
      </c>
      <c r="S36" s="11">
        <v>26.2</v>
      </c>
      <c r="T36">
        <v>1.4183012913197455</v>
      </c>
    </row>
    <row r="37" spans="2:20" ht="15.6" x14ac:dyDescent="0.3">
      <c r="B37" s="11">
        <v>90</v>
      </c>
      <c r="C37">
        <f t="shared" si="0"/>
        <v>1.954242509439325</v>
      </c>
      <c r="D37">
        <f t="shared" si="4"/>
        <v>3400</v>
      </c>
      <c r="E37">
        <f t="shared" si="5"/>
        <v>3500</v>
      </c>
      <c r="F37" t="str">
        <f t="shared" si="1"/>
        <v>3400-3500</v>
      </c>
      <c r="S37" s="11">
        <v>25.6</v>
      </c>
      <c r="T37">
        <v>1.4082399653118496</v>
      </c>
    </row>
    <row r="38" spans="2:20" ht="15.6" x14ac:dyDescent="0.3">
      <c r="B38" s="11">
        <v>92.009685230024104</v>
      </c>
      <c r="C38">
        <f t="shared" si="0"/>
        <v>1.9638335449604085</v>
      </c>
      <c r="D38">
        <f t="shared" si="4"/>
        <v>3500</v>
      </c>
      <c r="E38">
        <f t="shared" si="5"/>
        <v>3600</v>
      </c>
      <c r="F38" t="str">
        <f t="shared" si="1"/>
        <v>3500-3600</v>
      </c>
      <c r="S38" s="11">
        <v>25.2</v>
      </c>
      <c r="T38">
        <v>1.4014005407815442</v>
      </c>
    </row>
    <row r="39" spans="2:20" ht="15.6" x14ac:dyDescent="0.3">
      <c r="B39" s="11">
        <v>99</v>
      </c>
      <c r="C39">
        <f t="shared" si="0"/>
        <v>1.9956351945975499</v>
      </c>
      <c r="D39">
        <f t="shared" si="4"/>
        <v>3600</v>
      </c>
      <c r="E39">
        <f t="shared" si="5"/>
        <v>3700</v>
      </c>
      <c r="F39" t="str">
        <f t="shared" si="1"/>
        <v>3600-3700</v>
      </c>
      <c r="S39" s="11">
        <v>24.8</v>
      </c>
      <c r="T39">
        <v>1.3944516808262162</v>
      </c>
    </row>
    <row r="40" spans="2:20" ht="16.2" thickBot="1" x14ac:dyDescent="0.35">
      <c r="B40" s="17">
        <v>100.653594771241</v>
      </c>
      <c r="C40">
        <f t="shared" si="0"/>
        <v>2.0028292900188607</v>
      </c>
      <c r="D40">
        <f t="shared" si="4"/>
        <v>3700</v>
      </c>
      <c r="E40">
        <f t="shared" si="5"/>
        <v>3800</v>
      </c>
      <c r="F40" t="str">
        <f t="shared" si="1"/>
        <v>3700-3800</v>
      </c>
      <c r="S40" s="17">
        <v>27.3</v>
      </c>
      <c r="T40">
        <v>1.436162647040756</v>
      </c>
    </row>
    <row r="41" spans="2:20" ht="15.6" x14ac:dyDescent="0.3">
      <c r="B41" s="12">
        <v>104</v>
      </c>
      <c r="C41">
        <f t="shared" si="0"/>
        <v>2.0170333392987803</v>
      </c>
      <c r="D41">
        <f t="shared" si="4"/>
        <v>3800</v>
      </c>
      <c r="E41">
        <f t="shared" si="5"/>
        <v>3900</v>
      </c>
      <c r="F41" t="str">
        <f t="shared" si="1"/>
        <v>3800-3900</v>
      </c>
      <c r="S41" s="12">
        <v>2.6050420168067201</v>
      </c>
      <c r="T41">
        <v>0.4158147324417415</v>
      </c>
    </row>
    <row r="42" spans="2:20" ht="15.6" x14ac:dyDescent="0.3">
      <c r="B42" s="11">
        <v>109.869555602478</v>
      </c>
      <c r="C42">
        <f t="shared" si="0"/>
        <v>2.0408773678963104</v>
      </c>
      <c r="D42">
        <f t="shared" si="4"/>
        <v>3900</v>
      </c>
      <c r="E42">
        <f t="shared" si="5"/>
        <v>4000</v>
      </c>
      <c r="F42" t="str">
        <f t="shared" si="1"/>
        <v>3900-4000</v>
      </c>
      <c r="S42" s="11">
        <v>3.0882352941176401</v>
      </c>
      <c r="T42">
        <v>0.48971038202768197</v>
      </c>
    </row>
    <row r="43" spans="2:20" ht="15.6" x14ac:dyDescent="0.3">
      <c r="B43" s="11">
        <v>113.99703559549199</v>
      </c>
      <c r="C43">
        <f t="shared" si="0"/>
        <v>2.0568935579920948</v>
      </c>
      <c r="D43">
        <f t="shared" si="4"/>
        <v>4000</v>
      </c>
      <c r="E43">
        <f t="shared" si="5"/>
        <v>4100</v>
      </c>
      <c r="F43" t="str">
        <f t="shared" si="1"/>
        <v>4000-4100</v>
      </c>
      <c r="S43" s="11">
        <v>3.52941176470588</v>
      </c>
      <c r="T43">
        <v>0.54770232900536941</v>
      </c>
    </row>
    <row r="44" spans="2:20" ht="15.6" x14ac:dyDescent="0.3">
      <c r="B44" s="11">
        <v>115.263809722554</v>
      </c>
      <c r="C44">
        <f t="shared" si="0"/>
        <v>2.0616929698708741</v>
      </c>
      <c r="D44">
        <f t="shared" si="4"/>
        <v>4100</v>
      </c>
      <c r="E44">
        <f t="shared" si="5"/>
        <v>4200</v>
      </c>
      <c r="F44" t="str">
        <f t="shared" si="1"/>
        <v>4100-4200</v>
      </c>
      <c r="S44" s="11">
        <v>4.3277310924369701</v>
      </c>
      <c r="T44">
        <v>0.63626026764865973</v>
      </c>
    </row>
    <row r="45" spans="2:20" ht="15.6" x14ac:dyDescent="0.3">
      <c r="B45" s="11">
        <v>115.42449391704299</v>
      </c>
      <c r="C45">
        <f t="shared" si="0"/>
        <v>2.0622979790471558</v>
      </c>
      <c r="D45">
        <f>D44+100</f>
        <v>4200</v>
      </c>
      <c r="E45">
        <f>E44+100</f>
        <v>4300</v>
      </c>
      <c r="F45" t="str">
        <f t="shared" si="1"/>
        <v>4200-4300</v>
      </c>
      <c r="S45" s="11">
        <v>4.5588235294117601</v>
      </c>
      <c r="T45">
        <v>0.65885278112803591</v>
      </c>
    </row>
    <row r="46" spans="2:20" ht="15.6" x14ac:dyDescent="0.3">
      <c r="B46" s="11">
        <v>116.182572614107</v>
      </c>
      <c r="C46">
        <f t="shared" si="0"/>
        <v>2.0651409887673475</v>
      </c>
      <c r="D46">
        <f t="shared" ref="D46:D56" si="6">D45+100</f>
        <v>4300</v>
      </c>
      <c r="E46">
        <f t="shared" ref="E46:E56" si="7">E45+100</f>
        <v>4400</v>
      </c>
      <c r="F46" t="str">
        <f t="shared" si="1"/>
        <v>4300-4400</v>
      </c>
      <c r="S46" s="11">
        <v>4.6218487394957899</v>
      </c>
      <c r="T46">
        <v>0.6648157281017123</v>
      </c>
    </row>
    <row r="47" spans="2:20" ht="15.6" x14ac:dyDescent="0.3">
      <c r="B47" s="11">
        <v>118.64406779661</v>
      </c>
      <c r="C47">
        <f t="shared" si="0"/>
        <v>2.0742460283721122</v>
      </c>
      <c r="D47">
        <f t="shared" si="6"/>
        <v>4400</v>
      </c>
      <c r="E47">
        <f t="shared" si="7"/>
        <v>4500</v>
      </c>
      <c r="F47" t="str">
        <f t="shared" si="1"/>
        <v>4400-4500</v>
      </c>
      <c r="S47" s="11">
        <v>5.2941176470588198</v>
      </c>
      <c r="T47">
        <v>0.72379358806105065</v>
      </c>
    </row>
    <row r="48" spans="2:20" ht="15.6" x14ac:dyDescent="0.3">
      <c r="B48" s="11">
        <v>121.39303482587</v>
      </c>
      <c r="C48">
        <f t="shared" si="0"/>
        <v>2.0841937689182384</v>
      </c>
      <c r="D48">
        <f t="shared" si="6"/>
        <v>4500</v>
      </c>
      <c r="E48">
        <f t="shared" si="7"/>
        <v>4600</v>
      </c>
      <c r="F48" t="str">
        <f t="shared" si="1"/>
        <v>4500-4600</v>
      </c>
      <c r="S48" s="11">
        <v>5.5252100840336</v>
      </c>
      <c r="T48">
        <v>0.74234879576926371</v>
      </c>
    </row>
    <row r="49" spans="2:20" ht="15.6" x14ac:dyDescent="0.3">
      <c r="B49" s="11">
        <v>121.872477804681</v>
      </c>
      <c r="C49">
        <f t="shared" si="0"/>
        <v>2.0859056409171051</v>
      </c>
      <c r="D49">
        <f t="shared" si="6"/>
        <v>4600</v>
      </c>
      <c r="E49">
        <f t="shared" si="7"/>
        <v>4700</v>
      </c>
      <c r="F49" t="str">
        <f t="shared" si="1"/>
        <v>4600-4700</v>
      </c>
      <c r="S49" s="11">
        <v>5.9033613445378101</v>
      </c>
      <c r="T49">
        <v>0.77109936718458638</v>
      </c>
    </row>
    <row r="50" spans="2:20" ht="15.6" x14ac:dyDescent="0.3">
      <c r="B50" s="11">
        <v>122.88088665752601</v>
      </c>
      <c r="C50">
        <f t="shared" si="0"/>
        <v>2.0894843363876454</v>
      </c>
      <c r="D50">
        <f t="shared" si="6"/>
        <v>4700</v>
      </c>
      <c r="E50">
        <f t="shared" si="7"/>
        <v>4800</v>
      </c>
      <c r="F50" t="str">
        <f t="shared" si="1"/>
        <v>4700-4800</v>
      </c>
      <c r="S50" s="11">
        <v>6.4495798319327697</v>
      </c>
      <c r="T50">
        <v>0.8095314227566931</v>
      </c>
    </row>
    <row r="51" spans="2:20" ht="15.6" x14ac:dyDescent="0.3">
      <c r="B51" s="11">
        <v>124</v>
      </c>
      <c r="C51">
        <f t="shared" si="0"/>
        <v>2.0934216851622351</v>
      </c>
      <c r="D51">
        <f t="shared" si="6"/>
        <v>4800</v>
      </c>
      <c r="E51">
        <f t="shared" si="7"/>
        <v>4900</v>
      </c>
      <c r="F51" t="str">
        <f t="shared" si="1"/>
        <v>4800-4900</v>
      </c>
      <c r="S51" s="11">
        <v>6.0924369747898997</v>
      </c>
      <c r="T51">
        <v>0.78479104517846177</v>
      </c>
    </row>
    <row r="52" spans="2:20" ht="15.6" x14ac:dyDescent="0.3">
      <c r="B52" s="11">
        <v>124.223602484472</v>
      </c>
      <c r="C52">
        <f t="shared" si="0"/>
        <v>2.0942041196321313</v>
      </c>
      <c r="D52">
        <f t="shared" si="6"/>
        <v>4900</v>
      </c>
      <c r="E52">
        <f t="shared" si="7"/>
        <v>5000</v>
      </c>
      <c r="F52" t="str">
        <f t="shared" si="1"/>
        <v>4900-5000</v>
      </c>
      <c r="S52" s="11">
        <v>5.5462184873949498</v>
      </c>
      <c r="T52">
        <v>0.7439969741493373</v>
      </c>
    </row>
    <row r="53" spans="2:20" ht="15.6" x14ac:dyDescent="0.3">
      <c r="B53" s="11">
        <v>125.425198943624</v>
      </c>
      <c r="C53">
        <f t="shared" si="0"/>
        <v>2.0983847985580675</v>
      </c>
      <c r="D53">
        <f t="shared" si="6"/>
        <v>5000</v>
      </c>
      <c r="E53">
        <f t="shared" si="7"/>
        <v>5100</v>
      </c>
      <c r="F53" t="str">
        <f t="shared" si="1"/>
        <v>5000-5100</v>
      </c>
      <c r="S53" s="11">
        <v>6.9747899159663804</v>
      </c>
      <c r="T53">
        <v>0.84353113098354271</v>
      </c>
    </row>
    <row r="54" spans="2:20" ht="15.6" x14ac:dyDescent="0.3">
      <c r="B54" s="11">
        <v>125.89252160841799</v>
      </c>
      <c r="C54">
        <f t="shared" si="0"/>
        <v>2.0999999324854568</v>
      </c>
      <c r="D54">
        <f t="shared" si="6"/>
        <v>5100</v>
      </c>
      <c r="E54">
        <f t="shared" si="7"/>
        <v>5200</v>
      </c>
      <c r="F54" t="str">
        <f t="shared" si="1"/>
        <v>5100-5200</v>
      </c>
      <c r="S54" s="11">
        <v>7.5630252100840298</v>
      </c>
      <c r="T54">
        <v>0.87869554804679395</v>
      </c>
    </row>
    <row r="55" spans="2:20" ht="15.6" x14ac:dyDescent="0.3">
      <c r="B55" s="11">
        <v>127.522195318805</v>
      </c>
      <c r="C55">
        <f t="shared" si="0"/>
        <v>2.1055857805783575</v>
      </c>
      <c r="D55">
        <f t="shared" si="6"/>
        <v>5200</v>
      </c>
      <c r="E55">
        <f t="shared" si="7"/>
        <v>5300</v>
      </c>
      <c r="F55" t="str">
        <f t="shared" si="1"/>
        <v>5200-5300</v>
      </c>
      <c r="S55" s="11">
        <v>9.3697478991596501</v>
      </c>
      <c r="T55">
        <v>0.97172790599164804</v>
      </c>
    </row>
    <row r="56" spans="2:20" ht="15.6" x14ac:dyDescent="0.3">
      <c r="B56" s="11">
        <v>127.854330708661</v>
      </c>
      <c r="C56">
        <f t="shared" si="0"/>
        <v>2.1067154431251258</v>
      </c>
      <c r="D56">
        <f t="shared" si="6"/>
        <v>5300</v>
      </c>
      <c r="E56">
        <f t="shared" si="7"/>
        <v>5400</v>
      </c>
      <c r="F56" t="str">
        <f t="shared" si="1"/>
        <v>5300-5400</v>
      </c>
      <c r="S56" s="11">
        <v>2.6890756302521002</v>
      </c>
      <c r="T56">
        <v>0.42960301692737513</v>
      </c>
    </row>
    <row r="57" spans="2:20" ht="15.6" x14ac:dyDescent="0.3">
      <c r="B57" s="11">
        <v>129</v>
      </c>
      <c r="C57">
        <f t="shared" si="0"/>
        <v>2.1105897102992488</v>
      </c>
      <c r="D57">
        <f>D56+100</f>
        <v>5400</v>
      </c>
      <c r="E57">
        <f>E56+100</f>
        <v>5500</v>
      </c>
      <c r="F57" t="str">
        <f t="shared" si="1"/>
        <v>5400-5500</v>
      </c>
      <c r="S57" s="11">
        <v>3.8865546218487399</v>
      </c>
      <c r="T57">
        <v>0.58956477568252075</v>
      </c>
    </row>
    <row r="58" spans="2:20" ht="15.6" x14ac:dyDescent="0.3">
      <c r="B58" s="11">
        <v>129.13640032284101</v>
      </c>
      <c r="C58">
        <f t="shared" si="0"/>
        <v>2.1110486762798613</v>
      </c>
      <c r="D58">
        <f t="shared" ref="D58:D76" si="8">D57+100</f>
        <v>5500</v>
      </c>
      <c r="E58">
        <f t="shared" ref="E58:E76" si="9">E57+100</f>
        <v>5600</v>
      </c>
      <c r="F58" t="str">
        <f t="shared" si="1"/>
        <v>5500-5600</v>
      </c>
      <c r="S58" s="11">
        <v>4.2857142857142803</v>
      </c>
      <c r="T58">
        <v>0.63202321470540501</v>
      </c>
    </row>
    <row r="59" spans="2:20" ht="15.6" x14ac:dyDescent="0.3">
      <c r="B59" s="11">
        <v>130.434782608695</v>
      </c>
      <c r="C59">
        <f t="shared" si="0"/>
        <v>2.1153934187020673</v>
      </c>
      <c r="D59">
        <f t="shared" si="8"/>
        <v>5600</v>
      </c>
      <c r="E59">
        <f t="shared" si="9"/>
        <v>5700</v>
      </c>
      <c r="F59" t="str">
        <f t="shared" si="1"/>
        <v>5600-5700</v>
      </c>
      <c r="S59" s="11">
        <v>4.76890756302521</v>
      </c>
      <c r="T59">
        <v>0.67841890447262954</v>
      </c>
    </row>
    <row r="60" spans="2:20" ht="15.6" x14ac:dyDescent="0.3">
      <c r="B60" s="11">
        <v>133</v>
      </c>
      <c r="C60">
        <f t="shared" si="0"/>
        <v>2.1238516409670858</v>
      </c>
      <c r="D60">
        <f t="shared" si="8"/>
        <v>5700</v>
      </c>
      <c r="E60">
        <f t="shared" si="9"/>
        <v>5800</v>
      </c>
      <c r="F60" t="str">
        <f t="shared" si="1"/>
        <v>5700-5800</v>
      </c>
      <c r="S60" s="11">
        <v>4.8319327731092399</v>
      </c>
      <c r="T60">
        <v>0.68412088329709941</v>
      </c>
    </row>
    <row r="61" spans="2:20" ht="15.6" x14ac:dyDescent="0.3">
      <c r="B61" s="11">
        <v>138.14262023217199</v>
      </c>
      <c r="C61">
        <f t="shared" si="0"/>
        <v>2.140327689266635</v>
      </c>
      <c r="D61">
        <f t="shared" si="8"/>
        <v>5800</v>
      </c>
      <c r="E61">
        <f t="shared" si="9"/>
        <v>5900</v>
      </c>
      <c r="F61" t="str">
        <f t="shared" si="1"/>
        <v>5800-5900</v>
      </c>
      <c r="S61" s="11">
        <v>6.2605042016806696</v>
      </c>
      <c r="T61">
        <v>0.79660931135576185</v>
      </c>
    </row>
    <row r="62" spans="2:20" ht="15.6" x14ac:dyDescent="0.3">
      <c r="B62" s="11">
        <v>149.068322981367</v>
      </c>
      <c r="C62">
        <f t="shared" si="0"/>
        <v>2.1733853656797577</v>
      </c>
      <c r="D62">
        <f t="shared" si="8"/>
        <v>5900</v>
      </c>
      <c r="E62">
        <f t="shared" si="9"/>
        <v>6000</v>
      </c>
      <c r="F62" t="str">
        <f t="shared" si="1"/>
        <v>5900-6000</v>
      </c>
      <c r="S62" s="11">
        <v>6.2605042016806696</v>
      </c>
      <c r="T62">
        <v>0.79660931135576185</v>
      </c>
    </row>
    <row r="63" spans="2:20" ht="15.6" x14ac:dyDescent="0.3">
      <c r="B63" s="11">
        <v>150.13107289081699</v>
      </c>
      <c r="C63">
        <f t="shared" si="0"/>
        <v>2.176470588235293</v>
      </c>
      <c r="D63">
        <f t="shared" si="8"/>
        <v>6000</v>
      </c>
      <c r="E63">
        <f t="shared" si="9"/>
        <v>6100</v>
      </c>
      <c r="F63" t="str">
        <f t="shared" si="1"/>
        <v>6000-6100</v>
      </c>
      <c r="S63" s="11">
        <v>5.9033613445378101</v>
      </c>
      <c r="T63">
        <v>0.77109936718458638</v>
      </c>
    </row>
    <row r="64" spans="2:20" ht="15.6" x14ac:dyDescent="0.3">
      <c r="B64" s="11">
        <v>150.92816787731999</v>
      </c>
      <c r="C64">
        <f t="shared" si="0"/>
        <v>2.1787703001604344</v>
      </c>
      <c r="D64">
        <f t="shared" si="8"/>
        <v>6100</v>
      </c>
      <c r="E64">
        <f t="shared" si="9"/>
        <v>6200</v>
      </c>
      <c r="F64" t="str">
        <f t="shared" si="1"/>
        <v>6100-6200</v>
      </c>
      <c r="S64" s="11">
        <v>6.3865546218487301</v>
      </c>
      <c r="T64">
        <v>0.80526663088826</v>
      </c>
    </row>
    <row r="65" spans="2:20" ht="15.6" x14ac:dyDescent="0.3">
      <c r="B65" s="11">
        <v>154.963680387409</v>
      </c>
      <c r="C65">
        <f t="shared" si="0"/>
        <v>2.1902299223274855</v>
      </c>
      <c r="D65">
        <f t="shared" si="8"/>
        <v>6200</v>
      </c>
      <c r="E65">
        <f t="shared" si="9"/>
        <v>6300</v>
      </c>
      <c r="F65" t="str">
        <f t="shared" si="1"/>
        <v>6200-6300</v>
      </c>
      <c r="S65" s="11">
        <v>6.8907563025209999</v>
      </c>
      <c r="T65">
        <v>0.83826689099118534</v>
      </c>
    </row>
    <row r="66" spans="2:20" ht="15.6" x14ac:dyDescent="0.3">
      <c r="B66" s="11">
        <v>157.41555954267</v>
      </c>
      <c r="C66">
        <f t="shared" si="0"/>
        <v>2.1970476574356699</v>
      </c>
      <c r="D66">
        <f t="shared" si="8"/>
        <v>6300</v>
      </c>
      <c r="E66">
        <f t="shared" si="9"/>
        <v>6400</v>
      </c>
      <c r="F66" t="str">
        <f t="shared" si="1"/>
        <v>6300-6400</v>
      </c>
      <c r="S66" s="11">
        <v>6.3025210084033496</v>
      </c>
      <c r="T66">
        <v>0.79951430199916851</v>
      </c>
    </row>
    <row r="67" spans="2:20" ht="15.6" x14ac:dyDescent="0.3">
      <c r="B67" s="11">
        <v>158</v>
      </c>
      <c r="C67">
        <f t="shared" ref="C67:C130" si="10">LOG10(B67)</f>
        <v>2.1986570869544226</v>
      </c>
      <c r="D67">
        <f t="shared" si="8"/>
        <v>6400</v>
      </c>
      <c r="E67">
        <f t="shared" si="9"/>
        <v>6500</v>
      </c>
      <c r="F67" t="str">
        <f t="shared" si="1"/>
        <v>6400-6500</v>
      </c>
      <c r="S67" s="11">
        <v>5.71428571428571</v>
      </c>
      <c r="T67">
        <v>0.75696195131370525</v>
      </c>
    </row>
    <row r="68" spans="2:20" ht="15.6" x14ac:dyDescent="0.3">
      <c r="B68" s="11">
        <v>158.60510814396201</v>
      </c>
      <c r="C68">
        <f t="shared" si="10"/>
        <v>2.2003171703902282</v>
      </c>
      <c r="D68">
        <f t="shared" si="8"/>
        <v>6500</v>
      </c>
      <c r="E68">
        <f t="shared" si="9"/>
        <v>6600</v>
      </c>
      <c r="F68" t="str">
        <f t="shared" ref="F68:F131" si="11">_xlfn.CONCAT(D68,"-",E68)</f>
        <v>6500-6600</v>
      </c>
      <c r="S68" s="11">
        <v>6.4705882352941204</v>
      </c>
      <c r="T68">
        <v>0.81094376377995125</v>
      </c>
    </row>
    <row r="69" spans="2:20" ht="15.6" x14ac:dyDescent="0.3">
      <c r="B69" s="11">
        <v>160</v>
      </c>
      <c r="C69">
        <f t="shared" si="10"/>
        <v>2.2041199826559246</v>
      </c>
      <c r="D69">
        <f t="shared" si="8"/>
        <v>6600</v>
      </c>
      <c r="E69">
        <f t="shared" si="9"/>
        <v>6700</v>
      </c>
      <c r="F69" t="str">
        <f t="shared" si="11"/>
        <v>6600-6700</v>
      </c>
      <c r="S69" s="11">
        <v>3.23529411764705</v>
      </c>
      <c r="T69">
        <v>0.50991376811596878</v>
      </c>
    </row>
    <row r="70" spans="2:20" ht="15.6" x14ac:dyDescent="0.3">
      <c r="B70" s="11">
        <v>170</v>
      </c>
      <c r="C70">
        <f t="shared" si="10"/>
        <v>2.2304489213782741</v>
      </c>
      <c r="D70">
        <f t="shared" si="8"/>
        <v>6700</v>
      </c>
      <c r="E70">
        <f t="shared" si="9"/>
        <v>6800</v>
      </c>
      <c r="F70" t="str">
        <f t="shared" si="11"/>
        <v>6700-6800</v>
      </c>
      <c r="S70" s="11">
        <v>3.23529411764705</v>
      </c>
      <c r="T70">
        <v>0.50991376811596878</v>
      </c>
    </row>
    <row r="71" spans="2:20" ht="15.6" x14ac:dyDescent="0.3">
      <c r="B71" s="11">
        <v>170.85436281406999</v>
      </c>
      <c r="C71">
        <f t="shared" si="10"/>
        <v>2.2326260731077667</v>
      </c>
      <c r="D71">
        <f t="shared" si="8"/>
        <v>6800</v>
      </c>
      <c r="E71">
        <f t="shared" si="9"/>
        <v>6900</v>
      </c>
      <c r="F71" t="str">
        <f t="shared" si="11"/>
        <v>6800-6900</v>
      </c>
      <c r="S71" s="11">
        <v>3.6344537815126001</v>
      </c>
      <c r="T71">
        <v>0.56043915040830172</v>
      </c>
    </row>
    <row r="72" spans="2:20" ht="15.6" x14ac:dyDescent="0.3">
      <c r="B72" s="11">
        <v>183.07086614173201</v>
      </c>
      <c r="C72">
        <f t="shared" si="10"/>
        <v>2.262619236270015</v>
      </c>
      <c r="D72">
        <f t="shared" si="8"/>
        <v>6900</v>
      </c>
      <c r="E72">
        <f t="shared" si="9"/>
        <v>7000</v>
      </c>
      <c r="F72" t="str">
        <f t="shared" si="11"/>
        <v>6900-7000</v>
      </c>
      <c r="S72" s="11">
        <v>3.6764705882352802</v>
      </c>
      <c r="T72">
        <v>0.56543109596579966</v>
      </c>
    </row>
    <row r="73" spans="2:20" ht="15.6" x14ac:dyDescent="0.3">
      <c r="B73" s="11">
        <v>185.502123739854</v>
      </c>
      <c r="C73">
        <f t="shared" si="10"/>
        <v>2.2683488860438943</v>
      </c>
      <c r="D73">
        <f t="shared" si="8"/>
        <v>7000</v>
      </c>
      <c r="E73">
        <f t="shared" si="9"/>
        <v>7100</v>
      </c>
      <c r="F73" t="str">
        <f t="shared" si="11"/>
        <v>7000-7100</v>
      </c>
      <c r="S73" s="11">
        <v>5.6302521008403303</v>
      </c>
      <c r="T73">
        <v>0.7505278413082952</v>
      </c>
    </row>
    <row r="74" spans="2:20" ht="15.6" x14ac:dyDescent="0.3">
      <c r="B74" s="11">
        <v>186.335403726707</v>
      </c>
      <c r="C74">
        <f t="shared" si="10"/>
        <v>2.2702953786878104</v>
      </c>
      <c r="D74">
        <f t="shared" si="8"/>
        <v>7100</v>
      </c>
      <c r="E74">
        <f t="shared" si="9"/>
        <v>7200</v>
      </c>
      <c r="F74" t="str">
        <f t="shared" si="11"/>
        <v>7100-7200</v>
      </c>
      <c r="S74" s="11">
        <v>4.9789915966386502</v>
      </c>
      <c r="T74">
        <v>0.69714139328961022</v>
      </c>
    </row>
    <row r="75" spans="2:20" ht="15.6" x14ac:dyDescent="0.3">
      <c r="B75" s="11">
        <v>186.335403726707</v>
      </c>
      <c r="C75">
        <f t="shared" si="10"/>
        <v>2.2702953786878104</v>
      </c>
      <c r="D75">
        <f t="shared" si="8"/>
        <v>7200</v>
      </c>
      <c r="E75">
        <f t="shared" si="9"/>
        <v>7300</v>
      </c>
      <c r="F75" t="str">
        <f t="shared" si="11"/>
        <v>7200-7300</v>
      </c>
      <c r="S75" s="11">
        <v>6.8487394957983101</v>
      </c>
      <c r="T75">
        <v>0.83561064734744528</v>
      </c>
    </row>
    <row r="76" spans="2:20" ht="15.6" x14ac:dyDescent="0.3">
      <c r="B76" s="11">
        <v>186.909448818897</v>
      </c>
      <c r="C76">
        <f t="shared" si="10"/>
        <v>2.2716312567891155</v>
      </c>
      <c r="D76">
        <f t="shared" si="8"/>
        <v>7300</v>
      </c>
      <c r="E76">
        <f t="shared" si="9"/>
        <v>7400</v>
      </c>
      <c r="F76" t="str">
        <f t="shared" si="11"/>
        <v>7300-7400</v>
      </c>
      <c r="S76" s="11">
        <v>8.1722689075630193</v>
      </c>
      <c r="T76">
        <v>0.9123426486052143</v>
      </c>
    </row>
    <row r="77" spans="2:20" ht="15.6" x14ac:dyDescent="0.3">
      <c r="B77" s="11">
        <v>188.05970149253699</v>
      </c>
      <c r="C77">
        <f t="shared" si="10"/>
        <v>2.2742957424167356</v>
      </c>
      <c r="D77">
        <f>D76+100</f>
        <v>7400</v>
      </c>
      <c r="E77">
        <f>E76+100</f>
        <v>7500</v>
      </c>
      <c r="F77" t="str">
        <f t="shared" si="11"/>
        <v>7400-7500</v>
      </c>
      <c r="S77" s="11">
        <v>8.2983193277310896</v>
      </c>
      <c r="T77">
        <v>0.91899014290596692</v>
      </c>
    </row>
    <row r="78" spans="2:20" ht="15.6" x14ac:dyDescent="0.3">
      <c r="B78" s="11">
        <v>188.76404494381899</v>
      </c>
      <c r="C78">
        <f t="shared" si="10"/>
        <v>2.2759192750809474</v>
      </c>
      <c r="D78">
        <f t="shared" ref="D78:D100" si="12">D77+100</f>
        <v>7500</v>
      </c>
      <c r="E78">
        <f t="shared" ref="E78:E100" si="13">E77+100</f>
        <v>7600</v>
      </c>
      <c r="F78" t="str">
        <f t="shared" si="11"/>
        <v>7500-7600</v>
      </c>
      <c r="S78" s="11">
        <v>8.6554621848739401</v>
      </c>
      <c r="T78">
        <v>0.93729026331264098</v>
      </c>
    </row>
    <row r="79" spans="2:20" ht="15.6" x14ac:dyDescent="0.3">
      <c r="B79" s="11">
        <v>188.796680497925</v>
      </c>
      <c r="C79">
        <f t="shared" si="10"/>
        <v>2.2759943540822434</v>
      </c>
      <c r="D79">
        <f t="shared" si="12"/>
        <v>7600</v>
      </c>
      <c r="E79">
        <f t="shared" si="13"/>
        <v>7700</v>
      </c>
      <c r="F79" t="str">
        <f t="shared" si="11"/>
        <v>7600-7700</v>
      </c>
      <c r="S79" s="11">
        <v>8.6554621848739401</v>
      </c>
      <c r="T79">
        <v>0.93729026331264098</v>
      </c>
    </row>
    <row r="80" spans="2:20" ht="15.6" x14ac:dyDescent="0.3">
      <c r="B80" s="11">
        <v>191.28329297820801</v>
      </c>
      <c r="C80">
        <f t="shared" si="10"/>
        <v>2.2816770396340398</v>
      </c>
      <c r="D80">
        <f t="shared" si="12"/>
        <v>7700</v>
      </c>
      <c r="E80">
        <f t="shared" si="13"/>
        <v>7800</v>
      </c>
      <c r="F80" t="str">
        <f t="shared" si="11"/>
        <v>7700-7800</v>
      </c>
      <c r="S80" s="11">
        <v>7.75210084033613</v>
      </c>
      <c r="T80">
        <v>0.88941941343856701</v>
      </c>
    </row>
    <row r="81" spans="2:20" ht="15.6" x14ac:dyDescent="0.3">
      <c r="B81" s="11">
        <v>192</v>
      </c>
      <c r="C81">
        <f t="shared" si="10"/>
        <v>2.2833012287035497</v>
      </c>
      <c r="D81">
        <f t="shared" si="12"/>
        <v>7800</v>
      </c>
      <c r="E81">
        <f t="shared" si="13"/>
        <v>7900</v>
      </c>
      <c r="F81" t="str">
        <f t="shared" si="11"/>
        <v>7800-7900</v>
      </c>
      <c r="S81" s="11">
        <v>7.7100840336134402</v>
      </c>
      <c r="T81">
        <v>0.88705911153159589</v>
      </c>
    </row>
    <row r="82" spans="2:20" ht="15.6" x14ac:dyDescent="0.3">
      <c r="B82" s="11">
        <v>193.97</v>
      </c>
      <c r="C82">
        <f t="shared" si="10"/>
        <v>2.2877345657964887</v>
      </c>
      <c r="D82">
        <f t="shared" si="12"/>
        <v>7900</v>
      </c>
      <c r="E82">
        <f t="shared" si="13"/>
        <v>8000</v>
      </c>
      <c r="F82" t="str">
        <f t="shared" si="11"/>
        <v>7900-8000</v>
      </c>
      <c r="S82" s="11">
        <v>6.0714285714285596</v>
      </c>
      <c r="T82">
        <v>0.7832908900360539</v>
      </c>
    </row>
    <row r="83" spans="2:20" ht="15.6" x14ac:dyDescent="0.3">
      <c r="B83" s="11">
        <v>195</v>
      </c>
      <c r="C83">
        <f t="shared" si="10"/>
        <v>2.2900346113625178</v>
      </c>
      <c r="D83">
        <f t="shared" si="12"/>
        <v>8000</v>
      </c>
      <c r="E83">
        <f t="shared" si="13"/>
        <v>8100</v>
      </c>
      <c r="F83" t="str">
        <f t="shared" si="11"/>
        <v>8000-8100</v>
      </c>
      <c r="S83" s="11">
        <v>6.3025210084033603</v>
      </c>
      <c r="T83">
        <v>0.79951430199916917</v>
      </c>
    </row>
    <row r="84" spans="2:20" ht="15.6" x14ac:dyDescent="0.3">
      <c r="B84" s="11">
        <v>195.5</v>
      </c>
      <c r="C84">
        <f t="shared" si="10"/>
        <v>2.2911467617318855</v>
      </c>
      <c r="D84">
        <f t="shared" si="12"/>
        <v>8100</v>
      </c>
      <c r="E84">
        <f t="shared" si="13"/>
        <v>8200</v>
      </c>
      <c r="F84" t="str">
        <f t="shared" si="11"/>
        <v>8100-8200</v>
      </c>
      <c r="S84" s="11">
        <v>5.7563025210083998</v>
      </c>
      <c r="T84">
        <v>0.76014361009989451</v>
      </c>
    </row>
    <row r="85" spans="2:20" ht="16.2" thickBot="1" x14ac:dyDescent="0.35">
      <c r="B85" s="17">
        <v>197</v>
      </c>
      <c r="C85">
        <f t="shared" si="10"/>
        <v>2.2944662261615929</v>
      </c>
      <c r="D85">
        <f t="shared" si="12"/>
        <v>8200</v>
      </c>
      <c r="E85">
        <f t="shared" si="13"/>
        <v>8300</v>
      </c>
      <c r="F85" t="str">
        <f t="shared" si="11"/>
        <v>8200-8300</v>
      </c>
      <c r="S85" s="17">
        <v>4.5798319327731001</v>
      </c>
      <c r="T85">
        <v>0.66084954088411085</v>
      </c>
    </row>
    <row r="86" spans="2:20" ht="15.6" x14ac:dyDescent="0.3">
      <c r="B86" s="12">
        <v>203.54906054279701</v>
      </c>
      <c r="C86">
        <f t="shared" si="10"/>
        <v>2.3086691022839725</v>
      </c>
      <c r="D86">
        <f t="shared" si="12"/>
        <v>8300</v>
      </c>
      <c r="E86">
        <f t="shared" si="13"/>
        <v>8400</v>
      </c>
      <c r="F86" t="str">
        <f t="shared" si="11"/>
        <v>8300-8400</v>
      </c>
      <c r="S86" s="12">
        <v>1.87045938503582</v>
      </c>
      <c r="T86">
        <v>0.27194828241055169</v>
      </c>
    </row>
    <row r="87" spans="2:20" ht="15.6" x14ac:dyDescent="0.3">
      <c r="B87" s="11">
        <v>206.58356839609399</v>
      </c>
      <c r="C87">
        <f t="shared" si="10"/>
        <v>2.3150957748859171</v>
      </c>
      <c r="D87">
        <f t="shared" si="12"/>
        <v>8400</v>
      </c>
      <c r="E87">
        <f t="shared" si="13"/>
        <v>8500</v>
      </c>
      <c r="F87" t="str">
        <f t="shared" si="11"/>
        <v>8400-8500</v>
      </c>
      <c r="S87" s="11">
        <v>1.97469671431841</v>
      </c>
      <c r="T87">
        <v>0.29550040355121476</v>
      </c>
    </row>
    <row r="88" spans="2:20" ht="15.6" x14ac:dyDescent="0.3">
      <c r="B88" s="11">
        <v>207.42534301856301</v>
      </c>
      <c r="C88">
        <f t="shared" si="10"/>
        <v>2.3168618169552304</v>
      </c>
      <c r="D88">
        <f t="shared" si="12"/>
        <v>8500</v>
      </c>
      <c r="E88">
        <f t="shared" si="13"/>
        <v>8600</v>
      </c>
      <c r="F88" t="str">
        <f t="shared" si="11"/>
        <v>8500-8600</v>
      </c>
      <c r="S88" s="11">
        <v>2.1190253240943</v>
      </c>
      <c r="T88">
        <v>0.32613614691782394</v>
      </c>
    </row>
    <row r="89" spans="2:20" ht="15.6" x14ac:dyDescent="0.3">
      <c r="B89" s="11">
        <v>208.07174887892299</v>
      </c>
      <c r="C89">
        <f t="shared" si="10"/>
        <v>2.3182131175067187</v>
      </c>
      <c r="D89">
        <f t="shared" si="12"/>
        <v>8600</v>
      </c>
      <c r="E89">
        <f t="shared" si="13"/>
        <v>8700</v>
      </c>
      <c r="F89" t="str">
        <f t="shared" si="11"/>
        <v>8600-8700</v>
      </c>
      <c r="S89" s="11">
        <v>2.1080913385052198</v>
      </c>
      <c r="T89">
        <v>0.32388942387895048</v>
      </c>
    </row>
    <row r="90" spans="2:20" ht="15.6" x14ac:dyDescent="0.3">
      <c r="B90" s="11">
        <v>209</v>
      </c>
      <c r="C90">
        <f t="shared" si="10"/>
        <v>2.3201462861110542</v>
      </c>
      <c r="D90">
        <f t="shared" si="12"/>
        <v>8700</v>
      </c>
      <c r="E90">
        <f t="shared" si="13"/>
        <v>8800</v>
      </c>
      <c r="F90" t="str">
        <f t="shared" si="11"/>
        <v>8700-8800</v>
      </c>
      <c r="S90" s="11">
        <v>2.3716003912021102</v>
      </c>
      <c r="T90">
        <v>0.37504151331102015</v>
      </c>
    </row>
    <row r="91" spans="2:20" ht="15.6" x14ac:dyDescent="0.3">
      <c r="B91" s="11">
        <v>210.58091286307101</v>
      </c>
      <c r="C91">
        <f t="shared" si="10"/>
        <v>2.323419004010383</v>
      </c>
      <c r="D91">
        <f t="shared" si="12"/>
        <v>8800</v>
      </c>
      <c r="E91">
        <f t="shared" si="13"/>
        <v>8900</v>
      </c>
      <c r="F91" t="str">
        <f t="shared" si="11"/>
        <v>8800-8900</v>
      </c>
      <c r="S91" s="11">
        <v>2.6241754583099199</v>
      </c>
      <c r="T91">
        <v>0.41899286958634907</v>
      </c>
    </row>
    <row r="92" spans="2:20" ht="15.6" x14ac:dyDescent="0.3">
      <c r="B92" s="11">
        <v>211.83206106870099</v>
      </c>
      <c r="C92">
        <f t="shared" si="10"/>
        <v>2.325991691802928</v>
      </c>
      <c r="D92">
        <f t="shared" si="12"/>
        <v>8900</v>
      </c>
      <c r="E92">
        <f t="shared" si="13"/>
        <v>9000</v>
      </c>
      <c r="F92" t="str">
        <f t="shared" si="11"/>
        <v>8900-9000</v>
      </c>
      <c r="S92" s="11">
        <v>2.8767505254177301</v>
      </c>
      <c r="T92">
        <v>0.45890220108663138</v>
      </c>
    </row>
    <row r="93" spans="2:20" ht="15.6" x14ac:dyDescent="0.3">
      <c r="B93" s="11">
        <v>213.53065539112001</v>
      </c>
      <c r="C93">
        <f t="shared" si="10"/>
        <v>2.3294602330448302</v>
      </c>
      <c r="D93">
        <f t="shared" si="12"/>
        <v>9000</v>
      </c>
      <c r="E93">
        <f t="shared" si="13"/>
        <v>9100</v>
      </c>
      <c r="F93" t="str">
        <f t="shared" si="11"/>
        <v>9000-9100</v>
      </c>
      <c r="S93" s="11">
        <v>3.1052708242295601</v>
      </c>
      <c r="T93">
        <v>0.4920994828827594</v>
      </c>
    </row>
    <row r="94" spans="2:20" ht="15.6" x14ac:dyDescent="0.3">
      <c r="B94" s="11">
        <v>213.882163034705</v>
      </c>
      <c r="C94">
        <f t="shared" si="10"/>
        <v>2.3301745675607437</v>
      </c>
      <c r="D94">
        <f t="shared" si="12"/>
        <v>9100</v>
      </c>
      <c r="E94">
        <f t="shared" si="13"/>
        <v>9200</v>
      </c>
      <c r="F94" t="str">
        <f t="shared" si="11"/>
        <v>9100-9200</v>
      </c>
      <c r="S94" s="11">
        <v>3.5053396022048302</v>
      </c>
      <c r="T94">
        <v>0.54473009939796369</v>
      </c>
    </row>
    <row r="95" spans="2:20" ht="15.6" x14ac:dyDescent="0.3">
      <c r="B95" s="11">
        <v>213.95348837209301</v>
      </c>
      <c r="C95">
        <f t="shared" si="10"/>
        <v>2.3303193717659689</v>
      </c>
      <c r="D95">
        <f t="shared" si="12"/>
        <v>9200</v>
      </c>
      <c r="E95">
        <f t="shared" si="13"/>
        <v>9300</v>
      </c>
      <c r="F95" t="str">
        <f t="shared" si="11"/>
        <v>9200-9300</v>
      </c>
      <c r="S95" s="11">
        <v>3.49549262103104</v>
      </c>
      <c r="T95">
        <v>0.5435083896723264</v>
      </c>
    </row>
    <row r="96" spans="2:20" ht="15.6" x14ac:dyDescent="0.3">
      <c r="B96" s="11">
        <v>221</v>
      </c>
      <c r="C96">
        <f t="shared" si="10"/>
        <v>2.3443922736851106</v>
      </c>
      <c r="D96">
        <f t="shared" si="12"/>
        <v>9300</v>
      </c>
      <c r="E96">
        <f t="shared" si="13"/>
        <v>9400</v>
      </c>
      <c r="F96" t="str">
        <f t="shared" si="11"/>
        <v>9300-9400</v>
      </c>
      <c r="S96" s="11">
        <v>3.6681524023555299</v>
      </c>
      <c r="T96">
        <v>0.5644473711983804</v>
      </c>
    </row>
    <row r="97" spans="2:20" ht="15.6" x14ac:dyDescent="0.3">
      <c r="B97" s="11">
        <v>223.529411764705</v>
      </c>
      <c r="C97">
        <f t="shared" si="10"/>
        <v>2.3493346752385347</v>
      </c>
      <c r="D97">
        <f t="shared" si="12"/>
        <v>9400</v>
      </c>
      <c r="E97">
        <f t="shared" si="13"/>
        <v>9500</v>
      </c>
      <c r="F97" t="str">
        <f t="shared" si="11"/>
        <v>9400-9500</v>
      </c>
      <c r="S97" s="11">
        <v>4.7876011819297899</v>
      </c>
      <c r="T97">
        <v>0.68011796552277337</v>
      </c>
    </row>
    <row r="98" spans="2:20" ht="15.6" x14ac:dyDescent="0.3">
      <c r="B98" s="11">
        <v>223.60248447205001</v>
      </c>
      <c r="C98">
        <f t="shared" si="10"/>
        <v>2.3494766247354382</v>
      </c>
      <c r="D98">
        <f t="shared" si="12"/>
        <v>9500</v>
      </c>
      <c r="E98">
        <f t="shared" si="13"/>
        <v>9600</v>
      </c>
      <c r="F98" t="str">
        <f t="shared" si="11"/>
        <v>9500-9600</v>
      </c>
      <c r="S98" s="11">
        <v>4.9442578604573697</v>
      </c>
      <c r="T98">
        <v>0.69410111265790708</v>
      </c>
    </row>
    <row r="99" spans="2:20" ht="15.6" x14ac:dyDescent="0.3">
      <c r="B99" s="11">
        <v>224.425887265135</v>
      </c>
      <c r="C99">
        <f t="shared" si="10"/>
        <v>2.3510729508370596</v>
      </c>
      <c r="D99">
        <f t="shared" si="12"/>
        <v>9600</v>
      </c>
      <c r="E99">
        <f t="shared" si="13"/>
        <v>9700</v>
      </c>
      <c r="F99" t="str">
        <f t="shared" si="11"/>
        <v>9600-9700</v>
      </c>
      <c r="S99" s="11">
        <v>5.1121257792086103</v>
      </c>
      <c r="T99">
        <v>0.7086015307028144</v>
      </c>
    </row>
    <row r="100" spans="2:20" ht="15.6" x14ac:dyDescent="0.3">
      <c r="B100" s="11">
        <v>225.37313432835799</v>
      </c>
      <c r="C100">
        <f t="shared" si="10"/>
        <v>2.3529021445923424</v>
      </c>
      <c r="D100">
        <f t="shared" si="12"/>
        <v>9700</v>
      </c>
      <c r="E100">
        <f t="shared" si="13"/>
        <v>9800</v>
      </c>
      <c r="F100" t="str">
        <f t="shared" si="11"/>
        <v>9700-9800</v>
      </c>
      <c r="S100" s="11">
        <v>5.2581725867199296</v>
      </c>
      <c r="T100">
        <v>0.72083483666384318</v>
      </c>
    </row>
    <row r="101" spans="2:20" ht="15.6" x14ac:dyDescent="0.3">
      <c r="B101" s="11">
        <v>229.14731752710799</v>
      </c>
      <c r="C101">
        <f t="shared" si="10"/>
        <v>2.3601147776183629</v>
      </c>
      <c r="D101">
        <f>D100+100</f>
        <v>9800</v>
      </c>
      <c r="E101">
        <f>E100+100</f>
        <v>9900</v>
      </c>
      <c r="F101" t="str">
        <f t="shared" si="11"/>
        <v>9800-9900</v>
      </c>
      <c r="S101" s="11">
        <v>5.3423642757558696</v>
      </c>
      <c r="T101">
        <v>0.72773349760465578</v>
      </c>
    </row>
    <row r="102" spans="2:20" ht="15.6" x14ac:dyDescent="0.3">
      <c r="B102" s="11">
        <v>229.27031509120999</v>
      </c>
      <c r="C102">
        <f t="shared" si="10"/>
        <v>2.3603478278365833</v>
      </c>
      <c r="D102">
        <f>D101+100</f>
        <v>9900</v>
      </c>
      <c r="E102">
        <f>E101+100</f>
        <v>10000</v>
      </c>
      <c r="F102" t="str">
        <f t="shared" si="11"/>
        <v>9900-10000</v>
      </c>
      <c r="S102" s="11">
        <v>5.8583390557046799</v>
      </c>
      <c r="T102">
        <v>0.76777450318723506</v>
      </c>
    </row>
    <row r="103" spans="2:20" ht="15.6" x14ac:dyDescent="0.3">
      <c r="B103" s="11">
        <v>230</v>
      </c>
      <c r="C103">
        <f t="shared" si="10"/>
        <v>2.3617278360175931</v>
      </c>
      <c r="D103">
        <f t="shared" ref="D103:D125" si="14">D102+100</f>
        <v>10000</v>
      </c>
      <c r="E103">
        <f t="shared" ref="E103:E125" si="15">E102+100</f>
        <v>10100</v>
      </c>
      <c r="F103" t="str">
        <f t="shared" si="11"/>
        <v>10000-10100</v>
      </c>
      <c r="S103" s="11">
        <v>6.0279251721913498</v>
      </c>
      <c r="T103">
        <v>0.78016785255001098</v>
      </c>
    </row>
    <row r="104" spans="2:20" ht="15.6" x14ac:dyDescent="0.3">
      <c r="B104" s="11">
        <v>231</v>
      </c>
      <c r="C104">
        <f t="shared" si="10"/>
        <v>2.3636119798921444</v>
      </c>
      <c r="D104">
        <f t="shared" si="14"/>
        <v>10100</v>
      </c>
      <c r="E104">
        <f t="shared" si="15"/>
        <v>10200</v>
      </c>
      <c r="F104" t="str">
        <f t="shared" si="11"/>
        <v>10100-10200</v>
      </c>
      <c r="S104" s="11">
        <v>6.20299043034544</v>
      </c>
      <c r="T104">
        <v>0.79260111115829623</v>
      </c>
    </row>
    <row r="105" spans="2:20" ht="15.6" x14ac:dyDescent="0.3">
      <c r="B105" s="11">
        <v>234.86430062630399</v>
      </c>
      <c r="C105">
        <f t="shared" si="10"/>
        <v>2.3708170090328164</v>
      </c>
      <c r="D105">
        <f t="shared" si="14"/>
        <v>10200</v>
      </c>
      <c r="E105">
        <f t="shared" si="15"/>
        <v>10300</v>
      </c>
      <c r="F105" t="str">
        <f t="shared" si="11"/>
        <v>10200-10300</v>
      </c>
      <c r="S105" s="11">
        <v>6.45790415548203</v>
      </c>
      <c r="T105">
        <v>0.81009159517879559</v>
      </c>
    </row>
    <row r="106" spans="2:20" ht="15.6" x14ac:dyDescent="0.3">
      <c r="B106" s="11">
        <v>238.902340597256</v>
      </c>
      <c r="C106">
        <f t="shared" si="10"/>
        <v>2.3782204046828754</v>
      </c>
      <c r="D106">
        <f t="shared" si="14"/>
        <v>10300</v>
      </c>
      <c r="E106">
        <f t="shared" si="15"/>
        <v>10400</v>
      </c>
      <c r="F106" t="str">
        <f t="shared" si="11"/>
        <v>10300-10400</v>
      </c>
      <c r="S106" s="11">
        <v>6.5559273362881498</v>
      </c>
      <c r="T106">
        <v>0.81663413134995988</v>
      </c>
    </row>
    <row r="107" spans="2:20" ht="15.6" x14ac:dyDescent="0.3">
      <c r="B107" s="11">
        <v>239.62655601659799</v>
      </c>
      <c r="C107">
        <f t="shared" si="10"/>
        <v>2.3795349459893145</v>
      </c>
      <c r="D107">
        <f t="shared" si="14"/>
        <v>10400</v>
      </c>
      <c r="E107">
        <f t="shared" si="15"/>
        <v>10500</v>
      </c>
      <c r="F107" t="str">
        <f t="shared" si="11"/>
        <v>10400-10500</v>
      </c>
      <c r="S107" s="11">
        <v>6.5932122271469202</v>
      </c>
      <c r="T107">
        <v>0.81909705535774768</v>
      </c>
    </row>
    <row r="108" spans="2:20" ht="15.6" x14ac:dyDescent="0.3">
      <c r="B108" s="11">
        <v>244</v>
      </c>
      <c r="C108">
        <f t="shared" si="10"/>
        <v>2.3873898263387292</v>
      </c>
      <c r="D108">
        <f t="shared" si="14"/>
        <v>10500</v>
      </c>
      <c r="E108">
        <f t="shared" si="15"/>
        <v>10600</v>
      </c>
      <c r="F108" t="str">
        <f t="shared" si="11"/>
        <v>10500-10600</v>
      </c>
      <c r="S108" s="11">
        <v>6.7174951966761602</v>
      </c>
      <c r="T108">
        <v>0.82720736456441202</v>
      </c>
    </row>
    <row r="109" spans="2:20" ht="15.6" x14ac:dyDescent="0.3">
      <c r="B109" s="11">
        <v>247.780468119451</v>
      </c>
      <c r="C109">
        <f t="shared" si="10"/>
        <v>2.3940670691011228</v>
      </c>
      <c r="D109">
        <f t="shared" si="14"/>
        <v>10600</v>
      </c>
      <c r="E109">
        <f t="shared" si="15"/>
        <v>10700</v>
      </c>
      <c r="F109" t="str">
        <f t="shared" si="11"/>
        <v>10600-10700</v>
      </c>
      <c r="S109" s="11">
        <v>7.18135131198368</v>
      </c>
      <c r="T109">
        <v>0.85620617294969348</v>
      </c>
    </row>
    <row r="110" spans="2:20" ht="15.6" x14ac:dyDescent="0.3">
      <c r="B110" s="11">
        <v>253</v>
      </c>
      <c r="C110">
        <f t="shared" si="10"/>
        <v>2.403120521175818</v>
      </c>
      <c r="D110">
        <f t="shared" si="14"/>
        <v>10700</v>
      </c>
      <c r="E110">
        <f t="shared" si="15"/>
        <v>10800</v>
      </c>
      <c r="F110" t="str">
        <f t="shared" si="11"/>
        <v>10700-10800</v>
      </c>
      <c r="S110" s="11">
        <v>7.4243044717730999</v>
      </c>
      <c r="T110">
        <v>0.87065577405395245</v>
      </c>
    </row>
    <row r="111" spans="2:20" ht="15.6" x14ac:dyDescent="0.3">
      <c r="B111" s="11">
        <v>255.43436428917499</v>
      </c>
      <c r="C111">
        <f t="shared" si="10"/>
        <v>2.4072793236917658</v>
      </c>
      <c r="D111">
        <f t="shared" si="14"/>
        <v>10800</v>
      </c>
      <c r="E111">
        <f t="shared" si="15"/>
        <v>10900</v>
      </c>
      <c r="F111" t="str">
        <f t="shared" si="11"/>
        <v>10800-10900</v>
      </c>
      <c r="S111" s="11">
        <v>7.7418274132800597</v>
      </c>
      <c r="T111">
        <v>0.88884348546710401</v>
      </c>
    </row>
    <row r="112" spans="2:20" ht="15.6" x14ac:dyDescent="0.3">
      <c r="B112" s="11">
        <v>263.51575456053001</v>
      </c>
      <c r="C112">
        <f t="shared" si="10"/>
        <v>2.4208065850672273</v>
      </c>
      <c r="D112">
        <f t="shared" si="14"/>
        <v>10900</v>
      </c>
      <c r="E112">
        <f t="shared" si="15"/>
        <v>11000</v>
      </c>
      <c r="F112" t="str">
        <f t="shared" si="11"/>
        <v>10900-11000</v>
      </c>
      <c r="S112" s="11">
        <v>7.8652849740932602</v>
      </c>
      <c r="T112">
        <v>0.89571446255168752</v>
      </c>
    </row>
    <row r="113" spans="2:20" ht="15.6" x14ac:dyDescent="0.3">
      <c r="B113" s="11">
        <v>268.67219917012397</v>
      </c>
      <c r="C113">
        <f t="shared" si="10"/>
        <v>2.4292227301784202</v>
      </c>
      <c r="D113">
        <f t="shared" si="14"/>
        <v>11000</v>
      </c>
      <c r="E113">
        <f t="shared" si="15"/>
        <v>11100</v>
      </c>
      <c r="F113" t="str">
        <f t="shared" si="11"/>
        <v>11000-11100</v>
      </c>
      <c r="S113" s="11">
        <v>8.0164526846591802</v>
      </c>
      <c r="T113">
        <v>0.90398223358536067</v>
      </c>
    </row>
    <row r="114" spans="2:20" ht="15.6" x14ac:dyDescent="0.3">
      <c r="B114" s="11">
        <v>269.767441860465</v>
      </c>
      <c r="C114">
        <f t="shared" si="10"/>
        <v>2.4309895336473319</v>
      </c>
      <c r="D114">
        <f t="shared" si="14"/>
        <v>11100</v>
      </c>
      <c r="E114">
        <f t="shared" si="15"/>
        <v>11200</v>
      </c>
      <c r="F114" t="str">
        <f t="shared" si="11"/>
        <v>11100-11200</v>
      </c>
      <c r="S114" s="11">
        <v>8.5524731048546503</v>
      </c>
      <c r="T114">
        <v>0.93209171712408867</v>
      </c>
    </row>
    <row r="115" spans="2:20" ht="15.6" x14ac:dyDescent="0.3">
      <c r="B115" s="11">
        <v>273</v>
      </c>
      <c r="C115">
        <f t="shared" si="10"/>
        <v>2.436162647040756</v>
      </c>
      <c r="D115">
        <f t="shared" si="14"/>
        <v>11200</v>
      </c>
      <c r="E115">
        <f t="shared" si="15"/>
        <v>11300</v>
      </c>
      <c r="F115" t="str">
        <f t="shared" si="11"/>
        <v>11200-11300</v>
      </c>
      <c r="S115" s="11">
        <v>8.7856325375521305</v>
      </c>
      <c r="T115">
        <v>0.94377303477601659</v>
      </c>
    </row>
    <row r="116" spans="2:20" ht="15.6" x14ac:dyDescent="0.3">
      <c r="B116" s="11">
        <v>275.93360995850702</v>
      </c>
      <c r="C116">
        <f t="shared" si="10"/>
        <v>2.4408046027282375</v>
      </c>
      <c r="D116">
        <f t="shared" si="14"/>
        <v>11300</v>
      </c>
      <c r="E116">
        <f t="shared" si="15"/>
        <v>11400</v>
      </c>
      <c r="F116" t="str">
        <f t="shared" si="11"/>
        <v>11300-11400</v>
      </c>
      <c r="S116" s="11">
        <v>9.08167800736625</v>
      </c>
      <c r="T116">
        <v>0.95816609984384649</v>
      </c>
    </row>
    <row r="117" spans="2:20" ht="15.6" x14ac:dyDescent="0.3">
      <c r="B117" s="11">
        <v>279.56431535269701</v>
      </c>
      <c r="C117">
        <f t="shared" si="10"/>
        <v>2.4464817356199267</v>
      </c>
      <c r="D117">
        <f t="shared" si="14"/>
        <v>11400</v>
      </c>
      <c r="E117">
        <f t="shared" si="15"/>
        <v>11500</v>
      </c>
      <c r="F117" t="str">
        <f t="shared" si="11"/>
        <v>11400-11500</v>
      </c>
      <c r="S117" s="11">
        <v>9.3246311671556601</v>
      </c>
      <c r="T117">
        <v>0.96963166243922649</v>
      </c>
    </row>
    <row r="118" spans="2:20" ht="15.6" x14ac:dyDescent="0.3">
      <c r="B118" s="11">
        <v>285.41226215644798</v>
      </c>
      <c r="C118">
        <f t="shared" si="10"/>
        <v>2.4554726277571941</v>
      </c>
      <c r="D118">
        <f t="shared" si="14"/>
        <v>11500</v>
      </c>
      <c r="E118">
        <f t="shared" si="15"/>
        <v>11600</v>
      </c>
      <c r="F118" t="str">
        <f t="shared" si="11"/>
        <v>11500-11600</v>
      </c>
      <c r="S118" s="11">
        <v>9.4390763532407806</v>
      </c>
      <c r="T118">
        <v>0.9749294991374402</v>
      </c>
    </row>
    <row r="119" spans="2:20" ht="15.6" x14ac:dyDescent="0.3">
      <c r="B119" s="11">
        <v>291</v>
      </c>
      <c r="C119">
        <f t="shared" si="10"/>
        <v>2.4638929889859074</v>
      </c>
      <c r="D119">
        <f t="shared" si="14"/>
        <v>11600</v>
      </c>
      <c r="E119">
        <f t="shared" si="15"/>
        <v>11700</v>
      </c>
      <c r="F119" t="str">
        <f t="shared" si="11"/>
        <v>11600-11700</v>
      </c>
      <c r="S119" s="11">
        <v>9.4677570385167602</v>
      </c>
      <c r="T119">
        <v>0.97624710453953767</v>
      </c>
    </row>
    <row r="120" spans="2:20" ht="15.6" x14ac:dyDescent="0.3">
      <c r="B120" s="11">
        <v>294.94382022471802</v>
      </c>
      <c r="C120">
        <f t="shared" si="10"/>
        <v>2.4697393010970612</v>
      </c>
      <c r="D120">
        <f t="shared" si="14"/>
        <v>11700</v>
      </c>
      <c r="E120">
        <f t="shared" si="15"/>
        <v>11800</v>
      </c>
      <c r="F120" t="str">
        <f t="shared" si="11"/>
        <v>11700-11800</v>
      </c>
      <c r="S120" s="11">
        <v>9.5702761700639201</v>
      </c>
      <c r="T120">
        <v>0.98092447042096742</v>
      </c>
    </row>
    <row r="121" spans="2:20" ht="15.6" x14ac:dyDescent="0.3">
      <c r="B121" s="11">
        <v>296.72491796070597</v>
      </c>
      <c r="C121">
        <f t="shared" si="10"/>
        <v>2.4723540184382973</v>
      </c>
      <c r="D121">
        <f t="shared" si="14"/>
        <v>11800</v>
      </c>
      <c r="E121">
        <f t="shared" si="15"/>
        <v>11900</v>
      </c>
      <c r="F121" t="str">
        <f t="shared" si="11"/>
        <v>11800-11900</v>
      </c>
      <c r="S121" s="11">
        <v>9.7323594897725592</v>
      </c>
      <c r="T121">
        <v>0.98821814234068162</v>
      </c>
    </row>
    <row r="122" spans="2:20" ht="15.6" x14ac:dyDescent="0.3">
      <c r="B122" s="11">
        <v>298.13664596273298</v>
      </c>
      <c r="C122">
        <f t="shared" si="10"/>
        <v>2.4744153613437376</v>
      </c>
      <c r="D122">
        <f t="shared" si="14"/>
        <v>11900</v>
      </c>
      <c r="E122">
        <f t="shared" si="15"/>
        <v>12000</v>
      </c>
      <c r="F122" t="str">
        <f t="shared" si="11"/>
        <v>11900-12000</v>
      </c>
      <c r="S122" s="11">
        <v>10.1277597436377</v>
      </c>
      <c r="T122">
        <v>1.0055133902196851</v>
      </c>
    </row>
    <row r="123" spans="2:20" ht="15.6" x14ac:dyDescent="0.3">
      <c r="B123" s="11">
        <v>301.34854771784302</v>
      </c>
      <c r="C123">
        <f t="shared" si="10"/>
        <v>2.4790691028235199</v>
      </c>
      <c r="D123">
        <f t="shared" si="14"/>
        <v>12000</v>
      </c>
      <c r="E123">
        <f t="shared" si="15"/>
        <v>12100</v>
      </c>
      <c r="F123" t="str">
        <f t="shared" si="11"/>
        <v>12000-12100</v>
      </c>
      <c r="S123" s="11">
        <v>10.1925651884877</v>
      </c>
      <c r="T123">
        <v>1.0082834977459709</v>
      </c>
    </row>
    <row r="124" spans="2:20" ht="15.6" x14ac:dyDescent="0.3">
      <c r="B124" s="11">
        <v>305.08474576271101</v>
      </c>
      <c r="C124">
        <f t="shared" si="10"/>
        <v>2.4844204934611605</v>
      </c>
      <c r="D124">
        <f t="shared" si="14"/>
        <v>12100</v>
      </c>
      <c r="E124">
        <f t="shared" si="15"/>
        <v>12200</v>
      </c>
      <c r="F124" t="str">
        <f t="shared" si="11"/>
        <v>12100-12200</v>
      </c>
      <c r="S124" s="11">
        <v>10.278402730091299</v>
      </c>
      <c r="T124">
        <v>1.0119256302814128</v>
      </c>
    </row>
    <row r="125" spans="2:20" ht="15.6" x14ac:dyDescent="0.3">
      <c r="B125" s="11">
        <v>308.60995850622402</v>
      </c>
      <c r="C125">
        <f t="shared" si="10"/>
        <v>2.4894099361617377</v>
      </c>
      <c r="D125">
        <f t="shared" si="14"/>
        <v>12200</v>
      </c>
      <c r="E125">
        <f t="shared" si="15"/>
        <v>12300</v>
      </c>
      <c r="F125" t="str">
        <f t="shared" si="11"/>
        <v>12200-12300</v>
      </c>
      <c r="S125" s="11">
        <v>10.3505670349792</v>
      </c>
      <c r="T125">
        <v>1.0149641423936087</v>
      </c>
    </row>
    <row r="126" spans="2:20" ht="15.6" x14ac:dyDescent="0.3">
      <c r="B126" s="11">
        <v>309.927360774818</v>
      </c>
      <c r="C126">
        <f t="shared" si="10"/>
        <v>2.4912599179914667</v>
      </c>
      <c r="D126">
        <f>D125+100</f>
        <v>12300</v>
      </c>
      <c r="E126">
        <f>E125+100</f>
        <v>12400</v>
      </c>
      <c r="F126" t="str">
        <f t="shared" si="11"/>
        <v>12300-12400</v>
      </c>
      <c r="S126" s="11">
        <v>10.817989164183301</v>
      </c>
      <c r="T126">
        <v>1.0341465420960847</v>
      </c>
    </row>
    <row r="127" spans="2:20" ht="15.6" x14ac:dyDescent="0.3">
      <c r="B127" s="11">
        <v>312.02290076335902</v>
      </c>
      <c r="C127">
        <f t="shared" si="10"/>
        <v>2.4941864700125786</v>
      </c>
      <c r="D127">
        <f t="shared" ref="D127:D142" si="16">D126+100</f>
        <v>12400</v>
      </c>
      <c r="E127">
        <f t="shared" ref="E127:E142" si="17">E126+100</f>
        <v>12500</v>
      </c>
      <c r="F127" t="str">
        <f t="shared" si="11"/>
        <v>12400-12500</v>
      </c>
      <c r="S127" s="11">
        <v>11.0914538984955</v>
      </c>
      <c r="T127">
        <v>1.0449884784041543</v>
      </c>
    </row>
    <row r="128" spans="2:20" ht="15.6" x14ac:dyDescent="0.3">
      <c r="B128" s="11">
        <v>312.10762331838498</v>
      </c>
      <c r="C128">
        <f t="shared" si="10"/>
        <v>2.4943043765624004</v>
      </c>
      <c r="D128">
        <f t="shared" si="16"/>
        <v>12500</v>
      </c>
      <c r="E128">
        <f t="shared" si="17"/>
        <v>12600</v>
      </c>
      <c r="F128" t="str">
        <f t="shared" si="11"/>
        <v>12500-12600</v>
      </c>
      <c r="S128" s="11">
        <v>11.2868988909003</v>
      </c>
      <c r="T128">
        <v>1.0525746346113498</v>
      </c>
    </row>
    <row r="129" spans="2:20" ht="15.6" x14ac:dyDescent="0.3">
      <c r="B129" s="11">
        <v>312.24066390041497</v>
      </c>
      <c r="C129">
        <f t="shared" si="10"/>
        <v>2.4944894616910127</v>
      </c>
      <c r="D129">
        <f t="shared" si="16"/>
        <v>12600</v>
      </c>
      <c r="E129">
        <f t="shared" si="17"/>
        <v>12700</v>
      </c>
      <c r="F129" t="str">
        <f t="shared" si="11"/>
        <v>12600-12700</v>
      </c>
      <c r="S129" s="11">
        <v>11.259837276567399</v>
      </c>
      <c r="T129">
        <v>1.0515321142809135</v>
      </c>
    </row>
    <row r="130" spans="2:20" ht="15.6" x14ac:dyDescent="0.3">
      <c r="B130" s="11">
        <v>315.87136929460502</v>
      </c>
      <c r="C130">
        <f t="shared" si="10"/>
        <v>2.4995102630660622</v>
      </c>
      <c r="D130">
        <f t="shared" si="16"/>
        <v>12700</v>
      </c>
      <c r="E130">
        <f t="shared" si="17"/>
        <v>12800</v>
      </c>
      <c r="F130" t="str">
        <f t="shared" si="11"/>
        <v>12700-12800</v>
      </c>
      <c r="S130" s="11">
        <v>12.1184074680547</v>
      </c>
      <c r="T130">
        <v>1.0834455510778747</v>
      </c>
    </row>
    <row r="131" spans="2:20" ht="15.6" x14ac:dyDescent="0.3">
      <c r="B131" s="11">
        <v>317</v>
      </c>
      <c r="C131">
        <f t="shared" ref="C131:C194" si="18">LOG10(B131)</f>
        <v>2.5010592622177517</v>
      </c>
      <c r="D131">
        <f t="shared" si="16"/>
        <v>12800</v>
      </c>
      <c r="E131">
        <f t="shared" si="17"/>
        <v>12900</v>
      </c>
      <c r="F131" t="str">
        <f t="shared" si="11"/>
        <v>12800-12900</v>
      </c>
      <c r="S131" s="11">
        <v>13.050714776203201</v>
      </c>
      <c r="T131">
        <v>1.1156342982536012</v>
      </c>
    </row>
    <row r="132" spans="2:20" ht="15.6" x14ac:dyDescent="0.3">
      <c r="B132" s="11">
        <v>318.80548829701303</v>
      </c>
      <c r="C132">
        <f t="shared" si="18"/>
        <v>2.5035257892503959</v>
      </c>
      <c r="D132">
        <f t="shared" si="16"/>
        <v>12900</v>
      </c>
      <c r="E132">
        <f t="shared" si="17"/>
        <v>13000</v>
      </c>
      <c r="F132" t="str">
        <f t="shared" ref="F132:F195" si="19">_xlfn.CONCAT(D132,"-",E132)</f>
        <v>12900-13000</v>
      </c>
      <c r="S132" s="11">
        <v>13.307069878328999</v>
      </c>
      <c r="T132">
        <v>1.1240824374608231</v>
      </c>
    </row>
    <row r="133" spans="2:20" ht="15.6" x14ac:dyDescent="0.3">
      <c r="B133" s="11">
        <v>319.28251121076102</v>
      </c>
      <c r="C133">
        <f t="shared" si="18"/>
        <v>2.5041751305886941</v>
      </c>
      <c r="D133">
        <f t="shared" si="16"/>
        <v>13000</v>
      </c>
      <c r="E133">
        <f t="shared" si="17"/>
        <v>13100</v>
      </c>
      <c r="F133" t="str">
        <f t="shared" si="19"/>
        <v>13000-13100</v>
      </c>
      <c r="S133" s="11">
        <v>13.232328276837899</v>
      </c>
      <c r="T133">
        <v>1.1216362666228266</v>
      </c>
    </row>
    <row r="134" spans="2:20" ht="15.6" x14ac:dyDescent="0.3">
      <c r="B134" s="11">
        <v>320</v>
      </c>
      <c r="C134">
        <f t="shared" si="18"/>
        <v>2.5051499783199058</v>
      </c>
      <c r="D134">
        <f t="shared" si="16"/>
        <v>13100</v>
      </c>
      <c r="E134">
        <f t="shared" si="17"/>
        <v>13200</v>
      </c>
      <c r="F134" t="str">
        <f t="shared" si="19"/>
        <v>13100-13200</v>
      </c>
      <c r="S134" s="11">
        <v>13.5678922945668</v>
      </c>
      <c r="T134">
        <v>1.1325123873845602</v>
      </c>
    </row>
    <row r="135" spans="2:20" ht="15.6" x14ac:dyDescent="0.3">
      <c r="B135" s="11">
        <v>322.84100080710198</v>
      </c>
      <c r="C135">
        <f t="shared" si="18"/>
        <v>2.5089886849518983</v>
      </c>
      <c r="D135">
        <f t="shared" si="16"/>
        <v>13200</v>
      </c>
      <c r="E135">
        <f t="shared" si="17"/>
        <v>13300</v>
      </c>
      <c r="F135" t="str">
        <f t="shared" si="19"/>
        <v>13200-13300</v>
      </c>
      <c r="S135" s="11">
        <v>13.713423642757499</v>
      </c>
      <c r="T135">
        <v>1.1371458926844076</v>
      </c>
    </row>
    <row r="136" spans="2:20" ht="15.6" x14ac:dyDescent="0.3">
      <c r="B136" s="11">
        <v>331.77570093457899</v>
      </c>
      <c r="C136">
        <f t="shared" si="18"/>
        <v>2.520844575369884</v>
      </c>
      <c r="D136">
        <f t="shared" si="16"/>
        <v>13300</v>
      </c>
      <c r="E136">
        <f t="shared" si="17"/>
        <v>13400</v>
      </c>
      <c r="F136" t="str">
        <f t="shared" si="19"/>
        <v>13300-13400</v>
      </c>
      <c r="S136" s="11">
        <v>13.8457248683854</v>
      </c>
      <c r="T136">
        <v>1.1413156973946432</v>
      </c>
    </row>
    <row r="137" spans="2:20" ht="15.6" x14ac:dyDescent="0.3">
      <c r="B137" s="11">
        <v>333.33333333333297</v>
      </c>
      <c r="C137">
        <f t="shared" si="18"/>
        <v>2.522878745280337</v>
      </c>
      <c r="D137">
        <f t="shared" si="16"/>
        <v>13400</v>
      </c>
      <c r="E137">
        <f t="shared" si="17"/>
        <v>13500</v>
      </c>
      <c r="F137" t="str">
        <f t="shared" si="19"/>
        <v>13400-13500</v>
      </c>
      <c r="S137" s="11">
        <v>14.426204408580499</v>
      </c>
      <c r="T137">
        <v>1.1591520815272509</v>
      </c>
    </row>
    <row r="138" spans="2:20" ht="15.6" x14ac:dyDescent="0.3">
      <c r="B138" s="11">
        <v>334.09851355817801</v>
      </c>
      <c r="C138">
        <f t="shared" si="18"/>
        <v>2.5238745434174876</v>
      </c>
      <c r="D138">
        <f t="shared" si="16"/>
        <v>13500</v>
      </c>
      <c r="E138">
        <f t="shared" si="17"/>
        <v>13600</v>
      </c>
      <c r="F138" t="str">
        <f t="shared" si="19"/>
        <v>13500-13600</v>
      </c>
      <c r="S138" s="11">
        <v>14.5842062550721</v>
      </c>
      <c r="T138">
        <v>1.1638827976385731</v>
      </c>
    </row>
    <row r="139" spans="2:20" ht="15.6" x14ac:dyDescent="0.3">
      <c r="B139" s="11">
        <v>338.21871476888299</v>
      </c>
      <c r="C139">
        <f t="shared" si="18"/>
        <v>2.529197634887935</v>
      </c>
      <c r="D139">
        <f t="shared" si="16"/>
        <v>13600</v>
      </c>
      <c r="E139">
        <f t="shared" si="17"/>
        <v>13700</v>
      </c>
      <c r="F139" t="str">
        <f t="shared" si="19"/>
        <v>13600-13700</v>
      </c>
      <c r="S139" s="11">
        <v>2.9769787266509899</v>
      </c>
      <c r="T139">
        <v>0.47377573121001099</v>
      </c>
    </row>
    <row r="140" spans="2:20" ht="15.6" x14ac:dyDescent="0.3">
      <c r="B140" s="11">
        <v>349.492671927846</v>
      </c>
      <c r="C140">
        <f t="shared" si="18"/>
        <v>2.5434380740025455</v>
      </c>
      <c r="D140">
        <f t="shared" si="16"/>
        <v>13700</v>
      </c>
      <c r="E140">
        <f t="shared" si="17"/>
        <v>13800</v>
      </c>
      <c r="F140" t="str">
        <f t="shared" si="19"/>
        <v>13700-13800</v>
      </c>
      <c r="S140" s="11">
        <v>3.1694168730188399</v>
      </c>
      <c r="T140">
        <v>0.50097936564809731</v>
      </c>
    </row>
    <row r="141" spans="2:20" ht="15.6" x14ac:dyDescent="0.3">
      <c r="B141" s="11">
        <v>354.03726708074498</v>
      </c>
      <c r="C141">
        <f t="shared" si="18"/>
        <v>2.549048979640641</v>
      </c>
      <c r="D141">
        <f t="shared" si="16"/>
        <v>13800</v>
      </c>
      <c r="E141">
        <f t="shared" si="17"/>
        <v>13900</v>
      </c>
      <c r="F141" t="str">
        <f t="shared" si="19"/>
        <v>13800-13900</v>
      </c>
      <c r="S141" s="11">
        <v>3.43860118490245</v>
      </c>
      <c r="T141">
        <v>0.53638180849430628</v>
      </c>
    </row>
    <row r="142" spans="2:20" ht="15.6" x14ac:dyDescent="0.3">
      <c r="B142" s="11">
        <v>355.80912863070603</v>
      </c>
      <c r="C142">
        <f t="shared" si="18"/>
        <v>2.5512170861399404</v>
      </c>
      <c r="D142">
        <f t="shared" si="16"/>
        <v>13900</v>
      </c>
      <c r="E142">
        <f t="shared" si="17"/>
        <v>14000</v>
      </c>
      <c r="F142" t="str">
        <f t="shared" si="19"/>
        <v>13900-14000</v>
      </c>
      <c r="S142" s="11">
        <v>3.62545518863016</v>
      </c>
      <c r="T142">
        <v>0.55936254152762055</v>
      </c>
    </row>
    <row r="143" spans="2:20" ht="15.6" x14ac:dyDescent="0.3">
      <c r="B143" s="11">
        <v>357.29386892177502</v>
      </c>
      <c r="C143">
        <f t="shared" si="18"/>
        <v>2.553025563875861</v>
      </c>
      <c r="F143" t="str">
        <f t="shared" si="19"/>
        <v>-</v>
      </c>
      <c r="S143" s="11">
        <v>4.3051792662879498</v>
      </c>
      <c r="T143">
        <v>0.63399124004953655</v>
      </c>
    </row>
    <row r="144" spans="2:20" ht="15.6" x14ac:dyDescent="0.3">
      <c r="B144" s="11">
        <v>363.39455397989303</v>
      </c>
      <c r="C144">
        <f t="shared" si="18"/>
        <v>2.5603784144574213</v>
      </c>
      <c r="F144" t="str">
        <f t="shared" si="19"/>
        <v>-</v>
      </c>
      <c r="S144" s="11">
        <v>4.5104702055198302</v>
      </c>
      <c r="T144">
        <v>0.65422181837866511</v>
      </c>
    </row>
    <row r="145" spans="2:20" ht="15.6" x14ac:dyDescent="0.3">
      <c r="B145" s="11">
        <v>364.81033091202499</v>
      </c>
      <c r="C145">
        <f t="shared" si="18"/>
        <v>2.5620671284353178</v>
      </c>
      <c r="F145" t="str">
        <f t="shared" si="19"/>
        <v>-</v>
      </c>
      <c r="S145" s="11">
        <v>5.0717481324260696</v>
      </c>
      <c r="T145">
        <v>0.70515767795460005</v>
      </c>
    </row>
    <row r="146" spans="2:20" ht="15.6" x14ac:dyDescent="0.3">
      <c r="B146" s="11">
        <v>369.614512471654</v>
      </c>
      <c r="C146">
        <f t="shared" si="18"/>
        <v>2.5677490149361177</v>
      </c>
      <c r="F146" t="str">
        <f t="shared" si="19"/>
        <v>-</v>
      </c>
      <c r="S146" s="11">
        <v>5.3183095074598903</v>
      </c>
      <c r="T146">
        <v>0.72577360818745229</v>
      </c>
    </row>
    <row r="147" spans="2:20" ht="15.6" x14ac:dyDescent="0.3">
      <c r="B147" s="11">
        <v>372.32734017618702</v>
      </c>
      <c r="C147">
        <f t="shared" si="18"/>
        <v>2.5709249278426101</v>
      </c>
      <c r="F147" t="str">
        <f t="shared" si="19"/>
        <v>-</v>
      </c>
      <c r="S147" s="11">
        <v>5.5616871631604097</v>
      </c>
      <c r="T147">
        <v>0.74520655678018033</v>
      </c>
    </row>
    <row r="148" spans="2:20" ht="15.6" x14ac:dyDescent="0.3">
      <c r="B148" s="11">
        <v>372.54901960784298</v>
      </c>
      <c r="C148">
        <f t="shared" si="18"/>
        <v>2.5711834248548926</v>
      </c>
      <c r="F148" t="str">
        <f t="shared" si="19"/>
        <v>-</v>
      </c>
      <c r="S148" s="11">
        <v>5.88961025448946</v>
      </c>
      <c r="T148">
        <v>0.77008655625993838</v>
      </c>
    </row>
    <row r="149" spans="2:20" ht="15.6" x14ac:dyDescent="0.3">
      <c r="B149" s="11">
        <v>376.168224299065</v>
      </c>
      <c r="C149">
        <f t="shared" si="18"/>
        <v>2.5753821070186773</v>
      </c>
      <c r="F149" t="str">
        <f t="shared" si="19"/>
        <v>-</v>
      </c>
      <c r="S149" s="11">
        <v>6.8221681198021802</v>
      </c>
      <c r="T149">
        <v>0.83392241759303432</v>
      </c>
    </row>
    <row r="150" spans="2:20" ht="15.6" x14ac:dyDescent="0.3">
      <c r="B150" s="11">
        <v>376.68161434977497</v>
      </c>
      <c r="C150">
        <f t="shared" si="18"/>
        <v>2.57597442301372</v>
      </c>
      <c r="F150" t="str">
        <f t="shared" si="19"/>
        <v>-</v>
      </c>
      <c r="S150" s="11">
        <v>7.1213126719712596</v>
      </c>
      <c r="T150">
        <v>0.85256005454253447</v>
      </c>
    </row>
    <row r="151" spans="2:20" ht="15.6" x14ac:dyDescent="0.3">
      <c r="B151" s="11">
        <v>377.59336099584999</v>
      </c>
      <c r="C151">
        <f t="shared" si="18"/>
        <v>2.5770243497462246</v>
      </c>
      <c r="F151" t="str">
        <f t="shared" si="19"/>
        <v>-</v>
      </c>
      <c r="S151" s="11">
        <v>7.3247722277164202</v>
      </c>
      <c r="T151">
        <v>0.86479412434575209</v>
      </c>
    </row>
    <row r="152" spans="2:20" ht="15.6" x14ac:dyDescent="0.3">
      <c r="B152" s="11">
        <v>380.2</v>
      </c>
      <c r="C152">
        <f t="shared" si="18"/>
        <v>2.5800121125294244</v>
      </c>
      <c r="F152" t="str">
        <f t="shared" si="19"/>
        <v>-</v>
      </c>
      <c r="S152" s="11">
        <v>7.3610666037783803</v>
      </c>
      <c r="T152">
        <v>0.86694074729590542</v>
      </c>
    </row>
    <row r="153" spans="2:20" ht="15.6" x14ac:dyDescent="0.3">
      <c r="B153" s="11">
        <v>381.90962864321602</v>
      </c>
      <c r="C153">
        <f t="shared" si="18"/>
        <v>2.581960607872932</v>
      </c>
      <c r="F153" t="str">
        <f t="shared" si="19"/>
        <v>-</v>
      </c>
      <c r="S153" s="11">
        <v>8.9085183566736692</v>
      </c>
      <c r="T153">
        <v>0.94980547923014547</v>
      </c>
    </row>
    <row r="154" spans="2:20" ht="15.6" x14ac:dyDescent="0.3">
      <c r="B154" s="11">
        <v>386</v>
      </c>
      <c r="C154">
        <f t="shared" si="18"/>
        <v>2.5865873046717551</v>
      </c>
      <c r="F154" t="str">
        <f t="shared" si="19"/>
        <v>-</v>
      </c>
      <c r="S154" s="11">
        <v>7.18134715025906</v>
      </c>
      <c r="T154">
        <v>0.85620592126801376</v>
      </c>
    </row>
    <row r="155" spans="2:20" ht="15.6" x14ac:dyDescent="0.3">
      <c r="B155" s="11">
        <v>387.44394618834002</v>
      </c>
      <c r="C155">
        <f t="shared" si="18"/>
        <v>2.5882088794307316</v>
      </c>
      <c r="F155" t="str">
        <f t="shared" si="19"/>
        <v>-</v>
      </c>
      <c r="S155" s="11">
        <v>4.6943005181347104</v>
      </c>
      <c r="T155">
        <v>0.67157088866903891</v>
      </c>
    </row>
    <row r="156" spans="2:20" ht="15.6" x14ac:dyDescent="0.3">
      <c r="B156" s="11">
        <v>388.629283489096</v>
      </c>
      <c r="C156">
        <f t="shared" si="18"/>
        <v>2.5895355218905549</v>
      </c>
      <c r="F156" t="str">
        <f t="shared" si="19"/>
        <v>-</v>
      </c>
      <c r="S156" s="11">
        <v>4.9119170984455902</v>
      </c>
      <c r="T156">
        <v>0.69125102833029195</v>
      </c>
    </row>
    <row r="157" spans="2:20" ht="16.2" thickBot="1" x14ac:dyDescent="0.35">
      <c r="B157" s="17">
        <v>388.95152198421601</v>
      </c>
      <c r="C157">
        <f t="shared" si="18"/>
        <v>2.5898954752415473</v>
      </c>
      <c r="F157" t="str">
        <f t="shared" si="19"/>
        <v>-</v>
      </c>
      <c r="S157" s="17">
        <v>5.03626943005181</v>
      </c>
      <c r="T157">
        <v>0.70210895591850053</v>
      </c>
    </row>
    <row r="158" spans="2:20" ht="15.6" x14ac:dyDescent="0.3">
      <c r="B158" s="12">
        <v>391</v>
      </c>
      <c r="C158">
        <f t="shared" si="18"/>
        <v>2.5921767573958667</v>
      </c>
      <c r="F158" t="str">
        <f t="shared" si="19"/>
        <v>-</v>
      </c>
      <c r="S158" s="12">
        <v>1.39601139601139</v>
      </c>
      <c r="T158">
        <v>0.14488896356268771</v>
      </c>
    </row>
    <row r="159" spans="2:20" ht="15.6" x14ac:dyDescent="0.3">
      <c r="B159" s="11">
        <v>391.12050739957698</v>
      </c>
      <c r="C159">
        <f t="shared" si="18"/>
        <v>2.5923105876652022</v>
      </c>
      <c r="F159" t="str">
        <f t="shared" si="19"/>
        <v>-</v>
      </c>
      <c r="S159" s="11">
        <v>1.6025641025641</v>
      </c>
      <c r="T159">
        <v>0.2048154103175753</v>
      </c>
    </row>
    <row r="160" spans="2:20" ht="15.6" x14ac:dyDescent="0.3">
      <c r="B160" s="11">
        <v>391.120507399578</v>
      </c>
      <c r="C160">
        <f t="shared" si="18"/>
        <v>2.5923105876652031</v>
      </c>
      <c r="F160" t="str">
        <f t="shared" si="19"/>
        <v>-</v>
      </c>
      <c r="S160" s="11">
        <v>1.7022792022791999</v>
      </c>
      <c r="T160">
        <v>0.23103079315435063</v>
      </c>
    </row>
    <row r="161" spans="2:20" ht="15.6" x14ac:dyDescent="0.3">
      <c r="B161" s="11">
        <v>393.02325581395303</v>
      </c>
      <c r="C161">
        <f t="shared" si="18"/>
        <v>2.5944182490340864</v>
      </c>
      <c r="F161" t="str">
        <f t="shared" si="19"/>
        <v>-</v>
      </c>
      <c r="S161" s="11">
        <v>1.8589743589743499</v>
      </c>
      <c r="T161">
        <v>0.26927339954449236</v>
      </c>
    </row>
    <row r="162" spans="2:20" ht="15.6" x14ac:dyDescent="0.3">
      <c r="B162" s="11">
        <v>393.05891848264702</v>
      </c>
      <c r="C162">
        <f t="shared" si="18"/>
        <v>2.5944576548385707</v>
      </c>
      <c r="F162" t="str">
        <f t="shared" si="19"/>
        <v>-</v>
      </c>
      <c r="S162" s="11">
        <v>2.8774928774928701</v>
      </c>
      <c r="T162">
        <v>0.45901425731681739</v>
      </c>
    </row>
    <row r="163" spans="2:20" ht="15.6" x14ac:dyDescent="0.3">
      <c r="B163" s="11">
        <v>394</v>
      </c>
      <c r="C163">
        <f t="shared" si="18"/>
        <v>2.5954962218255742</v>
      </c>
      <c r="F163" t="str">
        <f t="shared" si="19"/>
        <v>-</v>
      </c>
      <c r="S163" s="11">
        <v>3.4971509971509902</v>
      </c>
      <c r="T163">
        <v>0.54371438432918118</v>
      </c>
    </row>
    <row r="164" spans="2:20" ht="15.6" x14ac:dyDescent="0.3">
      <c r="B164" s="11">
        <v>396.659707724425</v>
      </c>
      <c r="C164">
        <f t="shared" si="18"/>
        <v>2.5984180875382648</v>
      </c>
      <c r="F164" t="str">
        <f t="shared" si="19"/>
        <v>-</v>
      </c>
      <c r="S164" s="11">
        <v>3.88888888888888</v>
      </c>
      <c r="T164">
        <v>0.5898255349109498</v>
      </c>
    </row>
    <row r="165" spans="2:20" ht="15.6" x14ac:dyDescent="0.3">
      <c r="B165" s="11">
        <v>397.99002984924601</v>
      </c>
      <c r="C165">
        <f t="shared" si="18"/>
        <v>2.5998721925870258</v>
      </c>
      <c r="F165" t="str">
        <f t="shared" si="19"/>
        <v>-</v>
      </c>
      <c r="S165" s="11">
        <v>4.0527065527065496</v>
      </c>
      <c r="T165">
        <v>0.60774515860128442</v>
      </c>
    </row>
    <row r="166" spans="2:20" ht="15.6" x14ac:dyDescent="0.3">
      <c r="B166" s="11">
        <v>402.485807121101</v>
      </c>
      <c r="C166">
        <f t="shared" si="18"/>
        <v>2.6047505704239726</v>
      </c>
      <c r="F166" t="str">
        <f t="shared" si="19"/>
        <v>-</v>
      </c>
      <c r="S166" s="11">
        <v>4.2948717948717903</v>
      </c>
      <c r="T166">
        <v>0.6329502043463644</v>
      </c>
    </row>
    <row r="167" spans="2:20" ht="15.6" x14ac:dyDescent="0.3">
      <c r="B167" s="11">
        <v>406.639004149377</v>
      </c>
      <c r="C167">
        <f t="shared" si="18"/>
        <v>2.6092090331176259</v>
      </c>
      <c r="F167" t="str">
        <f t="shared" si="19"/>
        <v>-</v>
      </c>
      <c r="S167" s="11">
        <v>4.5370370370370301</v>
      </c>
      <c r="T167">
        <v>0.65677232454156331</v>
      </c>
    </row>
    <row r="168" spans="2:20" ht="15.6" x14ac:dyDescent="0.3">
      <c r="B168" s="11">
        <v>416.14906832297999</v>
      </c>
      <c r="C168">
        <f t="shared" si="18"/>
        <v>2.6192489266689751</v>
      </c>
      <c r="F168" t="str">
        <f t="shared" si="19"/>
        <v>-</v>
      </c>
      <c r="S168" s="11">
        <v>5.5982905982905899</v>
      </c>
      <c r="T168">
        <v>0.74805543824562082</v>
      </c>
    </row>
    <row r="169" spans="2:20" ht="15.6" x14ac:dyDescent="0.3">
      <c r="B169" s="11">
        <v>417.53653444676399</v>
      </c>
      <c r="C169">
        <f t="shared" si="18"/>
        <v>2.620694482249418</v>
      </c>
      <c r="F169" t="str">
        <f t="shared" si="19"/>
        <v>-</v>
      </c>
      <c r="S169" s="11">
        <v>6.7236467236467199</v>
      </c>
      <c r="T169">
        <v>0.82760488650428221</v>
      </c>
    </row>
    <row r="170" spans="2:20" ht="15.6" x14ac:dyDescent="0.3">
      <c r="B170" s="11">
        <v>418.09053135678403</v>
      </c>
      <c r="C170">
        <f t="shared" si="18"/>
        <v>2.621270332042009</v>
      </c>
      <c r="F170" t="str">
        <f t="shared" si="19"/>
        <v>-</v>
      </c>
      <c r="S170" s="11">
        <v>8.2407407407407405</v>
      </c>
      <c r="T170">
        <v>0.91596625115796304</v>
      </c>
    </row>
    <row r="171" spans="2:20" ht="16.2" thickBot="1" x14ac:dyDescent="0.35">
      <c r="B171" s="17">
        <v>419.397117468999</v>
      </c>
      <c r="C171">
        <f t="shared" si="18"/>
        <v>2.6226254412184771</v>
      </c>
      <c r="F171" t="str">
        <f t="shared" si="19"/>
        <v>-</v>
      </c>
      <c r="S171" s="17">
        <v>9.8005698005697894</v>
      </c>
      <c r="T171">
        <v>0.99125132610570554</v>
      </c>
    </row>
    <row r="172" spans="2:20" ht="15.6" x14ac:dyDescent="0.3">
      <c r="B172" s="12">
        <v>428.98506635636301</v>
      </c>
      <c r="C172">
        <f t="shared" si="18"/>
        <v>2.6324421739751394</v>
      </c>
      <c r="F172" t="str">
        <f t="shared" si="19"/>
        <v>-</v>
      </c>
      <c r="S172" s="12">
        <v>10.0004540147879</v>
      </c>
      <c r="T172">
        <v>1.0000197171641179</v>
      </c>
    </row>
    <row r="173" spans="2:20" ht="15.6" x14ac:dyDescent="0.3">
      <c r="B173" s="11">
        <v>429</v>
      </c>
      <c r="C173">
        <f t="shared" si="18"/>
        <v>2.6324572921847245</v>
      </c>
      <c r="F173" t="str">
        <f t="shared" si="19"/>
        <v>-</v>
      </c>
      <c r="S173" s="11">
        <v>12.0504893270491</v>
      </c>
      <c r="T173">
        <v>1.0810046824065334</v>
      </c>
    </row>
    <row r="174" spans="2:20" ht="15.6" x14ac:dyDescent="0.3">
      <c r="B174" s="11">
        <v>429.37853107344603</v>
      </c>
      <c r="C174">
        <f t="shared" si="18"/>
        <v>2.6328403259189845</v>
      </c>
      <c r="F174" t="str">
        <f t="shared" si="19"/>
        <v>-</v>
      </c>
      <c r="S174" s="11">
        <v>14.0004847375931</v>
      </c>
      <c r="T174">
        <v>1.1461430724794825</v>
      </c>
    </row>
    <row r="175" spans="2:20" ht="15.6" x14ac:dyDescent="0.3">
      <c r="B175" s="11">
        <v>430</v>
      </c>
      <c r="C175">
        <f t="shared" si="18"/>
        <v>2.6334684555795866</v>
      </c>
      <c r="F175" t="str">
        <f t="shared" si="19"/>
        <v>-</v>
      </c>
      <c r="S175" s="11">
        <v>15.4788558827344</v>
      </c>
      <c r="T175">
        <v>1.1897388567229594</v>
      </c>
    </row>
    <row r="176" spans="2:20" ht="15.6" x14ac:dyDescent="0.3">
      <c r="B176" s="11">
        <v>431.289640591965</v>
      </c>
      <c r="C176">
        <f t="shared" si="18"/>
        <v>2.6347690266880859</v>
      </c>
      <c r="F176" t="str">
        <f t="shared" si="19"/>
        <v>-</v>
      </c>
      <c r="S176" s="11">
        <v>16.015501362044301</v>
      </c>
      <c r="T176">
        <v>1.2045405387139276</v>
      </c>
    </row>
    <row r="177" spans="2:20" ht="15.6" x14ac:dyDescent="0.3">
      <c r="B177" s="11">
        <v>435.37414965986301</v>
      </c>
      <c r="C177">
        <f t="shared" si="18"/>
        <v>2.6388626392357102</v>
      </c>
      <c r="F177" t="str">
        <f t="shared" si="19"/>
        <v>-</v>
      </c>
      <c r="S177" s="11">
        <v>16.290050590219199</v>
      </c>
      <c r="T177">
        <v>1.2119224330512302</v>
      </c>
    </row>
    <row r="178" spans="2:20" ht="15.6" x14ac:dyDescent="0.3">
      <c r="B178" s="11">
        <v>435.68464730290498</v>
      </c>
      <c r="C178">
        <f t="shared" si="18"/>
        <v>2.6391722564950699</v>
      </c>
      <c r="F178" t="str">
        <f t="shared" si="19"/>
        <v>-</v>
      </c>
      <c r="S178" s="11">
        <v>17.011528732650099</v>
      </c>
      <c r="T178">
        <v>1.2307433430259682</v>
      </c>
    </row>
    <row r="179" spans="2:20" ht="15.6" x14ac:dyDescent="0.3">
      <c r="B179" s="11">
        <v>436.44400978585503</v>
      </c>
      <c r="C179">
        <f t="shared" si="18"/>
        <v>2.6399285371579477</v>
      </c>
      <c r="F179" t="str">
        <f t="shared" si="19"/>
        <v>-</v>
      </c>
      <c r="S179" s="11">
        <v>17.734271630561601</v>
      </c>
      <c r="T179">
        <v>1.2488133561390149</v>
      </c>
    </row>
    <row r="180" spans="2:20" ht="15.6" x14ac:dyDescent="0.3">
      <c r="B180" s="11">
        <v>440.99378881987502</v>
      </c>
      <c r="C180">
        <f t="shared" si="18"/>
        <v>2.644432472687225</v>
      </c>
      <c r="F180" t="str">
        <f t="shared" si="19"/>
        <v>-</v>
      </c>
      <c r="S180" s="11">
        <v>18.9881956155143</v>
      </c>
      <c r="T180">
        <v>1.278483697151064</v>
      </c>
    </row>
    <row r="181" spans="2:20" ht="15.6" x14ac:dyDescent="0.3">
      <c r="B181" s="11">
        <v>453.41614906832302</v>
      </c>
      <c r="C181">
        <f t="shared" si="18"/>
        <v>2.6564969840886064</v>
      </c>
      <c r="F181" t="str">
        <f t="shared" si="19"/>
        <v>-</v>
      </c>
      <c r="S181" s="11">
        <v>19.034801623334499</v>
      </c>
      <c r="T181">
        <v>1.2795483550489883</v>
      </c>
    </row>
    <row r="182" spans="2:20" ht="15.6" x14ac:dyDescent="0.3">
      <c r="B182" s="11">
        <v>467.12018140589498</v>
      </c>
      <c r="C182">
        <f t="shared" si="18"/>
        <v>2.6694286309013142</v>
      </c>
      <c r="F182" t="str">
        <f t="shared" si="19"/>
        <v>-</v>
      </c>
      <c r="S182" s="11">
        <v>19.980542223375199</v>
      </c>
      <c r="T182">
        <v>1.3006072697470474</v>
      </c>
    </row>
    <row r="183" spans="2:20" ht="15.6" x14ac:dyDescent="0.3">
      <c r="B183" s="11">
        <v>474.947807933192</v>
      </c>
      <c r="C183">
        <f t="shared" si="18"/>
        <v>2.6766458875785659</v>
      </c>
      <c r="F183" t="str">
        <f t="shared" si="19"/>
        <v>-</v>
      </c>
      <c r="S183" s="11">
        <v>19.999227866006901</v>
      </c>
      <c r="T183">
        <v>1.3010132286636953</v>
      </c>
    </row>
    <row r="184" spans="2:20" ht="15.6" x14ac:dyDescent="0.3">
      <c r="B184" s="11">
        <v>475.62240663900297</v>
      </c>
      <c r="C184">
        <f t="shared" si="18"/>
        <v>2.6772623061032079</v>
      </c>
      <c r="F184" t="str">
        <f t="shared" si="19"/>
        <v>-</v>
      </c>
      <c r="S184" s="11">
        <v>21.0046698663899</v>
      </c>
      <c r="T184">
        <v>1.3223158600548308</v>
      </c>
    </row>
    <row r="185" spans="2:20" ht="15.6" x14ac:dyDescent="0.3">
      <c r="B185" s="11">
        <v>477</v>
      </c>
      <c r="C185">
        <f t="shared" si="18"/>
        <v>2.6785183790401139</v>
      </c>
      <c r="F185" t="str">
        <f t="shared" si="19"/>
        <v>-</v>
      </c>
      <c r="S185" s="11">
        <v>21.6597483460889</v>
      </c>
      <c r="T185">
        <v>1.3356534064656709</v>
      </c>
    </row>
    <row r="186" spans="2:20" ht="15.6" x14ac:dyDescent="0.3">
      <c r="B186" s="11">
        <v>478.61178369652902</v>
      </c>
      <c r="C186">
        <f t="shared" si="18"/>
        <v>2.6799833869881988</v>
      </c>
      <c r="F186" t="str">
        <f t="shared" si="19"/>
        <v>-</v>
      </c>
      <c r="S186" s="11">
        <v>23.990595407964701</v>
      </c>
      <c r="T186">
        <v>1.3800410265916208</v>
      </c>
    </row>
    <row r="187" spans="2:20" ht="15.6" x14ac:dyDescent="0.3">
      <c r="B187" s="11">
        <v>480.22598870056498</v>
      </c>
      <c r="C187">
        <f t="shared" si="18"/>
        <v>2.681445659352486</v>
      </c>
      <c r="F187" t="str">
        <f t="shared" si="19"/>
        <v>-</v>
      </c>
      <c r="S187" s="11">
        <v>25.9968526192898</v>
      </c>
      <c r="T187">
        <v>1.4149207720933292</v>
      </c>
    </row>
    <row r="188" spans="2:20" ht="15.6" x14ac:dyDescent="0.3">
      <c r="B188" s="11">
        <v>482.64729620661802</v>
      </c>
      <c r="C188">
        <f t="shared" si="18"/>
        <v>2.6836298776123471</v>
      </c>
      <c r="F188" t="str">
        <f t="shared" si="19"/>
        <v>-</v>
      </c>
      <c r="S188" s="11">
        <v>26.948177454922799</v>
      </c>
      <c r="T188">
        <v>1.4305293985381444</v>
      </c>
    </row>
    <row r="189" spans="2:20" ht="15.6" x14ac:dyDescent="0.3">
      <c r="B189" s="11">
        <v>487.91181260177802</v>
      </c>
      <c r="C189">
        <f t="shared" si="18"/>
        <v>2.6883413327375312</v>
      </c>
      <c r="F189" t="str">
        <f t="shared" si="19"/>
        <v>-</v>
      </c>
      <c r="S189" s="11">
        <v>27.978481140369801</v>
      </c>
      <c r="T189">
        <v>1.446824134378093</v>
      </c>
    </row>
    <row r="190" spans="2:20" ht="15.6" x14ac:dyDescent="0.3">
      <c r="B190" s="11">
        <v>488</v>
      </c>
      <c r="C190">
        <f t="shared" si="18"/>
        <v>2.6884198220027105</v>
      </c>
      <c r="F190" t="str">
        <f t="shared" si="19"/>
        <v>-</v>
      </c>
      <c r="S190" s="11">
        <v>27.9906261307699</v>
      </c>
      <c r="T190">
        <v>1.4470126134392567</v>
      </c>
    </row>
    <row r="191" spans="2:20" ht="16.2" thickBot="1" x14ac:dyDescent="0.35">
      <c r="B191" s="17">
        <v>490.68322981366202</v>
      </c>
      <c r="C191">
        <f t="shared" si="18"/>
        <v>2.6908012152585896</v>
      </c>
      <c r="F191" t="str">
        <f t="shared" si="19"/>
        <v>-</v>
      </c>
      <c r="S191" s="17">
        <v>31.956587538375</v>
      </c>
      <c r="T191">
        <v>1.5045603972884338</v>
      </c>
    </row>
    <row r="192" spans="2:20" ht="15.6" x14ac:dyDescent="0.3">
      <c r="B192" s="12">
        <v>490.68322981366498</v>
      </c>
      <c r="C192">
        <f t="shared" si="18"/>
        <v>2.6908012152585918</v>
      </c>
      <c r="F192" t="str">
        <f t="shared" si="19"/>
        <v>-</v>
      </c>
      <c r="S192" s="12">
        <v>8.1999999999999993</v>
      </c>
      <c r="T192">
        <v>0.91381385238371671</v>
      </c>
    </row>
    <row r="193" spans="2:20" ht="15.6" x14ac:dyDescent="0.3">
      <c r="B193" s="11">
        <v>490.68322981366498</v>
      </c>
      <c r="C193">
        <f t="shared" si="18"/>
        <v>2.6908012152585918</v>
      </c>
      <c r="F193" t="str">
        <f t="shared" si="19"/>
        <v>-</v>
      </c>
      <c r="S193" s="11">
        <v>11.3</v>
      </c>
      <c r="T193">
        <v>1.0530784434834197</v>
      </c>
    </row>
    <row r="194" spans="2:20" ht="16.2" thickBot="1" x14ac:dyDescent="0.35">
      <c r="B194" s="17">
        <v>493</v>
      </c>
      <c r="C194">
        <f t="shared" si="18"/>
        <v>2.6928469192772302</v>
      </c>
      <c r="F194" t="str">
        <f t="shared" si="19"/>
        <v>-</v>
      </c>
      <c r="S194" s="17">
        <v>12.1</v>
      </c>
      <c r="T194">
        <v>1.0827853703164501</v>
      </c>
    </row>
    <row r="195" spans="2:20" ht="15.6" x14ac:dyDescent="0.3">
      <c r="B195" s="12">
        <v>493.21503131524003</v>
      </c>
      <c r="C195">
        <f t="shared" ref="C195:C258" si="20">LOG10(B195)</f>
        <v>2.6930363037667373</v>
      </c>
      <c r="F195" t="str">
        <f t="shared" si="19"/>
        <v>-</v>
      </c>
      <c r="S195" s="12">
        <v>22.747479376718498</v>
      </c>
      <c r="T195">
        <v>1.3569332799632092</v>
      </c>
    </row>
    <row r="196" spans="2:20" ht="15.6" x14ac:dyDescent="0.3">
      <c r="B196" s="11">
        <v>497.67441860465101</v>
      </c>
      <c r="C196">
        <f t="shared" si="20"/>
        <v>2.6969453177696043</v>
      </c>
      <c r="F196" t="str">
        <f t="shared" ref="F196:F259" si="21">_xlfn.CONCAT(D196,"-",E196)</f>
        <v>-</v>
      </c>
      <c r="S196" s="11">
        <v>31.620073327222624</v>
      </c>
      <c r="T196">
        <v>1.4999628727300054</v>
      </c>
    </row>
    <row r="197" spans="2:20" ht="16.2" thickBot="1" x14ac:dyDescent="0.35">
      <c r="B197" s="17">
        <v>501.03734439834</v>
      </c>
      <c r="C197">
        <f t="shared" si="20"/>
        <v>2.6998700968486813</v>
      </c>
      <c r="F197" t="str">
        <f t="shared" si="21"/>
        <v>-</v>
      </c>
      <c r="S197" s="17">
        <v>45.38267644362962</v>
      </c>
      <c r="T197">
        <v>1.6568901048240068</v>
      </c>
    </row>
    <row r="198" spans="2:20" ht="15.6" x14ac:dyDescent="0.3">
      <c r="B198" s="12">
        <v>503.10559006211099</v>
      </c>
      <c r="C198">
        <f t="shared" si="20"/>
        <v>2.7016591428467995</v>
      </c>
      <c r="F198" t="str">
        <f t="shared" si="21"/>
        <v>-</v>
      </c>
      <c r="S198" s="12">
        <v>4.1140719962599004</v>
      </c>
      <c r="T198">
        <v>0.61427188757863704</v>
      </c>
    </row>
    <row r="199" spans="2:20" ht="15.6" x14ac:dyDescent="0.3">
      <c r="B199" s="11">
        <v>503.89736322214793</v>
      </c>
      <c r="C199">
        <f t="shared" si="20"/>
        <v>2.7023420857995726</v>
      </c>
      <c r="F199" t="str">
        <f t="shared" si="21"/>
        <v>-</v>
      </c>
      <c r="S199" s="11">
        <v>6.0133239831696992</v>
      </c>
      <c r="T199">
        <v>0.77911460319896086</v>
      </c>
    </row>
    <row r="200" spans="2:20" ht="15.6" x14ac:dyDescent="0.3">
      <c r="B200" s="11">
        <v>504.66804979253197</v>
      </c>
      <c r="C200">
        <f t="shared" si="20"/>
        <v>2.7030058107015407</v>
      </c>
      <c r="F200" t="str">
        <f t="shared" si="21"/>
        <v>-</v>
      </c>
      <c r="S200" s="11">
        <v>5.6626928471247995</v>
      </c>
      <c r="T200">
        <v>0.75302300548729184</v>
      </c>
    </row>
    <row r="201" spans="2:20" ht="15.6" x14ac:dyDescent="0.3">
      <c r="B201" s="11">
        <v>505.82959641255502</v>
      </c>
      <c r="C201">
        <f t="shared" si="20"/>
        <v>2.7040042365991619</v>
      </c>
      <c r="F201" t="str">
        <f t="shared" si="21"/>
        <v>-</v>
      </c>
      <c r="S201" s="11">
        <v>7.7080411407199332</v>
      </c>
      <c r="T201">
        <v>0.88694402398289207</v>
      </c>
    </row>
    <row r="202" spans="2:20" ht="15.6" x14ac:dyDescent="0.3">
      <c r="B202" s="11">
        <v>508.29875518672202</v>
      </c>
      <c r="C202">
        <f t="shared" si="20"/>
        <v>2.706119046125683</v>
      </c>
      <c r="F202" t="str">
        <f t="shared" si="21"/>
        <v>-</v>
      </c>
      <c r="S202" s="11">
        <v>6.5918653576437336</v>
      </c>
      <c r="T202">
        <v>0.81900832808385027</v>
      </c>
    </row>
    <row r="203" spans="2:20" ht="16.2" thickBot="1" x14ac:dyDescent="0.35">
      <c r="B203" s="17">
        <v>516.54560129136405</v>
      </c>
      <c r="C203">
        <f t="shared" si="20"/>
        <v>2.7131086676078238</v>
      </c>
      <c r="F203" t="str">
        <f t="shared" si="21"/>
        <v>-</v>
      </c>
      <c r="S203" s="17">
        <v>5.0374006545114334</v>
      </c>
      <c r="T203">
        <v>0.70220649426123949</v>
      </c>
    </row>
    <row r="204" spans="2:20" ht="15.6" x14ac:dyDescent="0.3">
      <c r="B204" s="12">
        <v>519.77401129943496</v>
      </c>
      <c r="C204">
        <f t="shared" si="20"/>
        <v>2.7158145609837487</v>
      </c>
      <c r="F204" t="str">
        <f t="shared" si="21"/>
        <v>-</v>
      </c>
      <c r="S204" s="12">
        <v>7.8082191780821901</v>
      </c>
      <c r="T204">
        <v>0.89255199555203546</v>
      </c>
    </row>
    <row r="205" spans="2:20" ht="15.6" x14ac:dyDescent="0.3">
      <c r="B205" s="11">
        <v>520.17937219730902</v>
      </c>
      <c r="C205">
        <f t="shared" si="20"/>
        <v>2.7161531261787575</v>
      </c>
      <c r="F205" t="str">
        <f t="shared" si="21"/>
        <v>-</v>
      </c>
      <c r="S205" s="11">
        <v>11.0326659641728</v>
      </c>
      <c r="T205">
        <v>1.0426804692515492</v>
      </c>
    </row>
    <row r="206" spans="2:20" ht="15.6" x14ac:dyDescent="0.3">
      <c r="B206" s="11">
        <v>524.62318934673397</v>
      </c>
      <c r="C206">
        <f t="shared" si="20"/>
        <v>2.7198474833239943</v>
      </c>
      <c r="F206" t="str">
        <f t="shared" si="21"/>
        <v>-</v>
      </c>
      <c r="S206" s="11">
        <v>13.6880927291886</v>
      </c>
      <c r="T206">
        <v>1.1363429386457347</v>
      </c>
    </row>
    <row r="207" spans="2:20" ht="15.6" x14ac:dyDescent="0.3">
      <c r="B207" s="11">
        <v>529</v>
      </c>
      <c r="C207">
        <f t="shared" si="20"/>
        <v>2.7234556720351857</v>
      </c>
      <c r="F207" t="str">
        <f t="shared" si="21"/>
        <v>-</v>
      </c>
      <c r="S207" s="11">
        <v>10.686373467916299</v>
      </c>
      <c r="T207">
        <v>1.0288303478574601</v>
      </c>
    </row>
    <row r="208" spans="2:20" ht="15.6" x14ac:dyDescent="0.3">
      <c r="B208" s="11">
        <v>532.66338994974797</v>
      </c>
      <c r="C208">
        <f t="shared" si="20"/>
        <v>2.7264528486729782</v>
      </c>
      <c r="F208" t="str">
        <f t="shared" si="21"/>
        <v>-</v>
      </c>
      <c r="S208" s="11">
        <v>11.370232747305501</v>
      </c>
      <c r="T208">
        <v>1.055769354734867</v>
      </c>
    </row>
    <row r="209" spans="2:20" ht="15.6" x14ac:dyDescent="0.3">
      <c r="B209" s="11">
        <v>534.16149068322898</v>
      </c>
      <c r="C209">
        <f t="shared" si="20"/>
        <v>2.7276725752117175</v>
      </c>
      <c r="F209" t="str">
        <f t="shared" si="21"/>
        <v>-</v>
      </c>
      <c r="S209" s="11">
        <v>6.5437302423603798</v>
      </c>
      <c r="T209">
        <v>0.81582538774928759</v>
      </c>
    </row>
    <row r="210" spans="2:20" ht="15.6" x14ac:dyDescent="0.3">
      <c r="B210" s="11">
        <v>534.52914798206098</v>
      </c>
      <c r="C210">
        <f t="shared" si="20"/>
        <v>2.7279713923560553</v>
      </c>
      <c r="F210" t="str">
        <f t="shared" si="21"/>
        <v>-</v>
      </c>
      <c r="S210" s="11">
        <v>6.2908324552160098</v>
      </c>
      <c r="T210">
        <v>0.79870811870207592</v>
      </c>
    </row>
    <row r="211" spans="2:20" ht="15.6" x14ac:dyDescent="0.3">
      <c r="B211" s="11">
        <v>539.62885417225903</v>
      </c>
      <c r="C211">
        <f t="shared" si="20"/>
        <v>2.7320951635216635</v>
      </c>
      <c r="F211" t="str">
        <f t="shared" si="21"/>
        <v>-</v>
      </c>
      <c r="S211" s="11">
        <v>6.2908324552160098</v>
      </c>
      <c r="T211">
        <v>0.79870811870207592</v>
      </c>
    </row>
    <row r="212" spans="2:20" ht="15.6" x14ac:dyDescent="0.3">
      <c r="B212" s="11">
        <v>540.37267080745301</v>
      </c>
      <c r="C212">
        <f t="shared" si="20"/>
        <v>2.7326933765867687</v>
      </c>
      <c r="F212" t="str">
        <f t="shared" si="21"/>
        <v>-</v>
      </c>
      <c r="S212" s="11">
        <v>10.6533192834562</v>
      </c>
      <c r="T212">
        <v>1.0274849431637056</v>
      </c>
    </row>
    <row r="213" spans="2:20" ht="15.6" x14ac:dyDescent="0.3">
      <c r="B213" s="11">
        <v>546.87499999999898</v>
      </c>
      <c r="C213">
        <f t="shared" si="20"/>
        <v>2.7378880703663877</v>
      </c>
      <c r="F213" t="str">
        <f t="shared" si="21"/>
        <v>-</v>
      </c>
      <c r="S213" s="11">
        <v>11.4436248682824</v>
      </c>
      <c r="T213">
        <v>1.0585636128255353</v>
      </c>
    </row>
    <row r="214" spans="2:20" ht="15.6" x14ac:dyDescent="0.3">
      <c r="B214" s="11">
        <v>550</v>
      </c>
      <c r="C214">
        <f t="shared" si="20"/>
        <v>2.7403626894942437</v>
      </c>
      <c r="F214" t="str">
        <f t="shared" si="21"/>
        <v>-</v>
      </c>
      <c r="S214" s="11">
        <v>14.3835616438356</v>
      </c>
      <c r="T214">
        <v>1.1578664389494817</v>
      </c>
    </row>
    <row r="215" spans="2:20" ht="15.6" x14ac:dyDescent="0.3">
      <c r="B215" s="11">
        <v>551.47058823529301</v>
      </c>
      <c r="C215">
        <f t="shared" si="20"/>
        <v>2.7415223550214818</v>
      </c>
      <c r="F215" t="str">
        <f t="shared" si="21"/>
        <v>-</v>
      </c>
      <c r="S215" s="11">
        <v>5.9430979978925196</v>
      </c>
      <c r="T215">
        <v>0.77401289155604969</v>
      </c>
    </row>
    <row r="216" spans="2:20" ht="15.6" x14ac:dyDescent="0.3">
      <c r="B216" s="11">
        <v>552.79503105590095</v>
      </c>
      <c r="C216">
        <f t="shared" si="20"/>
        <v>2.7425641306130633</v>
      </c>
      <c r="F216" t="str">
        <f t="shared" si="21"/>
        <v>-</v>
      </c>
      <c r="S216" s="11">
        <v>6.13277133825079</v>
      </c>
      <c r="T216">
        <v>0.78765677222259578</v>
      </c>
    </row>
    <row r="217" spans="2:20" ht="15.6" x14ac:dyDescent="0.3">
      <c r="B217" s="11">
        <v>556.70737337652997</v>
      </c>
      <c r="C217">
        <f t="shared" si="20"/>
        <v>2.7456269734095677</v>
      </c>
      <c r="F217" t="str">
        <f t="shared" si="21"/>
        <v>-</v>
      </c>
      <c r="S217" s="11">
        <v>7.3340358271865096</v>
      </c>
      <c r="T217">
        <v>0.86534302718326928</v>
      </c>
    </row>
    <row r="218" spans="2:20" ht="15.6" x14ac:dyDescent="0.3">
      <c r="B218" s="11">
        <v>560.92843326883303</v>
      </c>
      <c r="C218">
        <f t="shared" si="20"/>
        <v>2.7489074548049937</v>
      </c>
      <c r="F218" t="str">
        <f t="shared" si="21"/>
        <v>-</v>
      </c>
      <c r="S218" s="11">
        <v>6.8598524762908299</v>
      </c>
      <c r="T218">
        <v>0.83631477614089911</v>
      </c>
    </row>
    <row r="219" spans="2:20" ht="15.6" x14ac:dyDescent="0.3">
      <c r="B219" s="11">
        <v>561.1</v>
      </c>
      <c r="C219">
        <f t="shared" si="20"/>
        <v>2.7490402687034572</v>
      </c>
      <c r="F219" t="str">
        <f t="shared" si="21"/>
        <v>-</v>
      </c>
      <c r="S219" s="11">
        <v>6.3540569020020996</v>
      </c>
      <c r="T219">
        <v>0.80305109971285815</v>
      </c>
    </row>
    <row r="220" spans="2:20" ht="16.2" thickBot="1" x14ac:dyDescent="0.35">
      <c r="B220" s="17">
        <v>563.931297709923</v>
      </c>
      <c r="C220">
        <f t="shared" si="20"/>
        <v>2.7512261982335469</v>
      </c>
      <c r="F220" t="str">
        <f t="shared" si="21"/>
        <v>-</v>
      </c>
      <c r="S220" s="17">
        <v>6.4488935721812402</v>
      </c>
      <c r="T220">
        <v>0.80948520971826832</v>
      </c>
    </row>
    <row r="221" spans="2:20" ht="15.6" x14ac:dyDescent="0.3">
      <c r="B221" s="12">
        <v>564</v>
      </c>
      <c r="C221">
        <f t="shared" si="20"/>
        <v>2.7512791039833422</v>
      </c>
      <c r="F221" t="str">
        <f t="shared" si="21"/>
        <v>-</v>
      </c>
      <c r="S221" s="12">
        <v>2.9870283018867898</v>
      </c>
      <c r="T221">
        <v>0.47523933753383374</v>
      </c>
    </row>
    <row r="222" spans="2:20" ht="15.6" x14ac:dyDescent="0.3">
      <c r="B222" s="11">
        <v>565.25735294117601</v>
      </c>
      <c r="C222">
        <f t="shared" si="20"/>
        <v>2.7522462204132552</v>
      </c>
      <c r="F222" t="str">
        <f t="shared" si="21"/>
        <v>-</v>
      </c>
      <c r="S222" s="11">
        <v>3.4380896226414999</v>
      </c>
      <c r="T222">
        <v>0.53631719350034823</v>
      </c>
    </row>
    <row r="223" spans="2:20" ht="15.6" x14ac:dyDescent="0.3">
      <c r="B223" s="11">
        <v>565.87681051149298</v>
      </c>
      <c r="C223">
        <f t="shared" si="20"/>
        <v>2.7527218970220062</v>
      </c>
      <c r="F223" t="str">
        <f t="shared" si="21"/>
        <v>-</v>
      </c>
      <c r="S223" s="11">
        <v>4.0896226415094299</v>
      </c>
      <c r="T223">
        <v>0.61168323654745838</v>
      </c>
    </row>
    <row r="224" spans="2:20" ht="15.6" x14ac:dyDescent="0.3">
      <c r="B224" s="11">
        <v>566.81614349775703</v>
      </c>
      <c r="C224">
        <f t="shared" si="20"/>
        <v>2.7534422108982048</v>
      </c>
      <c r="F224" t="str">
        <f t="shared" si="21"/>
        <v>-</v>
      </c>
      <c r="S224" s="11">
        <v>5.0719339622641497</v>
      </c>
      <c r="T224">
        <v>0.70517359029737792</v>
      </c>
    </row>
    <row r="225" spans="2:20" ht="15.6" x14ac:dyDescent="0.3">
      <c r="B225" s="11">
        <v>567.55514705882297</v>
      </c>
      <c r="C225">
        <f t="shared" si="20"/>
        <v>2.7540080665695417</v>
      </c>
      <c r="F225" t="str">
        <f t="shared" si="21"/>
        <v>-</v>
      </c>
      <c r="S225" s="11">
        <v>6.0642688679245298</v>
      </c>
      <c r="T225">
        <v>0.78277844811004793</v>
      </c>
    </row>
    <row r="226" spans="2:20" ht="15.6" x14ac:dyDescent="0.3">
      <c r="B226" s="11">
        <v>571.42857142856997</v>
      </c>
      <c r="C226">
        <f t="shared" si="20"/>
        <v>2.7569619513137043</v>
      </c>
      <c r="F226" t="str">
        <f t="shared" si="21"/>
        <v>-</v>
      </c>
      <c r="S226" s="11">
        <v>5.8337264150943398</v>
      </c>
      <c r="T226">
        <v>0.76594605810746741</v>
      </c>
    </row>
    <row r="227" spans="2:20" ht="15.6" x14ac:dyDescent="0.3">
      <c r="B227" s="11">
        <v>573.48919382665997</v>
      </c>
      <c r="C227">
        <f t="shared" si="20"/>
        <v>2.7585252389667247</v>
      </c>
      <c r="F227" t="str">
        <f t="shared" si="21"/>
        <v>-</v>
      </c>
      <c r="S227" s="11">
        <v>9.3419811320754693</v>
      </c>
      <c r="T227">
        <v>0.97043898581156018</v>
      </c>
    </row>
    <row r="228" spans="2:20" ht="15.6" x14ac:dyDescent="0.3">
      <c r="B228" s="11">
        <v>577.49906835680997</v>
      </c>
      <c r="C228">
        <f t="shared" si="20"/>
        <v>2.7615512879445752</v>
      </c>
      <c r="F228" t="str">
        <f t="shared" si="21"/>
        <v>-</v>
      </c>
      <c r="S228" s="11">
        <v>10.885613207547101</v>
      </c>
      <c r="T228">
        <v>1.0368528987104042</v>
      </c>
    </row>
    <row r="229" spans="2:20" ht="15.6" x14ac:dyDescent="0.3">
      <c r="B229" s="11">
        <v>581.16591928251103</v>
      </c>
      <c r="C229">
        <f t="shared" si="20"/>
        <v>2.7643001384864139</v>
      </c>
      <c r="F229" t="str">
        <f t="shared" si="21"/>
        <v>-</v>
      </c>
      <c r="S229" s="11">
        <v>12.850235849056601</v>
      </c>
      <c r="T229">
        <v>1.1089110986403774</v>
      </c>
    </row>
    <row r="230" spans="2:20" ht="15.6" x14ac:dyDescent="0.3">
      <c r="B230" s="11">
        <v>588.23529411764696</v>
      </c>
      <c r="C230">
        <f t="shared" si="20"/>
        <v>2.7695510786217259</v>
      </c>
      <c r="F230" t="str">
        <f t="shared" si="21"/>
        <v>-</v>
      </c>
      <c r="S230" s="11">
        <v>11.5471698113207</v>
      </c>
      <c r="T230">
        <v>1.06247555254477</v>
      </c>
    </row>
    <row r="231" spans="2:20" ht="15.6" x14ac:dyDescent="0.3">
      <c r="B231" s="11">
        <v>590.06211180124296</v>
      </c>
      <c r="C231">
        <f t="shared" si="20"/>
        <v>2.7708977292569985</v>
      </c>
      <c r="F231" t="str">
        <f t="shared" si="21"/>
        <v>-</v>
      </c>
      <c r="S231" s="11">
        <v>13.2912735849056</v>
      </c>
      <c r="T231">
        <v>1.1235665975263314</v>
      </c>
    </row>
    <row r="232" spans="2:20" ht="15.6" x14ac:dyDescent="0.3">
      <c r="B232" s="11">
        <v>590.06211180124296</v>
      </c>
      <c r="C232">
        <f t="shared" si="20"/>
        <v>2.7708977292569985</v>
      </c>
      <c r="F232" t="str">
        <f t="shared" si="21"/>
        <v>-</v>
      </c>
      <c r="S232" s="11">
        <v>15.5566037735849</v>
      </c>
      <c r="T232">
        <v>1.1919147903797485</v>
      </c>
    </row>
    <row r="233" spans="2:20" ht="15.6" x14ac:dyDescent="0.3">
      <c r="B233" s="11">
        <v>590.69767441860404</v>
      </c>
      <c r="C233">
        <f t="shared" si="20"/>
        <v>2.771365261040351</v>
      </c>
      <c r="F233" t="str">
        <f t="shared" si="21"/>
        <v>-</v>
      </c>
      <c r="S233" s="11">
        <v>1.5336084905660301</v>
      </c>
      <c r="T233">
        <v>0.18571450427517555</v>
      </c>
    </row>
    <row r="234" spans="2:20" ht="15.6" x14ac:dyDescent="0.3">
      <c r="B234" s="11">
        <v>591.43752763779605</v>
      </c>
      <c r="C234">
        <f t="shared" si="20"/>
        <v>2.7719088777297243</v>
      </c>
      <c r="F234" t="str">
        <f t="shared" si="21"/>
        <v>-</v>
      </c>
      <c r="S234" s="11">
        <v>1.68396226415094</v>
      </c>
      <c r="T234">
        <v>0.22633235518344089</v>
      </c>
    </row>
    <row r="235" spans="2:20" ht="15.6" x14ac:dyDescent="0.3">
      <c r="B235" s="11">
        <v>599.13460682263099</v>
      </c>
      <c r="C235">
        <f t="shared" si="20"/>
        <v>2.7775244057496589</v>
      </c>
      <c r="F235" t="str">
        <f t="shared" si="21"/>
        <v>-</v>
      </c>
      <c r="S235" s="11">
        <v>2.5860849056603699</v>
      </c>
      <c r="T235">
        <v>0.41264277942080779</v>
      </c>
    </row>
    <row r="236" spans="2:20" ht="15.6" x14ac:dyDescent="0.3">
      <c r="B236" s="11">
        <v>600</v>
      </c>
      <c r="C236">
        <f t="shared" si="20"/>
        <v>2.7781512503836434</v>
      </c>
      <c r="F236" t="str">
        <f t="shared" si="21"/>
        <v>-</v>
      </c>
      <c r="S236" s="11">
        <v>1.9646226415094299</v>
      </c>
      <c r="T236">
        <v>0.29327914481405404</v>
      </c>
    </row>
    <row r="237" spans="2:20" ht="15.6" x14ac:dyDescent="0.3">
      <c r="B237" s="11">
        <v>604.65116279069798</v>
      </c>
      <c r="C237">
        <f t="shared" si="20"/>
        <v>2.7815048923912316</v>
      </c>
      <c r="F237" t="str">
        <f t="shared" si="21"/>
        <v>-</v>
      </c>
      <c r="S237" s="11">
        <v>2.1350235849056598</v>
      </c>
      <c r="T237">
        <v>0.32940267689631653</v>
      </c>
    </row>
    <row r="238" spans="2:20" ht="15.6" x14ac:dyDescent="0.3">
      <c r="B238" s="11">
        <v>611.02017993054505</v>
      </c>
      <c r="C238">
        <f t="shared" si="20"/>
        <v>2.7860555537577034</v>
      </c>
      <c r="F238" t="str">
        <f t="shared" si="21"/>
        <v>-</v>
      </c>
      <c r="S238" s="11">
        <v>2.8266509433962201</v>
      </c>
      <c r="T238">
        <v>0.45127218177693906</v>
      </c>
    </row>
    <row r="239" spans="2:20" ht="15.6" x14ac:dyDescent="0.3">
      <c r="B239" s="11">
        <v>617.04035874439398</v>
      </c>
      <c r="C239">
        <f t="shared" si="20"/>
        <v>2.7903135708513314</v>
      </c>
      <c r="F239" t="str">
        <f t="shared" si="21"/>
        <v>-</v>
      </c>
      <c r="S239" s="11">
        <v>4.1998820754716997</v>
      </c>
      <c r="T239">
        <v>0.62323709642387437</v>
      </c>
    </row>
    <row r="240" spans="2:20" ht="15.6" x14ac:dyDescent="0.3">
      <c r="B240" s="11">
        <v>617.12652941718</v>
      </c>
      <c r="C240">
        <f t="shared" si="20"/>
        <v>2.7903742165356591</v>
      </c>
      <c r="F240" t="str">
        <f t="shared" si="21"/>
        <v>-</v>
      </c>
      <c r="S240" s="11">
        <v>5.5029481132075402</v>
      </c>
      <c r="T240">
        <v>0.74059541790767025</v>
      </c>
    </row>
    <row r="241" spans="2:20" ht="15.6" x14ac:dyDescent="0.3">
      <c r="B241" s="11">
        <v>620.62780269058203</v>
      </c>
      <c r="C241">
        <f t="shared" si="20"/>
        <v>2.7928312270725777</v>
      </c>
      <c r="F241" t="str">
        <f t="shared" si="21"/>
        <v>-</v>
      </c>
      <c r="S241" s="11">
        <v>5.95400943396226</v>
      </c>
      <c r="T241">
        <v>0.7748095184387721</v>
      </c>
    </row>
    <row r="242" spans="2:20" ht="15.6" x14ac:dyDescent="0.3">
      <c r="B242" s="11">
        <v>627</v>
      </c>
      <c r="C242">
        <f t="shared" si="20"/>
        <v>2.7972675408307164</v>
      </c>
      <c r="F242" t="str">
        <f t="shared" si="21"/>
        <v>-</v>
      </c>
      <c r="S242" s="11">
        <v>5.3425707547169798</v>
      </c>
      <c r="T242">
        <v>0.72775028248415108</v>
      </c>
    </row>
    <row r="243" spans="2:20" ht="15.6" x14ac:dyDescent="0.3">
      <c r="B243" s="11">
        <v>630.52434456928802</v>
      </c>
      <c r="C243">
        <f t="shared" si="20"/>
        <v>2.7997018593595318</v>
      </c>
      <c r="F243" t="str">
        <f t="shared" si="21"/>
        <v>-</v>
      </c>
      <c r="S243" s="11">
        <v>7.8685141509434002</v>
      </c>
      <c r="T243">
        <v>0.89589273020283167</v>
      </c>
    </row>
    <row r="244" spans="2:20" ht="15.6" x14ac:dyDescent="0.3">
      <c r="B244" s="11">
        <v>631.52400835073001</v>
      </c>
      <c r="C244">
        <f t="shared" si="20"/>
        <v>2.8003898655739241</v>
      </c>
      <c r="F244" t="str">
        <f t="shared" si="21"/>
        <v>-</v>
      </c>
      <c r="S244" s="11">
        <v>8.0689858490566007</v>
      </c>
      <c r="T244">
        <v>0.9068189538254473</v>
      </c>
    </row>
    <row r="245" spans="2:20" ht="15.6" x14ac:dyDescent="0.3">
      <c r="B245" s="11">
        <v>631.89338235294099</v>
      </c>
      <c r="C245">
        <f t="shared" si="20"/>
        <v>2.8006438071401392</v>
      </c>
      <c r="F245" t="str">
        <f t="shared" si="21"/>
        <v>-</v>
      </c>
      <c r="S245" s="11">
        <v>1.84413202933985</v>
      </c>
      <c r="T245">
        <v>0.26579201083968346</v>
      </c>
    </row>
    <row r="246" spans="2:20" ht="15.6" x14ac:dyDescent="0.3">
      <c r="B246" s="11">
        <v>633.54037267080798</v>
      </c>
      <c r="C246">
        <f t="shared" si="20"/>
        <v>2.8017742957300684</v>
      </c>
      <c r="F246" t="str">
        <f t="shared" si="21"/>
        <v>-</v>
      </c>
      <c r="S246" s="11">
        <v>2.2677261613691901</v>
      </c>
      <c r="T246">
        <v>0.35559061027974109</v>
      </c>
    </row>
    <row r="247" spans="2:20" ht="15.6" x14ac:dyDescent="0.3">
      <c r="B247" s="11">
        <v>638.56502242152396</v>
      </c>
      <c r="C247">
        <f t="shared" si="20"/>
        <v>2.8052051262526763</v>
      </c>
      <c r="F247" t="str">
        <f t="shared" si="21"/>
        <v>-</v>
      </c>
      <c r="S247" s="11">
        <v>2.31051344743276</v>
      </c>
      <c r="T247">
        <v>0.36370850050192061</v>
      </c>
    </row>
    <row r="248" spans="2:20" ht="15.6" x14ac:dyDescent="0.3">
      <c r="B248" s="11">
        <v>639.75155279503099</v>
      </c>
      <c r="C248">
        <f t="shared" si="20"/>
        <v>2.8060113486733225</v>
      </c>
      <c r="F248" t="str">
        <f t="shared" si="21"/>
        <v>-</v>
      </c>
      <c r="S248" s="11">
        <v>2.4474327628361801</v>
      </c>
      <c r="T248">
        <v>0.3887107694719758</v>
      </c>
    </row>
    <row r="249" spans="2:20" ht="15.6" x14ac:dyDescent="0.3">
      <c r="B249" s="11">
        <v>645.73991031390096</v>
      </c>
      <c r="C249">
        <f t="shared" si="20"/>
        <v>2.8100576290470887</v>
      </c>
      <c r="F249" t="str">
        <f t="shared" si="21"/>
        <v>-</v>
      </c>
      <c r="S249" s="11">
        <v>3.1919315403422899</v>
      </c>
      <c r="T249">
        <v>0.50405356815162028</v>
      </c>
    </row>
    <row r="250" spans="2:20" ht="15.6" x14ac:dyDescent="0.3">
      <c r="B250" s="11">
        <v>649</v>
      </c>
      <c r="C250">
        <f t="shared" si="20"/>
        <v>2.8122446968003691</v>
      </c>
      <c r="F250" t="str">
        <f t="shared" si="21"/>
        <v>-</v>
      </c>
      <c r="S250" s="11">
        <v>3.70110024449877</v>
      </c>
      <c r="T250">
        <v>0.568330848143766</v>
      </c>
    </row>
    <row r="251" spans="2:20" ht="15.6" x14ac:dyDescent="0.3">
      <c r="B251" s="11">
        <v>649.79123173277696</v>
      </c>
      <c r="C251">
        <f t="shared" si="20"/>
        <v>2.8127738466892298</v>
      </c>
      <c r="F251" t="str">
        <f t="shared" si="21"/>
        <v>-</v>
      </c>
      <c r="S251" s="11">
        <v>5.1900977995110003</v>
      </c>
      <c r="T251">
        <v>0.71517554154552543</v>
      </c>
    </row>
    <row r="252" spans="2:20" ht="15.6" x14ac:dyDescent="0.3">
      <c r="B252" s="11">
        <v>656.50224215246499</v>
      </c>
      <c r="C252">
        <f t="shared" si="20"/>
        <v>2.8172362136742115</v>
      </c>
      <c r="F252" t="str">
        <f t="shared" si="21"/>
        <v>-</v>
      </c>
      <c r="S252" s="11">
        <v>6.0501222493887497</v>
      </c>
      <c r="T252">
        <v>0.78176415013983303</v>
      </c>
    </row>
    <row r="253" spans="2:20" ht="16.2" thickBot="1" x14ac:dyDescent="0.35">
      <c r="B253" s="17">
        <v>660.20984665052401</v>
      </c>
      <c r="C253">
        <f t="shared" si="20"/>
        <v>2.8196819972952589</v>
      </c>
      <c r="F253" t="str">
        <f t="shared" si="21"/>
        <v>-</v>
      </c>
      <c r="S253" s="17">
        <v>6.5165036674816603</v>
      </c>
      <c r="T253">
        <v>0.81401464401499501</v>
      </c>
    </row>
    <row r="254" spans="2:20" ht="15.6" x14ac:dyDescent="0.3">
      <c r="B254" s="12">
        <v>662.74509803921501</v>
      </c>
      <c r="C254">
        <f t="shared" si="20"/>
        <v>2.821346524179718</v>
      </c>
      <c r="F254" t="str">
        <f t="shared" si="21"/>
        <v>-</v>
      </c>
      <c r="S254" s="12">
        <v>3</v>
      </c>
      <c r="T254">
        <v>0.47712125471966244</v>
      </c>
    </row>
    <row r="255" spans="2:20" ht="15.6" x14ac:dyDescent="0.3">
      <c r="B255" s="11">
        <v>664.59627329192494</v>
      </c>
      <c r="C255">
        <f t="shared" si="20"/>
        <v>2.8225579016533597</v>
      </c>
      <c r="F255" t="str">
        <f t="shared" si="21"/>
        <v>-</v>
      </c>
      <c r="S255" s="11">
        <v>4.3</v>
      </c>
      <c r="T255">
        <v>0.63346845557958653</v>
      </c>
    </row>
    <row r="256" spans="2:20" ht="15.6" x14ac:dyDescent="0.3">
      <c r="B256" s="11">
        <v>666</v>
      </c>
      <c r="C256">
        <f t="shared" si="20"/>
        <v>2.823474229170301</v>
      </c>
      <c r="F256" t="str">
        <f t="shared" si="21"/>
        <v>-</v>
      </c>
      <c r="S256" s="11">
        <v>6.3</v>
      </c>
      <c r="T256">
        <v>0.79934054945358168</v>
      </c>
    </row>
    <row r="257" spans="2:20" ht="15.6" x14ac:dyDescent="0.3">
      <c r="B257" s="11">
        <v>673.25367647058795</v>
      </c>
      <c r="C257">
        <f t="shared" si="20"/>
        <v>2.8281787336639859</v>
      </c>
      <c r="F257" t="str">
        <f t="shared" si="21"/>
        <v>-</v>
      </c>
      <c r="S257" s="11">
        <v>4.0999999999999996</v>
      </c>
      <c r="T257">
        <v>0.61278385671973545</v>
      </c>
    </row>
    <row r="258" spans="2:20" ht="15.6" x14ac:dyDescent="0.3">
      <c r="B258" s="11">
        <v>679.287853857193</v>
      </c>
      <c r="C258">
        <f t="shared" si="20"/>
        <v>2.8320538491705038</v>
      </c>
      <c r="F258" t="str">
        <f t="shared" si="21"/>
        <v>-</v>
      </c>
      <c r="S258" s="11">
        <v>5.4</v>
      </c>
      <c r="T258">
        <v>0.7323937598229685</v>
      </c>
    </row>
    <row r="259" spans="2:20" ht="16.2" thickBot="1" x14ac:dyDescent="0.35">
      <c r="B259" s="17">
        <v>683.22981366459499</v>
      </c>
      <c r="C259">
        <f t="shared" ref="C259:C322" si="22">LOG10(B259)</f>
        <v>2.8345668091263745</v>
      </c>
      <c r="F259" t="str">
        <f t="shared" si="21"/>
        <v>-</v>
      </c>
      <c r="S259" s="17">
        <v>6.9</v>
      </c>
      <c r="T259">
        <v>0.83884909073725533</v>
      </c>
    </row>
    <row r="260" spans="2:20" ht="16.2" thickBot="1" x14ac:dyDescent="0.35">
      <c r="B260" s="28">
        <v>693.46740201005002</v>
      </c>
      <c r="C260">
        <f t="shared" si="22"/>
        <v>2.8410260509033267</v>
      </c>
      <c r="F260" t="str">
        <f t="shared" ref="F260:F323" si="23">_xlfn.CONCAT(D260,"-",E260)</f>
        <v>-</v>
      </c>
      <c r="S260" s="28">
        <v>2.9</v>
      </c>
      <c r="T260">
        <v>0.46239799789895608</v>
      </c>
    </row>
    <row r="261" spans="2:20" ht="15.6" x14ac:dyDescent="0.3">
      <c r="B261" s="12">
        <v>694.85388145824595</v>
      </c>
      <c r="C261">
        <f t="shared" si="22"/>
        <v>2.8418934878301756</v>
      </c>
      <c r="F261" t="str">
        <f t="shared" si="23"/>
        <v>-</v>
      </c>
      <c r="S261" s="12">
        <v>1.1458733205374201</v>
      </c>
      <c r="T261">
        <v>5.9136607829841606E-2</v>
      </c>
    </row>
    <row r="262" spans="2:20" ht="15.6" x14ac:dyDescent="0.3">
      <c r="B262" s="11">
        <v>699</v>
      </c>
      <c r="C262">
        <f t="shared" si="22"/>
        <v>2.8444771757456815</v>
      </c>
      <c r="F262" t="str">
        <f t="shared" si="23"/>
        <v>-</v>
      </c>
      <c r="S262" s="11">
        <v>1.0652591170825301</v>
      </c>
      <c r="T262">
        <v>2.7455259823150332E-2</v>
      </c>
    </row>
    <row r="263" spans="2:20" ht="15.6" x14ac:dyDescent="0.3">
      <c r="B263" s="11">
        <v>699</v>
      </c>
      <c r="C263">
        <f t="shared" si="22"/>
        <v>2.8444771757456815</v>
      </c>
      <c r="F263" t="str">
        <f t="shared" si="23"/>
        <v>-</v>
      </c>
      <c r="S263" s="11">
        <v>1.08829174664107</v>
      </c>
      <c r="T263">
        <v>3.6745335593380161E-2</v>
      </c>
    </row>
    <row r="264" spans="2:20" ht="15.6" x14ac:dyDescent="0.3">
      <c r="B264" s="11">
        <v>699.2</v>
      </c>
      <c r="C264">
        <f t="shared" si="22"/>
        <v>2.8446014196263465</v>
      </c>
      <c r="F264" t="str">
        <f t="shared" si="23"/>
        <v>-</v>
      </c>
      <c r="S264" s="11">
        <v>1.20345489443378</v>
      </c>
      <c r="T264">
        <v>8.0429817531191522E-2</v>
      </c>
    </row>
    <row r="265" spans="2:20" ht="15.6" x14ac:dyDescent="0.3">
      <c r="B265" s="11">
        <v>700</v>
      </c>
      <c r="C265">
        <f t="shared" si="22"/>
        <v>2.8450980400142569</v>
      </c>
      <c r="D265" t="s">
        <v>444</v>
      </c>
      <c r="F265" t="str">
        <f t="shared" si="23"/>
        <v>Bins-</v>
      </c>
      <c r="S265" s="11">
        <v>1.1285988483685201</v>
      </c>
      <c r="T265">
        <v>5.2539602776613251E-2</v>
      </c>
    </row>
    <row r="266" spans="2:20" ht="15.6" x14ac:dyDescent="0.3">
      <c r="B266" s="11">
        <v>701.98329853862197</v>
      </c>
      <c r="C266">
        <f t="shared" si="22"/>
        <v>2.8463267795959011</v>
      </c>
      <c r="F266" t="str">
        <f t="shared" si="23"/>
        <v>-</v>
      </c>
      <c r="S266" s="11">
        <v>1.19769673704414</v>
      </c>
      <c r="T266">
        <v>7.8346866382897395E-2</v>
      </c>
    </row>
    <row r="267" spans="2:20" ht="15.6" x14ac:dyDescent="0.3">
      <c r="B267" s="11">
        <v>711</v>
      </c>
      <c r="C267">
        <f t="shared" si="22"/>
        <v>2.8518696007297661</v>
      </c>
      <c r="F267" t="str">
        <f t="shared" si="23"/>
        <v>-</v>
      </c>
      <c r="S267" s="11">
        <v>1.3243761996161201</v>
      </c>
      <c r="T267">
        <v>0.12201136743772993</v>
      </c>
    </row>
    <row r="268" spans="2:20" ht="15.6" x14ac:dyDescent="0.3">
      <c r="B268" s="11">
        <v>721.54963680387402</v>
      </c>
      <c r="C268">
        <f t="shared" si="22"/>
        <v>2.8582662124198541</v>
      </c>
      <c r="F268" t="str">
        <f t="shared" si="23"/>
        <v>-</v>
      </c>
      <c r="S268" s="11">
        <v>1.2725527831093999</v>
      </c>
      <c r="T268">
        <v>0.10467580510524692</v>
      </c>
    </row>
    <row r="269" spans="2:20" ht="15.6" x14ac:dyDescent="0.3">
      <c r="B269" s="11">
        <v>727.19935431799797</v>
      </c>
      <c r="C269">
        <f t="shared" si="22"/>
        <v>2.8616534846029991</v>
      </c>
      <c r="F269" t="str">
        <f t="shared" si="23"/>
        <v>-</v>
      </c>
      <c r="S269" s="11">
        <v>2.0671785028790701</v>
      </c>
      <c r="T269">
        <v>0.31537797999845529</v>
      </c>
    </row>
    <row r="270" spans="2:20" ht="15.6" x14ac:dyDescent="0.3">
      <c r="B270" s="11">
        <v>728.00645682001596</v>
      </c>
      <c r="C270">
        <f t="shared" si="22"/>
        <v>2.8621352311658783</v>
      </c>
      <c r="F270" t="str">
        <f t="shared" si="23"/>
        <v>-</v>
      </c>
      <c r="S270" s="11">
        <v>2.17082533589251</v>
      </c>
      <c r="T270">
        <v>0.33662488162592996</v>
      </c>
    </row>
    <row r="271" spans="2:20" ht="15.6" x14ac:dyDescent="0.3">
      <c r="B271" s="11">
        <v>728.25112107623204</v>
      </c>
      <c r="C271">
        <f t="shared" si="22"/>
        <v>2.8622811618569952</v>
      </c>
      <c r="F271" t="str">
        <f t="shared" si="23"/>
        <v>-</v>
      </c>
      <c r="S271" s="11">
        <v>2.2341650671785001</v>
      </c>
      <c r="T271">
        <v>0.34911525701434465</v>
      </c>
    </row>
    <row r="272" spans="2:20" ht="15.6" x14ac:dyDescent="0.3">
      <c r="B272" s="11">
        <v>728.400735294117</v>
      </c>
      <c r="C272">
        <f t="shared" si="22"/>
        <v>2.8623703755276275</v>
      </c>
      <c r="F272" t="str">
        <f t="shared" si="23"/>
        <v>-</v>
      </c>
      <c r="S272" s="11">
        <v>2.3378119001919302</v>
      </c>
      <c r="T272">
        <v>0.36880956499733053</v>
      </c>
    </row>
    <row r="273" spans="2:20" ht="15.6" x14ac:dyDescent="0.3">
      <c r="B273" s="11">
        <v>735</v>
      </c>
      <c r="C273">
        <f t="shared" si="22"/>
        <v>2.8662873390841948</v>
      </c>
      <c r="F273" t="str">
        <f t="shared" si="23"/>
        <v>-</v>
      </c>
      <c r="S273" s="11">
        <v>2.4587332053742799</v>
      </c>
      <c r="T273">
        <v>0.39071140644516178</v>
      </c>
    </row>
    <row r="274" spans="2:20" ht="15.6" x14ac:dyDescent="0.3">
      <c r="B274" s="11">
        <v>736.84210526315997</v>
      </c>
      <c r="C274">
        <f t="shared" si="22"/>
        <v>2.8673744347254102</v>
      </c>
      <c r="F274" t="str">
        <f t="shared" si="23"/>
        <v>-</v>
      </c>
      <c r="S274" s="11">
        <v>2.4414587332053701</v>
      </c>
      <c r="T274">
        <v>0.38764938801286986</v>
      </c>
    </row>
    <row r="275" spans="2:20" ht="15.6" x14ac:dyDescent="0.3">
      <c r="B275" s="11">
        <v>739</v>
      </c>
      <c r="C275">
        <f t="shared" si="22"/>
        <v>2.8686444383948255</v>
      </c>
      <c r="F275" t="str">
        <f t="shared" si="23"/>
        <v>-</v>
      </c>
      <c r="S275" s="11">
        <v>2.4529750479846402</v>
      </c>
      <c r="T275">
        <v>0.38969313052285603</v>
      </c>
    </row>
    <row r="276" spans="2:20" ht="15.6" x14ac:dyDescent="0.3">
      <c r="B276" s="11">
        <v>742</v>
      </c>
      <c r="C276">
        <f t="shared" si="22"/>
        <v>2.8704039052790269</v>
      </c>
      <c r="F276" t="str">
        <f t="shared" si="23"/>
        <v>-</v>
      </c>
      <c r="S276" s="11">
        <v>2.4932821497120901</v>
      </c>
      <c r="T276">
        <v>0.39677142777350305</v>
      </c>
    </row>
    <row r="277" spans="2:20" ht="15.6" x14ac:dyDescent="0.3">
      <c r="B277" s="11">
        <v>745.34161490683198</v>
      </c>
      <c r="C277">
        <f t="shared" si="22"/>
        <v>2.8723553700157751</v>
      </c>
      <c r="F277" t="str">
        <f t="shared" si="23"/>
        <v>-</v>
      </c>
      <c r="S277" s="11">
        <v>3.2706333973128499</v>
      </c>
      <c r="T277">
        <v>0.5146318671311555</v>
      </c>
    </row>
    <row r="278" spans="2:20" ht="15.6" x14ac:dyDescent="0.3">
      <c r="B278" s="11">
        <v>745.88014981273398</v>
      </c>
      <c r="C278">
        <f t="shared" si="22"/>
        <v>2.8726690493807716</v>
      </c>
      <c r="F278" t="str">
        <f t="shared" si="23"/>
        <v>-</v>
      </c>
      <c r="S278" s="11">
        <v>3.16122840690978</v>
      </c>
      <c r="T278">
        <v>0.49985587587022867</v>
      </c>
    </row>
    <row r="279" spans="2:20" ht="15.6" x14ac:dyDescent="0.3">
      <c r="B279" s="11">
        <v>748</v>
      </c>
      <c r="C279">
        <f t="shared" si="22"/>
        <v>2.8739015978644615</v>
      </c>
      <c r="F279" t="str">
        <f t="shared" si="23"/>
        <v>-</v>
      </c>
      <c r="S279" s="11">
        <v>3.1036468330134301</v>
      </c>
      <c r="T279">
        <v>0.49187229660687587</v>
      </c>
    </row>
    <row r="280" spans="2:20" ht="15.6" x14ac:dyDescent="0.3">
      <c r="B280" s="11">
        <v>748.65615096138902</v>
      </c>
      <c r="C280">
        <f t="shared" si="22"/>
        <v>2.8742823971013478</v>
      </c>
      <c r="F280" t="str">
        <f t="shared" si="23"/>
        <v>-</v>
      </c>
      <c r="S280" s="11">
        <v>4.1401151631477902</v>
      </c>
      <c r="T280">
        <v>0.61701242180302029</v>
      </c>
    </row>
    <row r="281" spans="2:20" ht="15.6" x14ac:dyDescent="0.3">
      <c r="B281" s="11">
        <v>751</v>
      </c>
      <c r="C281">
        <f t="shared" si="22"/>
        <v>2.8756399370041685</v>
      </c>
      <c r="F281" t="str">
        <f t="shared" si="23"/>
        <v>-</v>
      </c>
      <c r="S281" s="11">
        <v>4.1228406909788804</v>
      </c>
      <c r="T281">
        <v>0.61519655372799287</v>
      </c>
    </row>
    <row r="282" spans="2:20" ht="15.6" x14ac:dyDescent="0.3">
      <c r="B282" s="11">
        <v>752.10701254221397</v>
      </c>
      <c r="C282">
        <f t="shared" si="22"/>
        <v>2.8762796379987003</v>
      </c>
      <c r="F282" t="str">
        <f t="shared" si="23"/>
        <v>-</v>
      </c>
      <c r="S282" s="11">
        <v>4.1285988483685196</v>
      </c>
      <c r="T282">
        <v>0.61580268708793784</v>
      </c>
    </row>
    <row r="283" spans="2:20" ht="15.6" x14ac:dyDescent="0.3">
      <c r="B283" s="11">
        <v>752.83446712018099</v>
      </c>
      <c r="C283">
        <f t="shared" si="22"/>
        <v>2.8766994942361976</v>
      </c>
      <c r="F283" t="str">
        <f t="shared" si="23"/>
        <v>-</v>
      </c>
      <c r="S283" s="11">
        <v>4.2495201535508604</v>
      </c>
      <c r="T283">
        <v>0.62833989324317918</v>
      </c>
    </row>
    <row r="284" spans="2:20" ht="15.6" x14ac:dyDescent="0.3">
      <c r="B284" s="11">
        <v>754.17536534446799</v>
      </c>
      <c r="C284">
        <f t="shared" si="22"/>
        <v>2.8774723423500412</v>
      </c>
      <c r="F284" t="str">
        <f t="shared" si="23"/>
        <v>-</v>
      </c>
      <c r="S284" s="11">
        <v>4.2322456813819596</v>
      </c>
      <c r="T284">
        <v>0.62657087050433302</v>
      </c>
    </row>
    <row r="285" spans="2:20" ht="15.6" x14ac:dyDescent="0.3">
      <c r="B285" s="11">
        <v>755</v>
      </c>
      <c r="C285">
        <f t="shared" si="22"/>
        <v>2.8779469516291885</v>
      </c>
      <c r="F285" t="str">
        <f t="shared" si="23"/>
        <v>-</v>
      </c>
      <c r="S285" s="11">
        <v>4.1631477927063303</v>
      </c>
      <c r="T285">
        <v>0.61942182871466844</v>
      </c>
    </row>
    <row r="286" spans="2:20" ht="15.6" x14ac:dyDescent="0.3">
      <c r="B286" s="11">
        <v>755.97426470588198</v>
      </c>
      <c r="C286">
        <f t="shared" si="22"/>
        <v>2.8785070112598508</v>
      </c>
      <c r="F286" t="str">
        <f t="shared" si="23"/>
        <v>-</v>
      </c>
      <c r="S286" s="11">
        <v>4.2898272552782997</v>
      </c>
      <c r="T286">
        <v>0.63243980416842971</v>
      </c>
    </row>
    <row r="287" spans="2:20" ht="15.6" x14ac:dyDescent="0.3">
      <c r="B287" s="11">
        <v>762.86764705882297</v>
      </c>
      <c r="C287">
        <f t="shared" si="22"/>
        <v>2.8824491970139126</v>
      </c>
      <c r="F287" t="str">
        <f t="shared" si="23"/>
        <v>-</v>
      </c>
      <c r="S287" s="11">
        <v>4.3416506717850201</v>
      </c>
      <c r="T287">
        <v>0.6376548772899111</v>
      </c>
    </row>
    <row r="288" spans="2:20" ht="15.6" x14ac:dyDescent="0.3">
      <c r="B288" s="11">
        <v>767.463235294117</v>
      </c>
      <c r="C288">
        <f t="shared" si="22"/>
        <v>2.8850575801214404</v>
      </c>
      <c r="F288" t="str">
        <f t="shared" si="23"/>
        <v>-</v>
      </c>
      <c r="S288" s="11">
        <v>4.3416506717850298</v>
      </c>
      <c r="T288">
        <v>0.6376548772899121</v>
      </c>
    </row>
    <row r="289" spans="2:20" ht="15.6" x14ac:dyDescent="0.3">
      <c r="B289" s="11">
        <v>771.07883677390998</v>
      </c>
      <c r="C289">
        <f t="shared" si="22"/>
        <v>2.8870987835315245</v>
      </c>
      <c r="F289" t="str">
        <f t="shared" si="23"/>
        <v>-</v>
      </c>
      <c r="S289" s="11">
        <v>4.3761996161228396</v>
      </c>
      <c r="T289">
        <v>0.64109712370092919</v>
      </c>
    </row>
    <row r="290" spans="2:20" ht="15.6" x14ac:dyDescent="0.3">
      <c r="B290" s="11">
        <v>772.26606538895101</v>
      </c>
      <c r="C290">
        <f t="shared" si="22"/>
        <v>2.8877669516606987</v>
      </c>
      <c r="F290" t="str">
        <f t="shared" si="23"/>
        <v>-</v>
      </c>
      <c r="S290" s="11">
        <v>4.4222648752399198</v>
      </c>
      <c r="T290">
        <v>0.64564475145164968</v>
      </c>
    </row>
    <row r="291" spans="2:20" ht="15.6" x14ac:dyDescent="0.3">
      <c r="B291" s="11">
        <v>778.95220588235202</v>
      </c>
      <c r="C291">
        <f t="shared" si="22"/>
        <v>2.891510811512958</v>
      </c>
      <c r="F291" t="str">
        <f t="shared" si="23"/>
        <v>-</v>
      </c>
      <c r="S291" s="11">
        <v>4.0652591170825296</v>
      </c>
      <c r="T291">
        <v>0.60908823247194133</v>
      </c>
    </row>
    <row r="292" spans="2:20" ht="15.6" x14ac:dyDescent="0.3">
      <c r="B292" s="11">
        <v>790.44117647058704</v>
      </c>
      <c r="C292">
        <f t="shared" si="22"/>
        <v>2.8978695558814058</v>
      </c>
      <c r="F292" t="str">
        <f t="shared" si="23"/>
        <v>-</v>
      </c>
      <c r="S292" s="11">
        <v>4.3128598848368496</v>
      </c>
      <c r="T292">
        <v>0.63476534911960414</v>
      </c>
    </row>
    <row r="293" spans="2:20" ht="15.6" x14ac:dyDescent="0.3">
      <c r="B293" s="11">
        <v>792.15686274509801</v>
      </c>
      <c r="C293">
        <f t="shared" si="22"/>
        <v>2.8988111890126684</v>
      </c>
      <c r="F293" t="str">
        <f t="shared" si="23"/>
        <v>-</v>
      </c>
      <c r="S293" s="11">
        <v>4.3358925143953897</v>
      </c>
      <c r="T293">
        <v>0.63707850762083817</v>
      </c>
    </row>
    <row r="294" spans="2:20" ht="15.6" x14ac:dyDescent="0.3">
      <c r="B294" s="11">
        <v>796.28246167684597</v>
      </c>
      <c r="C294">
        <f t="shared" si="22"/>
        <v>2.9010671503854937</v>
      </c>
      <c r="F294" t="str">
        <f t="shared" si="23"/>
        <v>-</v>
      </c>
      <c r="S294" s="11">
        <v>4.2207293666026802</v>
      </c>
      <c r="T294">
        <v>0.62538750606126514</v>
      </c>
    </row>
    <row r="295" spans="2:20" ht="15.6" x14ac:dyDescent="0.3">
      <c r="B295" s="11">
        <v>797.33455882352905</v>
      </c>
      <c r="C295">
        <f t="shared" si="22"/>
        <v>2.9016405881007499</v>
      </c>
      <c r="F295" t="str">
        <f t="shared" si="23"/>
        <v>-</v>
      </c>
      <c r="S295" s="11">
        <v>4.2840690978886702</v>
      </c>
      <c r="T295">
        <v>0.63185646696601616</v>
      </c>
    </row>
    <row r="296" spans="2:20" ht="15.6" x14ac:dyDescent="0.3">
      <c r="B296" s="11">
        <v>805.49682875264295</v>
      </c>
      <c r="C296">
        <f t="shared" si="22"/>
        <v>2.9060638349378078</v>
      </c>
      <c r="F296" t="str">
        <f t="shared" si="23"/>
        <v>-</v>
      </c>
      <c r="S296" s="11">
        <v>4.5489443378118999</v>
      </c>
      <c r="T296">
        <v>0.65791062271057932</v>
      </c>
    </row>
    <row r="297" spans="2:20" ht="15.6" x14ac:dyDescent="0.3">
      <c r="B297" s="11">
        <v>806.016597510373</v>
      </c>
      <c r="C297">
        <f t="shared" si="22"/>
        <v>2.9063439848980832</v>
      </c>
      <c r="F297" t="str">
        <f t="shared" si="23"/>
        <v>-</v>
      </c>
      <c r="S297" s="11">
        <v>5.5911708253358903</v>
      </c>
      <c r="T297">
        <v>0.74750276132814264</v>
      </c>
    </row>
    <row r="298" spans="2:20" ht="15.6" x14ac:dyDescent="0.3">
      <c r="B298" s="11">
        <v>806.525735294117</v>
      </c>
      <c r="C298">
        <f t="shared" si="22"/>
        <v>2.9066182297757002</v>
      </c>
      <c r="F298" t="str">
        <f t="shared" si="23"/>
        <v>-</v>
      </c>
      <c r="S298" s="11">
        <v>4.3243761996161201</v>
      </c>
      <c r="T298">
        <v>0.63592346842430603</v>
      </c>
    </row>
    <row r="299" spans="2:20" ht="15.6" x14ac:dyDescent="0.3">
      <c r="B299" s="11">
        <v>809.64730290456396</v>
      </c>
      <c r="C299">
        <f t="shared" si="22"/>
        <v>2.9082958734956055</v>
      </c>
      <c r="F299" t="str">
        <f t="shared" si="23"/>
        <v>-</v>
      </c>
      <c r="S299" s="11">
        <v>4.3761996161228396</v>
      </c>
      <c r="T299">
        <v>0.64109712370092919</v>
      </c>
    </row>
    <row r="300" spans="2:20" ht="15.6" x14ac:dyDescent="0.3">
      <c r="B300" s="11">
        <v>815.71691176470495</v>
      </c>
      <c r="C300">
        <f t="shared" si="22"/>
        <v>2.9115394663649701</v>
      </c>
      <c r="F300" t="str">
        <f t="shared" si="23"/>
        <v>-</v>
      </c>
      <c r="S300" s="11">
        <v>4.4798464491362697</v>
      </c>
      <c r="T300">
        <v>0.65126312840982625</v>
      </c>
    </row>
    <row r="301" spans="2:20" ht="15.6" x14ac:dyDescent="0.3">
      <c r="B301" s="11">
        <v>818.09051135678396</v>
      </c>
      <c r="C301">
        <f t="shared" si="22"/>
        <v>2.9128013555151155</v>
      </c>
      <c r="F301" t="str">
        <f t="shared" si="23"/>
        <v>-</v>
      </c>
      <c r="S301" s="11">
        <v>3.42034548944337</v>
      </c>
      <c r="T301">
        <v>0.53406997640133047</v>
      </c>
    </row>
    <row r="302" spans="2:20" ht="15.6" x14ac:dyDescent="0.3">
      <c r="B302" s="11">
        <v>819.87577639751498</v>
      </c>
      <c r="C302">
        <f t="shared" si="22"/>
        <v>2.913748055174</v>
      </c>
      <c r="F302" t="str">
        <f t="shared" si="23"/>
        <v>-</v>
      </c>
      <c r="S302" s="11">
        <v>3.3224568138195698</v>
      </c>
      <c r="T302">
        <v>0.5214593445758684</v>
      </c>
    </row>
    <row r="303" spans="2:20" ht="16.2" thickBot="1" x14ac:dyDescent="0.35">
      <c r="B303" s="17">
        <v>822.02505219206705</v>
      </c>
      <c r="C303">
        <f t="shared" si="22"/>
        <v>2.9148850533830939</v>
      </c>
      <c r="F303" t="str">
        <f t="shared" si="23"/>
        <v>-</v>
      </c>
      <c r="S303" s="17">
        <v>2.3608445297504699</v>
      </c>
      <c r="T303">
        <v>0.37306738813987161</v>
      </c>
    </row>
    <row r="304" spans="2:20" ht="15.6" x14ac:dyDescent="0.3">
      <c r="B304" s="12">
        <v>824.170124481328</v>
      </c>
      <c r="C304">
        <f t="shared" si="22"/>
        <v>2.9160168676405678</v>
      </c>
      <c r="F304" t="str">
        <f t="shared" si="23"/>
        <v>-</v>
      </c>
      <c r="S304" s="12">
        <v>1.5486891385767714</v>
      </c>
      <c r="T304">
        <v>0.1899642525239881</v>
      </c>
    </row>
    <row r="305" spans="2:20" ht="15.6" x14ac:dyDescent="0.3">
      <c r="B305" s="11">
        <v>826</v>
      </c>
      <c r="C305">
        <f t="shared" si="22"/>
        <v>2.9169800473203824</v>
      </c>
      <c r="F305" t="str">
        <f t="shared" si="23"/>
        <v>-</v>
      </c>
      <c r="S305" s="11">
        <v>1.5805243445692856</v>
      </c>
      <c r="T305">
        <v>0.19880118959709786</v>
      </c>
    </row>
    <row r="306" spans="2:20" ht="15.6" x14ac:dyDescent="0.3">
      <c r="B306" s="11">
        <v>832.29813664596202</v>
      </c>
      <c r="C306">
        <f t="shared" si="22"/>
        <v>2.9202789223329577</v>
      </c>
      <c r="F306" t="str">
        <f t="shared" si="23"/>
        <v>-</v>
      </c>
      <c r="S306" s="11">
        <v>1.7172284644194715</v>
      </c>
      <c r="T306">
        <v>0.23482807864146363</v>
      </c>
    </row>
    <row r="307" spans="2:20" ht="15.6" x14ac:dyDescent="0.3">
      <c r="B307" s="11">
        <v>832.29813664596395</v>
      </c>
      <c r="C307">
        <f t="shared" si="22"/>
        <v>2.9202789223329586</v>
      </c>
      <c r="F307" t="str">
        <f t="shared" si="23"/>
        <v>-</v>
      </c>
      <c r="S307" s="11">
        <v>1.7172284644194715</v>
      </c>
      <c r="T307">
        <v>0.23482807864146363</v>
      </c>
    </row>
    <row r="308" spans="2:20" ht="16.2" thickBot="1" x14ac:dyDescent="0.35">
      <c r="B308" s="17">
        <v>836.39705882352905</v>
      </c>
      <c r="C308">
        <f t="shared" si="22"/>
        <v>2.9224124969589322</v>
      </c>
      <c r="F308" t="str">
        <f t="shared" si="23"/>
        <v>-</v>
      </c>
      <c r="S308" s="17">
        <v>1.6591760299625429</v>
      </c>
      <c r="T308">
        <v>0.21989246485849331</v>
      </c>
    </row>
    <row r="309" spans="2:20" ht="15.6" x14ac:dyDescent="0.3">
      <c r="B309" s="12">
        <v>838.50931677018605</v>
      </c>
      <c r="C309">
        <f t="shared" si="22"/>
        <v>2.9235078924631561</v>
      </c>
      <c r="F309" t="str">
        <f t="shared" si="23"/>
        <v>-</v>
      </c>
      <c r="S309" s="12">
        <v>10.442307692307599</v>
      </c>
      <c r="T309">
        <v>1.0187964859540439</v>
      </c>
    </row>
    <row r="310" spans="2:20" ht="15.6" x14ac:dyDescent="0.3">
      <c r="B310" s="11">
        <v>842</v>
      </c>
      <c r="C310">
        <f t="shared" si="22"/>
        <v>2.9253120914996495</v>
      </c>
      <c r="F310" t="str">
        <f t="shared" si="23"/>
        <v>-</v>
      </c>
      <c r="S310" s="11">
        <v>11.0625</v>
      </c>
      <c r="T310">
        <v>1.0438532837058818</v>
      </c>
    </row>
    <row r="311" spans="2:20" ht="16.2" thickBot="1" x14ac:dyDescent="0.35">
      <c r="B311" s="17">
        <v>854.72154963680396</v>
      </c>
      <c r="C311">
        <f t="shared" si="22"/>
        <v>2.9318246537314216</v>
      </c>
      <c r="F311" t="str">
        <f t="shared" si="23"/>
        <v>-</v>
      </c>
      <c r="S311" s="17">
        <v>12.374999999999901</v>
      </c>
      <c r="T311">
        <v>1.0925452076056028</v>
      </c>
    </row>
    <row r="312" spans="2:20" ht="15.6" x14ac:dyDescent="0.3">
      <c r="B312" s="12">
        <v>863.35403726708205</v>
      </c>
      <c r="C312">
        <f t="shared" si="22"/>
        <v>2.9361889242222459</v>
      </c>
      <c r="F312" t="str">
        <f t="shared" si="23"/>
        <v>-</v>
      </c>
      <c r="S312" s="12">
        <v>0.7</v>
      </c>
      <c r="T312">
        <v>-0.15490195998574319</v>
      </c>
    </row>
    <row r="313" spans="2:20" ht="15.6" x14ac:dyDescent="0.3">
      <c r="B313" s="11">
        <v>869.56521739130403</v>
      </c>
      <c r="C313">
        <f t="shared" si="22"/>
        <v>2.9393021596463882</v>
      </c>
      <c r="F313" t="str">
        <f t="shared" si="23"/>
        <v>-</v>
      </c>
      <c r="S313" s="11">
        <v>0.7</v>
      </c>
      <c r="T313">
        <v>-0.15490195998574319</v>
      </c>
    </row>
    <row r="314" spans="2:20" ht="15.6" x14ac:dyDescent="0.3">
      <c r="B314" s="11">
        <v>870</v>
      </c>
      <c r="C314">
        <f t="shared" si="22"/>
        <v>2.9395192526186187</v>
      </c>
      <c r="F314" t="str">
        <f t="shared" si="23"/>
        <v>-</v>
      </c>
      <c r="S314" s="11">
        <v>1.4</v>
      </c>
      <c r="T314">
        <v>0.14612803567823801</v>
      </c>
    </row>
    <row r="315" spans="2:20" ht="16.2" thickBot="1" x14ac:dyDescent="0.35">
      <c r="B315" s="17">
        <v>870.05649717514098</v>
      </c>
      <c r="C315">
        <f t="shared" si="22"/>
        <v>2.9395474544746563</v>
      </c>
      <c r="F315" t="str">
        <f t="shared" si="23"/>
        <v>-</v>
      </c>
      <c r="S315" s="17">
        <v>1</v>
      </c>
      <c r="T315">
        <v>0</v>
      </c>
    </row>
    <row r="316" spans="2:20" ht="15.6" x14ac:dyDescent="0.3">
      <c r="B316" s="12">
        <v>881.98757763975198</v>
      </c>
      <c r="C316">
        <f t="shared" si="22"/>
        <v>2.9454624683512072</v>
      </c>
      <c r="F316" t="str">
        <f t="shared" si="23"/>
        <v>-</v>
      </c>
      <c r="S316" s="12">
        <v>1.63</v>
      </c>
      <c r="T316">
        <v>0.21218760440395779</v>
      </c>
    </row>
    <row r="317" spans="2:20" ht="15.6" x14ac:dyDescent="0.3">
      <c r="B317" s="11">
        <v>882.41211618090404</v>
      </c>
      <c r="C317">
        <f t="shared" si="22"/>
        <v>2.9456714626623954</v>
      </c>
      <c r="F317" t="str">
        <f t="shared" si="23"/>
        <v>-</v>
      </c>
      <c r="S317" s="11">
        <v>0.98</v>
      </c>
      <c r="T317">
        <v>-8.7739243075051505E-3</v>
      </c>
    </row>
    <row r="318" spans="2:20" ht="15.6" x14ac:dyDescent="0.3">
      <c r="B318" s="11">
        <v>888.888888888888</v>
      </c>
      <c r="C318">
        <f t="shared" si="22"/>
        <v>2.9488474775526181</v>
      </c>
      <c r="F318" t="str">
        <f t="shared" si="23"/>
        <v>-</v>
      </c>
      <c r="S318" s="11">
        <v>0.99</v>
      </c>
      <c r="T318">
        <v>-4.3648054024500883E-3</v>
      </c>
    </row>
    <row r="319" spans="2:20" ht="15.6" x14ac:dyDescent="0.3">
      <c r="B319" s="11">
        <v>900</v>
      </c>
      <c r="C319">
        <f t="shared" si="22"/>
        <v>2.9542425094393248</v>
      </c>
      <c r="D319" t="s">
        <v>445</v>
      </c>
      <c r="F319" t="str">
        <f t="shared" si="23"/>
        <v>0-100-</v>
      </c>
      <c r="S319" s="11">
        <v>0.82</v>
      </c>
      <c r="T319">
        <v>-8.6186147616283335E-2</v>
      </c>
    </row>
    <row r="320" spans="2:20" ht="15.6" x14ac:dyDescent="0.3">
      <c r="B320" s="11">
        <v>900</v>
      </c>
      <c r="C320">
        <f t="shared" si="22"/>
        <v>2.9542425094393248</v>
      </c>
      <c r="F320" t="str">
        <f t="shared" si="23"/>
        <v>-</v>
      </c>
      <c r="S320" s="11">
        <v>0.79</v>
      </c>
      <c r="T320">
        <v>-0.10237290870955855</v>
      </c>
    </row>
    <row r="321" spans="2:20" ht="15.6" x14ac:dyDescent="0.3">
      <c r="B321" s="11">
        <v>900.72639225181604</v>
      </c>
      <c r="C321">
        <f t="shared" si="22"/>
        <v>2.9545928882254966</v>
      </c>
      <c r="F321" t="str">
        <f t="shared" si="23"/>
        <v>-</v>
      </c>
      <c r="S321" s="11">
        <v>1.17</v>
      </c>
      <c r="T321">
        <v>6.8185861746161619E-2</v>
      </c>
    </row>
    <row r="322" spans="2:20" ht="15.6" x14ac:dyDescent="0.3">
      <c r="B322" s="11">
        <v>902</v>
      </c>
      <c r="C322">
        <f t="shared" si="22"/>
        <v>2.9552065375419416</v>
      </c>
      <c r="F322" t="str">
        <f t="shared" si="23"/>
        <v>-</v>
      </c>
      <c r="S322" s="11">
        <v>0.56999999999999995</v>
      </c>
      <c r="T322">
        <v>-0.24412514432750865</v>
      </c>
    </row>
    <row r="323" spans="2:20" ht="15.6" x14ac:dyDescent="0.3">
      <c r="B323" s="31">
        <v>905.33088235294099</v>
      </c>
      <c r="C323">
        <f t="shared" ref="C323:C386" si="24">LOG10(B323)</f>
        <v>2.9568073351354505</v>
      </c>
      <c r="F323" t="str">
        <f t="shared" si="23"/>
        <v>-</v>
      </c>
      <c r="S323" s="31">
        <v>0.71</v>
      </c>
      <c r="T323">
        <v>-0.14874165128092473</v>
      </c>
    </row>
    <row r="324" spans="2:20" ht="16.2" thickBot="1" x14ac:dyDescent="0.35">
      <c r="B324" s="17">
        <v>925.58139534883696</v>
      </c>
      <c r="C324">
        <f t="shared" si="24"/>
        <v>2.966414616494101</v>
      </c>
      <c r="F324" t="str">
        <f t="shared" ref="F324:F387" si="25">_xlfn.CONCAT(D324,"-",E324)</f>
        <v>-</v>
      </c>
      <c r="S324" s="17">
        <v>0.49</v>
      </c>
      <c r="T324">
        <v>-0.30980391997148632</v>
      </c>
    </row>
    <row r="325" spans="2:20" ht="15.6" x14ac:dyDescent="0.3">
      <c r="B325" s="12">
        <v>926.01102941176396</v>
      </c>
      <c r="C325">
        <f t="shared" si="24"/>
        <v>2.9666161594509854</v>
      </c>
      <c r="F325" t="str">
        <f t="shared" si="25"/>
        <v>-</v>
      </c>
      <c r="S325" s="12">
        <v>1.0000000000000001E-5</v>
      </c>
      <c r="T325">
        <v>-5</v>
      </c>
    </row>
    <row r="326" spans="2:20" ht="15.6" x14ac:dyDescent="0.3">
      <c r="B326" s="11">
        <v>931.67701863354205</v>
      </c>
      <c r="C326">
        <f t="shared" si="24"/>
        <v>2.9692653830238322</v>
      </c>
      <c r="F326" t="str">
        <f t="shared" si="25"/>
        <v>-</v>
      </c>
      <c r="S326" s="11">
        <v>1.42</v>
      </c>
      <c r="T326">
        <v>0.15228834438305647</v>
      </c>
    </row>
    <row r="327" spans="2:20" ht="15.6" x14ac:dyDescent="0.3">
      <c r="B327" s="11">
        <v>941</v>
      </c>
      <c r="C327">
        <f t="shared" si="24"/>
        <v>2.973589623427257</v>
      </c>
      <c r="F327" t="str">
        <f t="shared" si="25"/>
        <v>-</v>
      </c>
      <c r="S327" s="11">
        <v>1.47</v>
      </c>
      <c r="T327">
        <v>0.16731733474817609</v>
      </c>
    </row>
    <row r="328" spans="2:20" ht="15.6" x14ac:dyDescent="0.3">
      <c r="B328" s="11">
        <v>941.79389312977105</v>
      </c>
      <c r="C328">
        <f t="shared" si="24"/>
        <v>2.9739558700219288</v>
      </c>
      <c r="F328" t="str">
        <f t="shared" si="25"/>
        <v>-</v>
      </c>
      <c r="S328" s="11">
        <v>1.65</v>
      </c>
      <c r="T328">
        <v>0.21748394421390627</v>
      </c>
    </row>
    <row r="329" spans="2:20" ht="15.6" x14ac:dyDescent="0.3">
      <c r="B329" s="11">
        <v>971.96691176470495</v>
      </c>
      <c r="C329">
        <f t="shared" si="24"/>
        <v>2.9876514806849186</v>
      </c>
      <c r="F329" t="str">
        <f t="shared" si="25"/>
        <v>-</v>
      </c>
      <c r="S329" s="11">
        <v>1.57</v>
      </c>
      <c r="T329">
        <v>0.19589965240923377</v>
      </c>
    </row>
    <row r="330" spans="2:20" ht="15.6" x14ac:dyDescent="0.3">
      <c r="B330" s="11">
        <v>972</v>
      </c>
      <c r="C330">
        <f t="shared" si="24"/>
        <v>2.9876662649262746</v>
      </c>
      <c r="F330" t="str">
        <f t="shared" si="25"/>
        <v>-</v>
      </c>
      <c r="S330" s="11">
        <v>2.89</v>
      </c>
      <c r="T330">
        <v>0.46089784275654788</v>
      </c>
    </row>
    <row r="331" spans="2:20" ht="15.6" x14ac:dyDescent="0.3">
      <c r="B331" s="11">
        <v>975.15527950310502</v>
      </c>
      <c r="C331">
        <f t="shared" si="24"/>
        <v>2.9890737763773836</v>
      </c>
      <c r="F331" t="str">
        <f t="shared" si="25"/>
        <v>-</v>
      </c>
      <c r="S331" s="11">
        <v>3.34</v>
      </c>
      <c r="T331">
        <v>0.52374646681156445</v>
      </c>
    </row>
    <row r="332" spans="2:20" ht="15.6" x14ac:dyDescent="0.3">
      <c r="B332" s="11">
        <v>975.46565442529197</v>
      </c>
      <c r="C332">
        <f t="shared" si="24"/>
        <v>2.9892119827452333</v>
      </c>
      <c r="F332" t="str">
        <f t="shared" si="25"/>
        <v>-</v>
      </c>
      <c r="S332" s="11">
        <v>3.31</v>
      </c>
      <c r="T332">
        <v>0.51982799377571876</v>
      </c>
    </row>
    <row r="333" spans="2:20" ht="15.6" x14ac:dyDescent="0.3">
      <c r="B333" s="11">
        <v>976.05629834885099</v>
      </c>
      <c r="C333">
        <f t="shared" si="24"/>
        <v>2.9894748682374912</v>
      </c>
      <c r="F333" t="str">
        <f t="shared" si="25"/>
        <v>-</v>
      </c>
      <c r="S333" s="11">
        <v>2.89</v>
      </c>
      <c r="T333">
        <v>0.46089784275654788</v>
      </c>
    </row>
    <row r="334" spans="2:20" ht="15.6" x14ac:dyDescent="0.3">
      <c r="B334" s="11">
        <v>978.600610634948</v>
      </c>
      <c r="C334">
        <f t="shared" si="24"/>
        <v>2.9906054824185091</v>
      </c>
      <c r="F334" t="str">
        <f t="shared" si="25"/>
        <v>-</v>
      </c>
      <c r="S334" s="11">
        <v>3.02</v>
      </c>
      <c r="T334">
        <v>0.48000694295715063</v>
      </c>
    </row>
    <row r="335" spans="2:20" ht="15.6" x14ac:dyDescent="0.3">
      <c r="B335" s="11">
        <v>988.05147058823502</v>
      </c>
      <c r="C335">
        <f t="shared" si="24"/>
        <v>2.994779568889463</v>
      </c>
      <c r="F335" t="str">
        <f t="shared" si="25"/>
        <v>-</v>
      </c>
      <c r="S335" s="11">
        <v>3.02</v>
      </c>
      <c r="T335">
        <v>0.48000694295715063</v>
      </c>
    </row>
    <row r="336" spans="2:20" ht="15.6" x14ac:dyDescent="0.3">
      <c r="B336" s="11">
        <v>996.25468164793995</v>
      </c>
      <c r="C336">
        <f t="shared" si="24"/>
        <v>2.9983703752664916</v>
      </c>
      <c r="F336" t="str">
        <f t="shared" si="25"/>
        <v>-</v>
      </c>
      <c r="S336" s="11">
        <v>2.41</v>
      </c>
      <c r="T336">
        <v>0.3820170425748684</v>
      </c>
    </row>
    <row r="337" spans="2:20" ht="15.6" x14ac:dyDescent="0.3">
      <c r="B337" s="11">
        <v>1000</v>
      </c>
      <c r="C337">
        <f t="shared" si="24"/>
        <v>3</v>
      </c>
      <c r="F337" t="str">
        <f t="shared" si="25"/>
        <v>-</v>
      </c>
      <c r="S337" s="11">
        <v>2.7</v>
      </c>
      <c r="T337">
        <v>0.43136376415898736</v>
      </c>
    </row>
    <row r="338" spans="2:20" ht="15.6" x14ac:dyDescent="0.3">
      <c r="B338" s="11">
        <v>1000</v>
      </c>
      <c r="C338">
        <f t="shared" si="24"/>
        <v>3</v>
      </c>
      <c r="F338" t="str">
        <f t="shared" si="25"/>
        <v>-</v>
      </c>
      <c r="S338" s="11">
        <v>4.87</v>
      </c>
      <c r="T338">
        <v>0.68752896121463436</v>
      </c>
    </row>
    <row r="339" spans="2:20" ht="15.6" x14ac:dyDescent="0.3">
      <c r="B339" s="11">
        <v>1012.6741010468801</v>
      </c>
      <c r="C339">
        <f t="shared" si="24"/>
        <v>3.0054697031202569</v>
      </c>
      <c r="F339" t="str">
        <f t="shared" si="25"/>
        <v>-</v>
      </c>
      <c r="S339" s="11">
        <v>4.84</v>
      </c>
      <c r="T339">
        <v>0.68484536164441245</v>
      </c>
    </row>
    <row r="340" spans="2:20" ht="15.6" x14ac:dyDescent="0.3">
      <c r="B340" s="31">
        <v>1029.4117647058799</v>
      </c>
      <c r="C340">
        <f t="shared" si="24"/>
        <v>3.0125891273080194</v>
      </c>
      <c r="F340" t="str">
        <f t="shared" si="25"/>
        <v>-</v>
      </c>
      <c r="S340" s="31">
        <v>4.7699999999999996</v>
      </c>
      <c r="T340">
        <v>0.67851837904011392</v>
      </c>
    </row>
    <row r="341" spans="2:20" ht="16.2" thickBot="1" x14ac:dyDescent="0.35">
      <c r="B341" s="17">
        <v>1036.7713004484301</v>
      </c>
      <c r="C341">
        <f t="shared" si="24"/>
        <v>3.0156829667003304</v>
      </c>
      <c r="F341" t="str">
        <f t="shared" si="25"/>
        <v>-</v>
      </c>
      <c r="S341" s="17">
        <v>5.13</v>
      </c>
      <c r="T341">
        <v>0.71011736511181622</v>
      </c>
    </row>
    <row r="342" spans="2:20" ht="15.6" x14ac:dyDescent="0.3">
      <c r="B342" s="12">
        <v>1067.7480916030499</v>
      </c>
      <c r="C342">
        <f t="shared" si="24"/>
        <v>3.0284688038806409</v>
      </c>
      <c r="F342" t="str">
        <f t="shared" si="25"/>
        <v>-</v>
      </c>
      <c r="S342" s="12">
        <v>0</v>
      </c>
      <c r="T342" t="e">
        <v>#NUM!</v>
      </c>
    </row>
    <row r="343" spans="2:20" ht="15.6" x14ac:dyDescent="0.3">
      <c r="B343" s="11">
        <v>1071.7</v>
      </c>
      <c r="C343">
        <f t="shared" si="24"/>
        <v>3.0300732307125178</v>
      </c>
      <c r="F343" t="str">
        <f t="shared" si="25"/>
        <v>-</v>
      </c>
      <c r="S343" s="11">
        <v>2.34</v>
      </c>
      <c r="T343">
        <v>0.36921585741014279</v>
      </c>
    </row>
    <row r="344" spans="2:20" ht="15.6" x14ac:dyDescent="0.3">
      <c r="B344" s="11">
        <v>1089.2116182572599</v>
      </c>
      <c r="C344">
        <f t="shared" si="24"/>
        <v>3.0371122651671065</v>
      </c>
      <c r="F344" t="str">
        <f t="shared" si="25"/>
        <v>-</v>
      </c>
      <c r="S344" s="11">
        <v>6.37</v>
      </c>
      <c r="T344">
        <v>0.80413943233535046</v>
      </c>
    </row>
    <row r="345" spans="2:20" ht="15.6" x14ac:dyDescent="0.3">
      <c r="B345" s="11">
        <v>1098.18328808155</v>
      </c>
      <c r="C345">
        <f t="shared" si="24"/>
        <v>3.0406748304230855</v>
      </c>
      <c r="F345" t="str">
        <f t="shared" si="25"/>
        <v>-</v>
      </c>
      <c r="S345" s="11">
        <v>6.58</v>
      </c>
      <c r="T345">
        <v>0.81822589361395548</v>
      </c>
    </row>
    <row r="346" spans="2:20" ht="15.6" x14ac:dyDescent="0.3">
      <c r="B346" s="11">
        <v>1099.9643066818098</v>
      </c>
      <c r="C346">
        <f t="shared" si="24"/>
        <v>3.0413785927376478</v>
      </c>
      <c r="F346" t="str">
        <f t="shared" si="25"/>
        <v>-</v>
      </c>
      <c r="S346" s="11">
        <v>0</v>
      </c>
      <c r="T346" t="e">
        <v>#NUM!</v>
      </c>
    </row>
    <row r="347" spans="2:20" ht="15.6" x14ac:dyDescent="0.3">
      <c r="B347" s="11">
        <v>1104.9327354259999</v>
      </c>
      <c r="C347">
        <f t="shared" si="24"/>
        <v>3.0433358404442235</v>
      </c>
      <c r="F347" t="str">
        <f t="shared" si="25"/>
        <v>-</v>
      </c>
      <c r="S347" s="11">
        <v>3.44</v>
      </c>
      <c r="T347">
        <v>0.53655844257153007</v>
      </c>
    </row>
    <row r="348" spans="2:20" ht="15.6" x14ac:dyDescent="0.3">
      <c r="B348" s="11">
        <v>1107.5367647058799</v>
      </c>
      <c r="C348">
        <f t="shared" si="24"/>
        <v>3.044358151548725</v>
      </c>
      <c r="F348" t="str">
        <f t="shared" si="25"/>
        <v>-</v>
      </c>
      <c r="S348" s="11">
        <v>4.0199999999999996</v>
      </c>
      <c r="T348">
        <v>0.60422605308446997</v>
      </c>
    </row>
    <row r="349" spans="2:20" ht="15.6" x14ac:dyDescent="0.3">
      <c r="B349" s="11">
        <v>1110.9958506224</v>
      </c>
      <c r="C349">
        <f t="shared" si="24"/>
        <v>3.0457124369290223</v>
      </c>
      <c r="F349" t="str">
        <f t="shared" si="25"/>
        <v>-</v>
      </c>
      <c r="S349" s="11">
        <v>4.5199999999999996</v>
      </c>
      <c r="T349">
        <v>0.65513843481138212</v>
      </c>
    </row>
    <row r="350" spans="2:20" ht="15.6" x14ac:dyDescent="0.3">
      <c r="B350" s="11">
        <v>1118</v>
      </c>
      <c r="C350">
        <f t="shared" si="24"/>
        <v>3.0484418035504044</v>
      </c>
      <c r="F350" t="str">
        <f t="shared" si="25"/>
        <v>-</v>
      </c>
      <c r="S350" s="11">
        <v>0</v>
      </c>
      <c r="T350" t="e">
        <v>#NUM!</v>
      </c>
    </row>
    <row r="351" spans="2:20" ht="15.6" x14ac:dyDescent="0.3">
      <c r="B351" s="11">
        <v>1123.6213235294099</v>
      </c>
      <c r="C351">
        <f t="shared" si="24"/>
        <v>3.0506199724334961</v>
      </c>
      <c r="F351" t="str">
        <f t="shared" si="25"/>
        <v>-</v>
      </c>
      <c r="S351" s="11">
        <v>2.91</v>
      </c>
      <c r="T351">
        <v>0.46389298898590731</v>
      </c>
    </row>
    <row r="352" spans="2:20" ht="15.6" x14ac:dyDescent="0.3">
      <c r="B352" s="31">
        <v>1127.3486430062601</v>
      </c>
      <c r="C352">
        <f t="shared" si="24"/>
        <v>3.0520582464084041</v>
      </c>
      <c r="F352" t="str">
        <f t="shared" si="25"/>
        <v>-</v>
      </c>
      <c r="S352" s="31">
        <v>3.5</v>
      </c>
      <c r="T352">
        <v>0.54406804435027567</v>
      </c>
    </row>
    <row r="353" spans="2:20" ht="16.2" thickBot="1" x14ac:dyDescent="0.35">
      <c r="B353" s="17">
        <v>1143.6721991701199</v>
      </c>
      <c r="C353">
        <f t="shared" si="24"/>
        <v>3.0583015642370435</v>
      </c>
      <c r="F353" t="str">
        <f t="shared" si="25"/>
        <v>-</v>
      </c>
      <c r="S353" s="17">
        <v>4.72</v>
      </c>
      <c r="T353">
        <v>0.67394199863408777</v>
      </c>
    </row>
    <row r="354" spans="2:20" ht="15.6" x14ac:dyDescent="0.3">
      <c r="B354" s="12">
        <v>1154.33403805496</v>
      </c>
      <c r="C354">
        <f t="shared" si="24"/>
        <v>3.0623315019669226</v>
      </c>
      <c r="F354" t="str">
        <f t="shared" si="25"/>
        <v>-</v>
      </c>
      <c r="S354" s="12">
        <v>1.1002570694087399</v>
      </c>
      <c r="T354">
        <v>4.1494167687464119E-2</v>
      </c>
    </row>
    <row r="355" spans="2:20" ht="15.6" x14ac:dyDescent="0.3">
      <c r="B355" s="11">
        <v>1199.2263056092499</v>
      </c>
      <c r="C355">
        <f t="shared" si="24"/>
        <v>3.078901146404299</v>
      </c>
      <c r="F355" t="str">
        <f t="shared" si="25"/>
        <v>-</v>
      </c>
      <c r="S355" s="11">
        <v>2.1388174807197902</v>
      </c>
      <c r="T355">
        <v>0.33017372496501535</v>
      </c>
    </row>
    <row r="356" spans="2:20" ht="15.6" x14ac:dyDescent="0.3">
      <c r="B356" s="11">
        <v>1200</v>
      </c>
      <c r="C356">
        <f t="shared" si="24"/>
        <v>3.0791812460476247</v>
      </c>
      <c r="F356" t="str">
        <f t="shared" si="25"/>
        <v>-</v>
      </c>
      <c r="S356" s="11">
        <v>3.0848329048843102</v>
      </c>
      <c r="T356">
        <v>0.48923164472191588</v>
      </c>
    </row>
    <row r="357" spans="2:20" ht="15.6" x14ac:dyDescent="0.3">
      <c r="B357" s="11">
        <v>1211.1801242235999</v>
      </c>
      <c r="C357">
        <f t="shared" si="24"/>
        <v>3.0832087353306674</v>
      </c>
      <c r="F357" t="str">
        <f t="shared" si="25"/>
        <v>-</v>
      </c>
      <c r="S357" s="11">
        <v>4.6889460154241602</v>
      </c>
      <c r="T357">
        <v>0.67107523266668923</v>
      </c>
    </row>
    <row r="358" spans="2:20" ht="15.6" x14ac:dyDescent="0.3">
      <c r="B358" s="31">
        <v>1220</v>
      </c>
      <c r="C358">
        <f t="shared" si="24"/>
        <v>3.0863598306747484</v>
      </c>
      <c r="F358" t="str">
        <f t="shared" si="25"/>
        <v>-</v>
      </c>
      <c r="S358" s="31">
        <v>7.3007712082262204</v>
      </c>
      <c r="T358">
        <v>0.86336873872132991</v>
      </c>
    </row>
    <row r="359" spans="2:20" ht="16.2" thickBot="1" x14ac:dyDescent="0.35">
      <c r="B359" s="17">
        <v>1220.93023255813</v>
      </c>
      <c r="C359">
        <f t="shared" si="24"/>
        <v>3.0866908478263668</v>
      </c>
      <c r="F359" t="str">
        <f t="shared" si="25"/>
        <v>-</v>
      </c>
      <c r="S359" s="17">
        <v>9.5732647814909999</v>
      </c>
      <c r="T359">
        <v>0.98106007098359715</v>
      </c>
    </row>
    <row r="360" spans="2:20" ht="15.6" x14ac:dyDescent="0.3">
      <c r="B360" s="12">
        <v>1238.07053941908</v>
      </c>
      <c r="C360">
        <f t="shared" si="24"/>
        <v>3.0927453894399402</v>
      </c>
      <c r="F360" t="str">
        <f t="shared" si="25"/>
        <v>-</v>
      </c>
      <c r="S360" s="12">
        <v>1.21</v>
      </c>
      <c r="T360">
        <v>8.2785370316450071E-2</v>
      </c>
    </row>
    <row r="361" spans="2:20" ht="15.6" x14ac:dyDescent="0.3">
      <c r="B361" s="11">
        <v>1242.1711899791201</v>
      </c>
      <c r="C361">
        <f t="shared" si="24"/>
        <v>3.0941814523139852</v>
      </c>
      <c r="F361" t="str">
        <f t="shared" si="25"/>
        <v>-</v>
      </c>
      <c r="S361" s="11">
        <v>2.17</v>
      </c>
      <c r="T361">
        <v>0.33645973384852951</v>
      </c>
    </row>
    <row r="362" spans="2:20" ht="15.6" x14ac:dyDescent="0.3">
      <c r="B362" s="31">
        <v>1253.48837209302</v>
      </c>
      <c r="C362">
        <f t="shared" si="24"/>
        <v>3.0981203096071512</v>
      </c>
      <c r="F362" t="str">
        <f t="shared" si="25"/>
        <v>-</v>
      </c>
      <c r="S362" s="31">
        <v>3.05</v>
      </c>
      <c r="T362">
        <v>0.48429983934678583</v>
      </c>
    </row>
    <row r="363" spans="2:20" ht="16.2" thickBot="1" x14ac:dyDescent="0.35">
      <c r="B363" s="17">
        <v>1267.0807453416101</v>
      </c>
      <c r="C363">
        <f t="shared" si="24"/>
        <v>3.1028042913940475</v>
      </c>
      <c r="F363" t="str">
        <f t="shared" si="25"/>
        <v>-</v>
      </c>
      <c r="S363" s="17">
        <v>3.64</v>
      </c>
      <c r="T363">
        <v>0.56110138364905604</v>
      </c>
    </row>
    <row r="364" spans="2:20" ht="15.6" x14ac:dyDescent="0.3">
      <c r="B364" s="12">
        <v>1268</v>
      </c>
      <c r="C364">
        <f t="shared" si="24"/>
        <v>3.1031192535457137</v>
      </c>
      <c r="F364" t="str">
        <f t="shared" si="25"/>
        <v>-</v>
      </c>
      <c r="S364" s="12">
        <v>2.23</v>
      </c>
      <c r="T364">
        <v>0.34830486304816066</v>
      </c>
    </row>
    <row r="365" spans="2:20" ht="15.6" x14ac:dyDescent="0.3">
      <c r="B365" s="11">
        <v>1270.6149664422398</v>
      </c>
      <c r="C365">
        <f t="shared" si="24"/>
        <v>3.1040139665391435</v>
      </c>
      <c r="F365" t="str">
        <f t="shared" si="25"/>
        <v>-</v>
      </c>
      <c r="S365" s="11">
        <v>4.0999999999999996</v>
      </c>
      <c r="T365">
        <v>0.61278385671973545</v>
      </c>
    </row>
    <row r="366" spans="2:20" ht="15.6" x14ac:dyDescent="0.3">
      <c r="B366" s="11">
        <v>1273.29192546583</v>
      </c>
      <c r="C366">
        <f t="shared" si="24"/>
        <v>3.1049279850239015</v>
      </c>
      <c r="F366" t="str">
        <f t="shared" si="25"/>
        <v>-</v>
      </c>
      <c r="S366" s="11">
        <v>5.47</v>
      </c>
      <c r="T366">
        <v>0.73798732633343078</v>
      </c>
    </row>
    <row r="367" spans="2:20" ht="15.6" x14ac:dyDescent="0.3">
      <c r="B367" s="11">
        <v>1274.37759336099</v>
      </c>
      <c r="C367">
        <f t="shared" si="24"/>
        <v>3.1052981269132669</v>
      </c>
      <c r="F367" t="str">
        <f t="shared" si="25"/>
        <v>-</v>
      </c>
      <c r="S367" s="11">
        <v>5.23</v>
      </c>
      <c r="T367">
        <v>0.71850168886727428</v>
      </c>
    </row>
    <row r="368" spans="2:20" ht="15.6" x14ac:dyDescent="0.3">
      <c r="B368" s="11">
        <v>1282.6095815052699</v>
      </c>
      <c r="C368">
        <f t="shared" si="24"/>
        <v>3.1080944799125194</v>
      </c>
      <c r="F368" t="str">
        <f t="shared" si="25"/>
        <v>-</v>
      </c>
      <c r="S368" s="11">
        <v>11.74</v>
      </c>
      <c r="T368">
        <v>1.0696680969115957</v>
      </c>
    </row>
    <row r="369" spans="2:20" ht="15.6" x14ac:dyDescent="0.3">
      <c r="B369" s="11">
        <v>1292.53112033195</v>
      </c>
      <c r="C369">
        <f t="shared" si="24"/>
        <v>3.1114410084203201</v>
      </c>
      <c r="F369" t="str">
        <f t="shared" si="25"/>
        <v>-</v>
      </c>
      <c r="S369" s="11">
        <v>12.87</v>
      </c>
      <c r="T369">
        <v>1.1095785469043866</v>
      </c>
    </row>
    <row r="370" spans="2:20" ht="15.6" x14ac:dyDescent="0.3">
      <c r="B370" s="11">
        <v>1300</v>
      </c>
      <c r="C370">
        <f t="shared" si="24"/>
        <v>3.1139433523068369</v>
      </c>
      <c r="F370" t="str">
        <f t="shared" si="25"/>
        <v>-</v>
      </c>
      <c r="S370" s="11">
        <v>7.12</v>
      </c>
      <c r="T370">
        <v>0.85247999363685634</v>
      </c>
    </row>
    <row r="371" spans="2:20" ht="15.6" x14ac:dyDescent="0.3">
      <c r="B371" s="11">
        <v>1300</v>
      </c>
      <c r="C371">
        <f t="shared" si="24"/>
        <v>3.1139433523068369</v>
      </c>
      <c r="F371" t="str">
        <f t="shared" si="25"/>
        <v>-</v>
      </c>
      <c r="S371" s="11">
        <v>12.59</v>
      </c>
      <c r="T371">
        <v>1.1000257301078626</v>
      </c>
    </row>
    <row r="372" spans="2:20" ht="15.6" x14ac:dyDescent="0.3">
      <c r="B372" s="11">
        <v>1321.53755948257</v>
      </c>
      <c r="C372">
        <f t="shared" si="24"/>
        <v>3.1210795107475029</v>
      </c>
      <c r="F372" t="str">
        <f t="shared" si="25"/>
        <v>-</v>
      </c>
      <c r="S372" s="11">
        <v>13.15</v>
      </c>
      <c r="T372">
        <v>1.1189257528257768</v>
      </c>
    </row>
    <row r="373" spans="2:20" ht="15.6" x14ac:dyDescent="0.3">
      <c r="B373" s="11">
        <v>1327.3542600896801</v>
      </c>
      <c r="C373">
        <f t="shared" si="24"/>
        <v>3.1229868480107759</v>
      </c>
      <c r="F373" t="str">
        <f t="shared" si="25"/>
        <v>-</v>
      </c>
      <c r="S373" s="11">
        <v>5.69</v>
      </c>
      <c r="T373">
        <v>0.75511226639507123</v>
      </c>
    </row>
    <row r="374" spans="2:20" ht="15.6" x14ac:dyDescent="0.3">
      <c r="B374" s="31">
        <v>1330</v>
      </c>
      <c r="C374">
        <f t="shared" si="24"/>
        <v>3.1238516409670858</v>
      </c>
      <c r="F374" t="str">
        <f t="shared" si="25"/>
        <v>-</v>
      </c>
      <c r="S374" s="31">
        <v>11.04</v>
      </c>
      <c r="T374">
        <v>1.04296907339318</v>
      </c>
    </row>
    <row r="375" spans="2:20" ht="16.2" thickBot="1" x14ac:dyDescent="0.35">
      <c r="B375" s="17">
        <v>1336.1169102296401</v>
      </c>
      <c r="C375">
        <f t="shared" si="24"/>
        <v>3.1258444605693225</v>
      </c>
      <c r="F375" t="str">
        <f t="shared" si="25"/>
        <v>-</v>
      </c>
      <c r="S375" s="17">
        <v>13.48</v>
      </c>
      <c r="T375">
        <v>1.129689892199301</v>
      </c>
    </row>
    <row r="376" spans="2:20" ht="15.6" x14ac:dyDescent="0.3">
      <c r="B376" s="12">
        <v>1340</v>
      </c>
      <c r="C376">
        <f t="shared" si="24"/>
        <v>3.1271047983648077</v>
      </c>
      <c r="F376" t="str">
        <f t="shared" si="25"/>
        <v>-</v>
      </c>
      <c r="S376" s="12">
        <v>1.96013289036544</v>
      </c>
      <c r="T376">
        <v>0.29228551604829894</v>
      </c>
    </row>
    <row r="377" spans="2:20" ht="15.6" x14ac:dyDescent="0.3">
      <c r="B377" s="11">
        <v>1343</v>
      </c>
      <c r="C377">
        <f t="shared" si="24"/>
        <v>3.1280760126687155</v>
      </c>
      <c r="F377" t="str">
        <f t="shared" si="25"/>
        <v>-</v>
      </c>
      <c r="S377" s="11">
        <v>2.9817275747508298</v>
      </c>
      <c r="T377">
        <v>0.47446796165651328</v>
      </c>
    </row>
    <row r="378" spans="2:20" ht="15.6" x14ac:dyDescent="0.3">
      <c r="B378" s="11">
        <v>1346.0719993842301</v>
      </c>
      <c r="C378">
        <f t="shared" si="24"/>
        <v>3.1290682902735392</v>
      </c>
      <c r="F378" t="str">
        <f t="shared" si="25"/>
        <v>-</v>
      </c>
      <c r="S378" s="11">
        <v>3.6960132890365398</v>
      </c>
      <c r="T378">
        <v>0.56773352405912525</v>
      </c>
    </row>
    <row r="379" spans="2:20" ht="15.6" x14ac:dyDescent="0.3">
      <c r="B379" s="11">
        <v>1351.1392431809099</v>
      </c>
      <c r="C379">
        <f t="shared" si="24"/>
        <v>3.1307001080368133</v>
      </c>
      <c r="F379" t="str">
        <f t="shared" si="25"/>
        <v>-</v>
      </c>
      <c r="S379" s="11">
        <v>1.9684385382059799</v>
      </c>
      <c r="T379">
        <v>0.29412185908829808</v>
      </c>
    </row>
    <row r="380" spans="2:20" ht="15.6" x14ac:dyDescent="0.3">
      <c r="B380" s="31">
        <v>1360.24844720496</v>
      </c>
      <c r="C380">
        <f t="shared" si="24"/>
        <v>3.1336182388082658</v>
      </c>
      <c r="F380" t="str">
        <f t="shared" si="25"/>
        <v>-</v>
      </c>
      <c r="S380" s="31">
        <v>2.3671096345514901</v>
      </c>
      <c r="T380">
        <v>0.37421837308670358</v>
      </c>
    </row>
    <row r="381" spans="2:20" ht="16.2" thickBot="1" x14ac:dyDescent="0.35">
      <c r="B381" s="17">
        <v>1381.54698211611</v>
      </c>
      <c r="C381">
        <f t="shared" si="24"/>
        <v>3.1403656585082893</v>
      </c>
      <c r="F381" t="str">
        <f t="shared" si="25"/>
        <v>-</v>
      </c>
      <c r="S381" s="17">
        <v>2.9817275747508298</v>
      </c>
      <c r="T381">
        <v>0.47446796165651328</v>
      </c>
    </row>
    <row r="382" spans="2:20" ht="15.6" x14ac:dyDescent="0.3">
      <c r="B382" s="35">
        <v>1385.4828774484799</v>
      </c>
      <c r="C382">
        <f t="shared" si="24"/>
        <v>3.1416011629038212</v>
      </c>
      <c r="F382" t="str">
        <f t="shared" si="25"/>
        <v>-</v>
      </c>
      <c r="S382" s="35">
        <v>2.8</v>
      </c>
      <c r="T382">
        <v>0.44715803134221921</v>
      </c>
    </row>
    <row r="383" spans="2:20" ht="16.2" thickBot="1" x14ac:dyDescent="0.35">
      <c r="B383" s="17">
        <v>1396</v>
      </c>
      <c r="C383">
        <f t="shared" si="24"/>
        <v>3.1448854182871422</v>
      </c>
      <c r="F383" t="str">
        <f t="shared" si="25"/>
        <v>-</v>
      </c>
      <c r="S383" s="17">
        <v>4.3</v>
      </c>
      <c r="T383">
        <v>0.63346845557958653</v>
      </c>
    </row>
    <row r="384" spans="2:20" ht="15.6" x14ac:dyDescent="0.3">
      <c r="B384" s="12">
        <v>1402.1866670567399</v>
      </c>
      <c r="C384">
        <f t="shared" si="24"/>
        <v>3.1468058332285769</v>
      </c>
      <c r="F384" t="str">
        <f t="shared" si="25"/>
        <v>-</v>
      </c>
      <c r="S384" s="12">
        <v>11.7</v>
      </c>
      <c r="T384">
        <v>1.0681858617461617</v>
      </c>
    </row>
    <row r="385" spans="2:20" ht="15.6" x14ac:dyDescent="0.3">
      <c r="B385" s="11">
        <v>1405.08298755186</v>
      </c>
      <c r="C385">
        <f t="shared" si="24"/>
        <v>3.147701975466354</v>
      </c>
      <c r="F385" t="str">
        <f t="shared" si="25"/>
        <v>-</v>
      </c>
      <c r="S385" s="11">
        <v>5.13</v>
      </c>
      <c r="T385">
        <v>0.71011736511181622</v>
      </c>
    </row>
    <row r="386" spans="2:20" ht="15.6" x14ac:dyDescent="0.3">
      <c r="B386" s="11">
        <v>1412.3443983402401</v>
      </c>
      <c r="C386">
        <f t="shared" si="24"/>
        <v>3.1499406117731499</v>
      </c>
      <c r="F386" t="str">
        <f t="shared" si="25"/>
        <v>-</v>
      </c>
      <c r="S386" s="11">
        <v>14.64</v>
      </c>
      <c r="T386">
        <v>1.1655410767223731</v>
      </c>
    </row>
    <row r="387" spans="2:20" ht="15.6" x14ac:dyDescent="0.3">
      <c r="B387" s="11">
        <v>1422.3602484472001</v>
      </c>
      <c r="C387">
        <f t="shared" ref="C387:C450" si="26">LOG10(B387)</f>
        <v>3.1530096063080366</v>
      </c>
      <c r="F387" t="str">
        <f t="shared" si="25"/>
        <v>-</v>
      </c>
      <c r="S387" s="11">
        <v>8.5500000000000007</v>
      </c>
      <c r="T387">
        <v>0.9319661147281727</v>
      </c>
    </row>
    <row r="388" spans="2:20" ht="15.6" x14ac:dyDescent="0.3">
      <c r="B388" s="11">
        <v>1434.50502498532</v>
      </c>
      <c r="C388">
        <f t="shared" si="26"/>
        <v>3.1567020738922813</v>
      </c>
      <c r="F388" t="str">
        <f t="shared" ref="F388:F451" si="27">_xlfn.CONCAT(D388,"-",E388)</f>
        <v>-</v>
      </c>
      <c r="S388" s="11">
        <v>17.73</v>
      </c>
      <c r="T388">
        <v>1.2487087356009179</v>
      </c>
    </row>
    <row r="389" spans="2:20" ht="15.6" x14ac:dyDescent="0.3">
      <c r="B389" s="11">
        <v>1445.0207468879601</v>
      </c>
      <c r="C389">
        <f t="shared" si="26"/>
        <v>3.1598740825211307</v>
      </c>
      <c r="F389" t="str">
        <f t="shared" si="27"/>
        <v>-</v>
      </c>
      <c r="S389" s="11">
        <v>11.93</v>
      </c>
      <c r="T389">
        <v>1.0766404436703418</v>
      </c>
    </row>
    <row r="390" spans="2:20" ht="15.6" x14ac:dyDescent="0.3">
      <c r="B390" s="31">
        <v>1449.1287627439899</v>
      </c>
      <c r="C390">
        <f t="shared" si="26"/>
        <v>3.1611069765441075</v>
      </c>
      <c r="F390" t="str">
        <f t="shared" si="27"/>
        <v>-</v>
      </c>
      <c r="S390" s="31">
        <v>25.63</v>
      </c>
      <c r="T390">
        <v>1.408748606184244</v>
      </c>
    </row>
    <row r="391" spans="2:20" ht="16.2" thickBot="1" x14ac:dyDescent="0.35">
      <c r="B391" s="17">
        <v>1456.15866388308</v>
      </c>
      <c r="C391">
        <f t="shared" si="26"/>
        <v>3.163208698531069</v>
      </c>
      <c r="F391" t="str">
        <f t="shared" si="27"/>
        <v>-</v>
      </c>
      <c r="S391" s="17">
        <v>17.03</v>
      </c>
      <c r="T391">
        <v>1.2312146479626012</v>
      </c>
    </row>
    <row r="392" spans="2:20" ht="15.6" x14ac:dyDescent="0.3">
      <c r="B392" s="12">
        <v>1468.5114503816701</v>
      </c>
      <c r="C392">
        <f t="shared" si="26"/>
        <v>3.166877337183768</v>
      </c>
      <c r="F392" t="str">
        <f t="shared" si="27"/>
        <v>-</v>
      </c>
      <c r="S392" s="12">
        <v>1.2050511124473799</v>
      </c>
      <c r="T392">
        <v>8.100546797568732E-2</v>
      </c>
    </row>
    <row r="393" spans="2:20" ht="15.6" x14ac:dyDescent="0.3">
      <c r="B393" s="11">
        <v>1470</v>
      </c>
      <c r="C393">
        <f t="shared" si="26"/>
        <v>3.167317334748176</v>
      </c>
      <c r="F393" t="str">
        <f t="shared" si="27"/>
        <v>-</v>
      </c>
      <c r="S393" s="11">
        <v>1.19061936259771</v>
      </c>
      <c r="T393">
        <v>7.5772941042010045E-2</v>
      </c>
    </row>
    <row r="394" spans="2:20" ht="15.6" x14ac:dyDescent="0.3">
      <c r="B394" s="11">
        <v>1477.0354906054199</v>
      </c>
      <c r="C394">
        <f t="shared" si="26"/>
        <v>3.1693909307817623</v>
      </c>
      <c r="F394" t="str">
        <f t="shared" si="27"/>
        <v>-</v>
      </c>
      <c r="S394" s="11">
        <v>2.2297053517738998</v>
      </c>
      <c r="T394">
        <v>0.34824747625293967</v>
      </c>
    </row>
    <row r="395" spans="2:20" ht="15.6" x14ac:dyDescent="0.3">
      <c r="B395" s="11">
        <v>1492.8229665071699</v>
      </c>
      <c r="C395">
        <f t="shared" si="26"/>
        <v>3.1740083079073869</v>
      </c>
      <c r="F395" t="str">
        <f t="shared" si="27"/>
        <v>-</v>
      </c>
      <c r="S395" s="11">
        <v>2.2080577269993902</v>
      </c>
      <c r="T395">
        <v>0.3440104233096839</v>
      </c>
    </row>
    <row r="396" spans="2:20" ht="15.6" x14ac:dyDescent="0.3">
      <c r="B396" s="11">
        <v>1500</v>
      </c>
      <c r="C396">
        <f t="shared" si="26"/>
        <v>3.1760912590556813</v>
      </c>
      <c r="F396" t="str">
        <f t="shared" si="27"/>
        <v>-</v>
      </c>
      <c r="S396" s="11">
        <v>3.1389055923030602</v>
      </c>
      <c r="T396">
        <v>0.49677825378274199</v>
      </c>
    </row>
    <row r="397" spans="2:20" ht="15.6" x14ac:dyDescent="0.3">
      <c r="B397" s="11">
        <v>1505.27325385721</v>
      </c>
      <c r="C397">
        <f t="shared" si="26"/>
        <v>3.1776153450264122</v>
      </c>
      <c r="F397" t="str">
        <f t="shared" si="27"/>
        <v>-</v>
      </c>
      <c r="S397" s="11">
        <v>3.2760072158749201</v>
      </c>
      <c r="T397">
        <v>0.51534484968520888</v>
      </c>
    </row>
    <row r="398" spans="2:20" ht="15.6" x14ac:dyDescent="0.3">
      <c r="B398" s="11">
        <v>1505.28541226215</v>
      </c>
      <c r="C398">
        <f t="shared" si="26"/>
        <v>3.1776188528990428</v>
      </c>
      <c r="F398" t="str">
        <f t="shared" si="27"/>
        <v>-</v>
      </c>
      <c r="S398" s="11">
        <v>4.2573662056524304</v>
      </c>
      <c r="T398">
        <v>0.62914100847024923</v>
      </c>
    </row>
    <row r="399" spans="2:20" ht="15.6" x14ac:dyDescent="0.3">
      <c r="B399" s="11">
        <v>1513.5699373695099</v>
      </c>
      <c r="C399">
        <f t="shared" si="26"/>
        <v>3.1800024931564277</v>
      </c>
      <c r="F399" t="str">
        <f t="shared" si="27"/>
        <v>-</v>
      </c>
      <c r="S399" s="11">
        <v>4.2501503307275996</v>
      </c>
      <c r="T399">
        <v>0.62840429161520717</v>
      </c>
    </row>
    <row r="400" spans="2:20" ht="15.6" x14ac:dyDescent="0.3">
      <c r="B400" s="11">
        <v>1543.0497925311199</v>
      </c>
      <c r="C400">
        <f t="shared" si="26"/>
        <v>3.1883799404977564</v>
      </c>
      <c r="F400" t="str">
        <f t="shared" si="27"/>
        <v>-</v>
      </c>
      <c r="S400" s="11">
        <v>5.9386650631388997</v>
      </c>
      <c r="T400">
        <v>0.77368883204037497</v>
      </c>
    </row>
    <row r="401" spans="2:20" ht="15.6" x14ac:dyDescent="0.3">
      <c r="B401" s="11">
        <v>1593.8796680497901</v>
      </c>
      <c r="C401">
        <f t="shared" si="26"/>
        <v>3.2024555306895657</v>
      </c>
      <c r="F401" t="str">
        <f t="shared" si="27"/>
        <v>-</v>
      </c>
      <c r="S401" s="11">
        <v>6.0324714371617496</v>
      </c>
      <c r="T401">
        <v>0.78049527426712151</v>
      </c>
    </row>
    <row r="402" spans="2:20" ht="15.6" x14ac:dyDescent="0.3">
      <c r="B402" s="31">
        <v>1600</v>
      </c>
      <c r="C402">
        <f t="shared" si="26"/>
        <v>3.2041199826559246</v>
      </c>
      <c r="F402" t="str">
        <f t="shared" si="27"/>
        <v>-</v>
      </c>
      <c r="S402" s="31">
        <v>8.6085387853277098</v>
      </c>
      <c r="T402">
        <v>0.93492944049844684</v>
      </c>
    </row>
    <row r="403" spans="2:20" ht="16.2" thickBot="1" x14ac:dyDescent="0.35">
      <c r="B403" s="17">
        <v>1604.77178423236</v>
      </c>
      <c r="C403">
        <f t="shared" si="26"/>
        <v>3.2054132797965353</v>
      </c>
      <c r="F403" t="str">
        <f t="shared" si="27"/>
        <v>-</v>
      </c>
      <c r="S403" s="17">
        <v>8.5147324113048608</v>
      </c>
      <c r="T403">
        <v>0.93017100413423048</v>
      </c>
    </row>
    <row r="404" spans="2:20" ht="15.6" x14ac:dyDescent="0.3">
      <c r="B404" s="12">
        <v>1623.5827664399001</v>
      </c>
      <c r="C404">
        <f t="shared" si="26"/>
        <v>3.2104744328400145</v>
      </c>
      <c r="F404" t="str">
        <f t="shared" si="27"/>
        <v>-</v>
      </c>
      <c r="S404" s="12">
        <v>5.8844765342960201</v>
      </c>
      <c r="T404">
        <v>0.76970783533950859</v>
      </c>
    </row>
    <row r="405" spans="2:20" ht="15.6" x14ac:dyDescent="0.3">
      <c r="B405" s="11">
        <v>1644.6265108987</v>
      </c>
      <c r="C405">
        <f t="shared" si="26"/>
        <v>3.2160672866796896</v>
      </c>
      <c r="F405" t="str">
        <f t="shared" si="27"/>
        <v>-</v>
      </c>
      <c r="S405" s="11">
        <v>6.2599277978339298</v>
      </c>
      <c r="T405">
        <v>0.79656932407574255</v>
      </c>
    </row>
    <row r="406" spans="2:20" ht="15.6" x14ac:dyDescent="0.3">
      <c r="B406" s="11">
        <v>1649.2693110647101</v>
      </c>
      <c r="C406">
        <f t="shared" si="26"/>
        <v>3.2172915778758759</v>
      </c>
      <c r="F406" t="str">
        <f t="shared" si="27"/>
        <v>-</v>
      </c>
      <c r="S406" s="11">
        <v>5.8050541516245397</v>
      </c>
      <c r="T406">
        <v>0.76380627534798318</v>
      </c>
    </row>
    <row r="407" spans="2:20" ht="15.6" x14ac:dyDescent="0.3">
      <c r="B407" s="11">
        <v>1654</v>
      </c>
      <c r="C407">
        <f t="shared" si="26"/>
        <v>3.2185355052165279</v>
      </c>
      <c r="F407" t="str">
        <f t="shared" si="27"/>
        <v>-</v>
      </c>
      <c r="S407" s="11">
        <v>5.7039711191335698</v>
      </c>
      <c r="T407">
        <v>0.75617731788997378</v>
      </c>
    </row>
    <row r="408" spans="2:20" ht="15.6" x14ac:dyDescent="0.3">
      <c r="B408" s="11">
        <v>1658.3850931677</v>
      </c>
      <c r="C408">
        <f t="shared" si="26"/>
        <v>3.219685385332725</v>
      </c>
      <c r="F408" t="str">
        <f t="shared" si="27"/>
        <v>-</v>
      </c>
      <c r="S408" s="11">
        <v>5.5234657039711097</v>
      </c>
      <c r="T408">
        <v>0.74221166175314945</v>
      </c>
    </row>
    <row r="409" spans="2:20" ht="15.6" x14ac:dyDescent="0.3">
      <c r="B409" s="11">
        <v>1658.3850931677</v>
      </c>
      <c r="C409">
        <f t="shared" si="26"/>
        <v>3.219685385332725</v>
      </c>
      <c r="F409" t="str">
        <f t="shared" si="27"/>
        <v>-</v>
      </c>
      <c r="S409" s="11">
        <v>6.4187725631768897</v>
      </c>
      <c r="T409">
        <v>0.80745198756974601</v>
      </c>
    </row>
    <row r="410" spans="2:20" ht="15.6" x14ac:dyDescent="0.3">
      <c r="B410" s="11">
        <v>1662</v>
      </c>
      <c r="C410">
        <f t="shared" si="26"/>
        <v>3.220631019448092</v>
      </c>
      <c r="F410" t="str">
        <f t="shared" si="27"/>
        <v>-</v>
      </c>
      <c r="S410" s="11">
        <v>6.4115523465703896</v>
      </c>
      <c r="T410">
        <v>0.80696319237813319</v>
      </c>
    </row>
    <row r="411" spans="2:20" ht="15.6" x14ac:dyDescent="0.3">
      <c r="B411" s="11">
        <v>1691</v>
      </c>
      <c r="C411">
        <f t="shared" si="26"/>
        <v>3.2281436075977417</v>
      </c>
      <c r="F411" t="str">
        <f t="shared" si="27"/>
        <v>-</v>
      </c>
      <c r="S411" s="11">
        <v>6.3249097472924101</v>
      </c>
      <c r="T411">
        <v>0.80105433276761273</v>
      </c>
    </row>
    <row r="412" spans="2:20" ht="15.6" x14ac:dyDescent="0.3">
      <c r="B412" s="11">
        <v>1699.17012448132</v>
      </c>
      <c r="C412">
        <f t="shared" si="26"/>
        <v>3.2302368635215668</v>
      </c>
      <c r="F412" t="str">
        <f t="shared" si="27"/>
        <v>-</v>
      </c>
      <c r="S412" s="11">
        <v>5.1841155234657004</v>
      </c>
      <c r="T412">
        <v>0.71467467084183267</v>
      </c>
    </row>
    <row r="413" spans="2:20" ht="15.6" x14ac:dyDescent="0.3">
      <c r="B413" s="11">
        <v>1700</v>
      </c>
      <c r="C413">
        <f t="shared" si="26"/>
        <v>3.2304489213782741</v>
      </c>
      <c r="F413" t="str">
        <f t="shared" si="27"/>
        <v>-</v>
      </c>
      <c r="S413" s="11">
        <v>5.2418772563176796</v>
      </c>
      <c r="T413">
        <v>0.71948684729962553</v>
      </c>
    </row>
    <row r="414" spans="2:20" ht="15.6" x14ac:dyDescent="0.3">
      <c r="B414" s="11">
        <v>1700</v>
      </c>
      <c r="C414">
        <f t="shared" si="26"/>
        <v>3.2304489213782741</v>
      </c>
      <c r="F414" t="str">
        <f t="shared" si="27"/>
        <v>-</v>
      </c>
      <c r="S414" s="11">
        <v>5.0758122743682303</v>
      </c>
      <c r="T414">
        <v>0.70550555161935657</v>
      </c>
    </row>
    <row r="415" spans="2:20" ht="15.6" x14ac:dyDescent="0.3">
      <c r="B415" s="11">
        <v>1700</v>
      </c>
      <c r="C415">
        <f t="shared" si="26"/>
        <v>3.2304489213782741</v>
      </c>
      <c r="F415" t="str">
        <f t="shared" si="27"/>
        <v>-</v>
      </c>
      <c r="S415" s="11">
        <v>6.5703971119133504</v>
      </c>
      <c r="T415">
        <v>0.81759161892062582</v>
      </c>
    </row>
    <row r="416" spans="2:20" ht="15.6" x14ac:dyDescent="0.3">
      <c r="B416" s="11">
        <v>1714.50939457202</v>
      </c>
      <c r="C416">
        <f t="shared" si="26"/>
        <v>3.2341398691532728</v>
      </c>
      <c r="F416" t="str">
        <f t="shared" si="27"/>
        <v>-</v>
      </c>
      <c r="S416" s="11">
        <v>6.5559566787003503</v>
      </c>
      <c r="T416">
        <v>0.81663607512061709</v>
      </c>
    </row>
    <row r="417" spans="2:20" ht="15.6" x14ac:dyDescent="0.3">
      <c r="B417" s="11">
        <v>1728</v>
      </c>
      <c r="C417">
        <f t="shared" si="26"/>
        <v>3.2375437381428744</v>
      </c>
      <c r="F417" t="str">
        <f t="shared" si="27"/>
        <v>-</v>
      </c>
      <c r="S417" s="11">
        <v>6.7292418772563103</v>
      </c>
      <c r="T417">
        <v>0.82796613895351356</v>
      </c>
    </row>
    <row r="418" spans="2:20" ht="15.6" x14ac:dyDescent="0.3">
      <c r="B418" s="11">
        <v>1729.1479820627701</v>
      </c>
      <c r="C418">
        <f t="shared" si="26"/>
        <v>3.23783216218263</v>
      </c>
      <c r="F418" t="str">
        <f t="shared" si="27"/>
        <v>-</v>
      </c>
      <c r="S418" s="11">
        <v>6.6787003610108302</v>
      </c>
      <c r="T418">
        <v>0.82469195933856521</v>
      </c>
    </row>
    <row r="419" spans="2:20" ht="15.6" x14ac:dyDescent="0.3">
      <c r="B419" s="11">
        <v>1731.84647302904</v>
      </c>
      <c r="C419">
        <f t="shared" si="26"/>
        <v>3.2385093894875574</v>
      </c>
      <c r="F419" t="str">
        <f t="shared" si="27"/>
        <v>-</v>
      </c>
      <c r="S419" s="11">
        <v>6.49097472924187</v>
      </c>
      <c r="T419">
        <v>0.81230991833276089</v>
      </c>
    </row>
    <row r="420" spans="2:20" ht="15.6" x14ac:dyDescent="0.3">
      <c r="B420" s="11">
        <v>1736.3228699551501</v>
      </c>
      <c r="C420">
        <f t="shared" si="26"/>
        <v>3.2396304855881937</v>
      </c>
      <c r="F420" t="str">
        <f t="shared" si="27"/>
        <v>-</v>
      </c>
      <c r="S420" s="11">
        <v>6.4837545126353699</v>
      </c>
      <c r="T420">
        <v>0.81182656326683644</v>
      </c>
    </row>
    <row r="421" spans="2:20" ht="15.6" x14ac:dyDescent="0.3">
      <c r="B421" s="11">
        <v>1742.7385892116099</v>
      </c>
      <c r="C421">
        <f t="shared" si="26"/>
        <v>3.2412322478230302</v>
      </c>
      <c r="F421" t="str">
        <f t="shared" si="27"/>
        <v>-</v>
      </c>
      <c r="S421" s="11">
        <v>6.5631768953068503</v>
      </c>
      <c r="T421">
        <v>0.81711410982149946</v>
      </c>
    </row>
    <row r="422" spans="2:20" ht="15.6" x14ac:dyDescent="0.3">
      <c r="B422" s="11">
        <v>1763</v>
      </c>
      <c r="C422">
        <f t="shared" si="26"/>
        <v>3.2462523122993221</v>
      </c>
      <c r="F422" t="str">
        <f t="shared" si="27"/>
        <v>-</v>
      </c>
      <c r="S422" s="11">
        <v>6.3682310469313999</v>
      </c>
      <c r="T422">
        <v>0.80401881173135181</v>
      </c>
    </row>
    <row r="423" spans="2:20" ht="15.6" x14ac:dyDescent="0.3">
      <c r="B423" s="11">
        <v>1782.9596412556</v>
      </c>
      <c r="C423">
        <f t="shared" si="26"/>
        <v>3.2511415126771137</v>
      </c>
      <c r="F423" t="str">
        <f t="shared" si="27"/>
        <v>-</v>
      </c>
      <c r="S423" s="11">
        <v>6.4476534296028802</v>
      </c>
      <c r="T423">
        <v>0.80940168548807856</v>
      </c>
    </row>
    <row r="424" spans="2:20" ht="15.6" x14ac:dyDescent="0.3">
      <c r="B424" s="11">
        <v>1783.33023940934</v>
      </c>
      <c r="C424">
        <f t="shared" si="26"/>
        <v>3.2512317738387901</v>
      </c>
      <c r="F424" t="str">
        <f t="shared" si="27"/>
        <v>-</v>
      </c>
      <c r="S424" s="11">
        <v>6.65703971119133</v>
      </c>
      <c r="T424">
        <v>0.82328114765316163</v>
      </c>
    </row>
    <row r="425" spans="2:20" ht="15.6" x14ac:dyDescent="0.3">
      <c r="B425" s="11">
        <v>1786.7378005067999</v>
      </c>
      <c r="C425">
        <f t="shared" si="26"/>
        <v>3.2520608255062866</v>
      </c>
      <c r="F425" t="str">
        <f t="shared" si="27"/>
        <v>-</v>
      </c>
      <c r="S425" s="11">
        <v>6.8447653429602804</v>
      </c>
      <c r="T425">
        <v>0.83535856393759833</v>
      </c>
    </row>
    <row r="426" spans="2:20" ht="15.6" x14ac:dyDescent="0.3">
      <c r="B426" s="11">
        <v>1817</v>
      </c>
      <c r="C426">
        <f t="shared" si="26"/>
        <v>3.2593549273080344</v>
      </c>
      <c r="F426" t="str">
        <f t="shared" si="27"/>
        <v>-</v>
      </c>
      <c r="S426" s="11">
        <v>6.49097472924187</v>
      </c>
      <c r="T426">
        <v>0.81230991833276089</v>
      </c>
    </row>
    <row r="427" spans="2:20" ht="15.6" x14ac:dyDescent="0.3">
      <c r="B427" s="11">
        <v>1819.87577639751</v>
      </c>
      <c r="C427">
        <f t="shared" si="26"/>
        <v>3.2600417443222582</v>
      </c>
      <c r="F427" t="str">
        <f t="shared" si="27"/>
        <v>-</v>
      </c>
      <c r="S427" s="11">
        <v>6.1010830324909699</v>
      </c>
      <c r="T427">
        <v>0.78540693554922469</v>
      </c>
    </row>
    <row r="428" spans="2:20" ht="15.6" x14ac:dyDescent="0.3">
      <c r="B428" s="11">
        <v>1823.7</v>
      </c>
      <c r="C428">
        <f t="shared" si="26"/>
        <v>3.2609533981041037</v>
      </c>
      <c r="F428" t="str">
        <f t="shared" si="27"/>
        <v>-</v>
      </c>
      <c r="S428" s="11">
        <v>5.8122743682310398</v>
      </c>
      <c r="T428">
        <v>0.76434610696740057</v>
      </c>
    </row>
    <row r="429" spans="2:20" ht="15.6" x14ac:dyDescent="0.3">
      <c r="B429" s="11">
        <v>1834.70803934168</v>
      </c>
      <c r="C429">
        <f t="shared" si="26"/>
        <v>3.2635669639608467</v>
      </c>
      <c r="F429" t="str">
        <f t="shared" si="27"/>
        <v>-</v>
      </c>
      <c r="S429" s="11">
        <v>5.7039711191335698</v>
      </c>
      <c r="T429">
        <v>0.75617731788997378</v>
      </c>
    </row>
    <row r="430" spans="2:20" ht="15.6" x14ac:dyDescent="0.3">
      <c r="B430" s="11">
        <v>1842.37995824634</v>
      </c>
      <c r="C430">
        <f t="shared" si="26"/>
        <v>3.2653792006452953</v>
      </c>
      <c r="F430" t="str">
        <f t="shared" si="27"/>
        <v>-</v>
      </c>
      <c r="S430" s="11">
        <v>6.1155234657039701</v>
      </c>
      <c r="T430">
        <v>0.78643363693023949</v>
      </c>
    </row>
    <row r="431" spans="2:20" ht="15.6" x14ac:dyDescent="0.3">
      <c r="B431" s="11">
        <v>1858.0375782880999</v>
      </c>
      <c r="C431">
        <f t="shared" si="26"/>
        <v>3.2690544932303496</v>
      </c>
      <c r="F431" t="str">
        <f t="shared" si="27"/>
        <v>-</v>
      </c>
      <c r="S431" s="11">
        <v>6.3682310469313999</v>
      </c>
      <c r="T431">
        <v>0.80401881173135181</v>
      </c>
    </row>
    <row r="432" spans="2:20" ht="15.6" x14ac:dyDescent="0.3">
      <c r="B432" s="31">
        <v>1872.1893491124199</v>
      </c>
      <c r="C432">
        <f t="shared" si="26"/>
        <v>3.2723497702119642</v>
      </c>
      <c r="F432" t="str">
        <f t="shared" si="27"/>
        <v>-</v>
      </c>
      <c r="S432" s="31">
        <v>6.4620938628158804</v>
      </c>
      <c r="T432">
        <v>0.81037326191544434</v>
      </c>
    </row>
    <row r="433" spans="2:20" ht="16.2" thickBot="1" x14ac:dyDescent="0.35">
      <c r="B433" s="17">
        <v>1881.60676532769</v>
      </c>
      <c r="C433">
        <f t="shared" si="26"/>
        <v>3.2745288659070999</v>
      </c>
      <c r="F433" t="str">
        <f t="shared" si="27"/>
        <v>-</v>
      </c>
      <c r="S433" s="17">
        <v>6.6714801444043301</v>
      </c>
      <c r="T433">
        <v>0.82422219781963924</v>
      </c>
    </row>
    <row r="434" spans="2:20" ht="15.6" x14ac:dyDescent="0.3">
      <c r="B434" s="12">
        <v>1890</v>
      </c>
      <c r="C434">
        <f t="shared" si="26"/>
        <v>3.2764618041732443</v>
      </c>
      <c r="F434" t="str">
        <f t="shared" si="27"/>
        <v>-</v>
      </c>
      <c r="S434" s="12">
        <v>7.9970414201183404</v>
      </c>
      <c r="T434">
        <v>0.90292934542107051</v>
      </c>
    </row>
    <row r="435" spans="2:20" ht="15.6" x14ac:dyDescent="0.3">
      <c r="B435" s="11">
        <v>1890.58295964125</v>
      </c>
      <c r="C435">
        <f t="shared" si="26"/>
        <v>3.2765957391563281</v>
      </c>
      <c r="F435" t="str">
        <f t="shared" si="27"/>
        <v>-</v>
      </c>
      <c r="S435" s="11">
        <v>8.12130177514792</v>
      </c>
      <c r="T435">
        <v>0.90962564850845551</v>
      </c>
    </row>
    <row r="436" spans="2:20" ht="15.6" x14ac:dyDescent="0.3">
      <c r="B436" s="11">
        <v>1897.75784753363</v>
      </c>
      <c r="C436">
        <f t="shared" si="26"/>
        <v>3.2782407959789683</v>
      </c>
      <c r="F436" t="str">
        <f t="shared" si="27"/>
        <v>-</v>
      </c>
      <c r="S436" s="11">
        <v>8.2633136094674509</v>
      </c>
      <c r="T436">
        <v>0.91715423542335006</v>
      </c>
    </row>
    <row r="437" spans="2:20" ht="15.6" x14ac:dyDescent="0.3">
      <c r="B437" s="11">
        <v>1900</v>
      </c>
      <c r="C437">
        <f t="shared" si="26"/>
        <v>3.2787536009528289</v>
      </c>
      <c r="F437" t="str">
        <f t="shared" si="27"/>
        <v>-</v>
      </c>
      <c r="S437" s="11">
        <v>8.2810650887573907</v>
      </c>
      <c r="T437">
        <v>0.91808619818850734</v>
      </c>
    </row>
    <row r="438" spans="2:20" ht="15.6" x14ac:dyDescent="0.3">
      <c r="B438" s="11">
        <v>1907.0149713580199</v>
      </c>
      <c r="C438">
        <f t="shared" si="26"/>
        <v>3.2803541025649632</v>
      </c>
      <c r="F438" t="str">
        <f t="shared" si="27"/>
        <v>-</v>
      </c>
      <c r="S438" s="11">
        <v>8.3165680473372703</v>
      </c>
      <c r="T438">
        <v>0.91994414532978552</v>
      </c>
    </row>
    <row r="439" spans="2:20" ht="15.6" x14ac:dyDescent="0.3">
      <c r="B439" s="11">
        <v>1912.7412380518799</v>
      </c>
      <c r="C439">
        <f t="shared" si="26"/>
        <v>3.2816562212100737</v>
      </c>
      <c r="F439" t="str">
        <f t="shared" si="27"/>
        <v>-</v>
      </c>
      <c r="S439" s="11">
        <v>8.4142011834319508</v>
      </c>
      <c r="T439">
        <v>0.92501289178007384</v>
      </c>
    </row>
    <row r="440" spans="2:20" ht="15.6" x14ac:dyDescent="0.3">
      <c r="B440" s="11">
        <v>1915.27100510271</v>
      </c>
      <c r="C440">
        <f t="shared" si="26"/>
        <v>3.2822302340192446</v>
      </c>
      <c r="F440" t="str">
        <f t="shared" si="27"/>
        <v>-</v>
      </c>
      <c r="S440" s="11">
        <v>7.1715976331360896</v>
      </c>
      <c r="T440">
        <v>0.85561591521659353</v>
      </c>
    </row>
    <row r="441" spans="2:20" ht="15.6" x14ac:dyDescent="0.3">
      <c r="B441" s="11">
        <v>1919.2546583850899</v>
      </c>
      <c r="C441">
        <f t="shared" si="26"/>
        <v>3.2831326033929842</v>
      </c>
      <c r="F441" t="str">
        <f t="shared" si="27"/>
        <v>-</v>
      </c>
      <c r="S441" s="11">
        <v>7.7573964497041397</v>
      </c>
      <c r="T441">
        <v>0.88971598707641064</v>
      </c>
    </row>
    <row r="442" spans="2:20" ht="15.6" x14ac:dyDescent="0.3">
      <c r="B442" s="11">
        <v>1919.28251121076</v>
      </c>
      <c r="C442">
        <f t="shared" si="26"/>
        <v>3.2831389059650107</v>
      </c>
      <c r="F442" t="str">
        <f t="shared" si="27"/>
        <v>-</v>
      </c>
      <c r="S442" s="11">
        <v>7.6863905325443698</v>
      </c>
      <c r="T442">
        <v>0.88572244645935383</v>
      </c>
    </row>
    <row r="443" spans="2:20" ht="15.6" x14ac:dyDescent="0.3">
      <c r="B443" s="11">
        <v>1922.86995515695</v>
      </c>
      <c r="C443">
        <f t="shared" si="26"/>
        <v>3.2839499136365529</v>
      </c>
      <c r="F443" t="str">
        <f t="shared" si="27"/>
        <v>-</v>
      </c>
      <c r="S443" s="11">
        <v>7.3224852071005904</v>
      </c>
      <c r="T443">
        <v>0.8646585029919327</v>
      </c>
    </row>
    <row r="444" spans="2:20" ht="15.6" x14ac:dyDescent="0.3">
      <c r="B444" s="11">
        <v>1929.6760212788799</v>
      </c>
      <c r="C444">
        <f t="shared" si="26"/>
        <v>3.2854844002090084</v>
      </c>
      <c r="F444" t="str">
        <f t="shared" si="27"/>
        <v>-</v>
      </c>
      <c r="S444" s="11">
        <v>7.5266272189348999</v>
      </c>
      <c r="T444">
        <v>0.87660040669872086</v>
      </c>
    </row>
    <row r="445" spans="2:20" ht="15.6" x14ac:dyDescent="0.3">
      <c r="B445" s="11">
        <v>1930</v>
      </c>
      <c r="C445">
        <f t="shared" si="26"/>
        <v>3.2855573090077739</v>
      </c>
      <c r="F445" t="str">
        <f t="shared" si="27"/>
        <v>-</v>
      </c>
      <c r="S445" s="11">
        <v>7.3224852071005904</v>
      </c>
      <c r="T445">
        <v>0.8646585029919327</v>
      </c>
    </row>
    <row r="446" spans="2:20" ht="15.6" x14ac:dyDescent="0.3">
      <c r="B446" s="11">
        <v>1931.53526970954</v>
      </c>
      <c r="C446">
        <f t="shared" si="26"/>
        <v>3.2859026427424922</v>
      </c>
      <c r="F446" t="str">
        <f t="shared" si="27"/>
        <v>-</v>
      </c>
      <c r="S446" s="11">
        <v>6.2218934911242503</v>
      </c>
      <c r="T446">
        <v>0.79392257240866571</v>
      </c>
    </row>
    <row r="447" spans="2:20" ht="15.6" x14ac:dyDescent="0.3">
      <c r="B447" s="11">
        <v>1932.0634661909498</v>
      </c>
      <c r="C447">
        <f t="shared" si="26"/>
        <v>3.2860213884168474</v>
      </c>
      <c r="F447" t="str">
        <f t="shared" si="27"/>
        <v>-</v>
      </c>
      <c r="S447" s="11">
        <v>6.5414201183431899</v>
      </c>
      <c r="T447">
        <v>0.81567204230105883</v>
      </c>
    </row>
    <row r="448" spans="2:20" ht="15.6" x14ac:dyDescent="0.3">
      <c r="B448" s="11">
        <v>1951.8000600674</v>
      </c>
      <c r="C448">
        <f t="shared" si="26"/>
        <v>3.2904353270310778</v>
      </c>
      <c r="F448" t="str">
        <f t="shared" si="27"/>
        <v>-</v>
      </c>
      <c r="S448" s="11">
        <v>6.6923076923076898</v>
      </c>
      <c r="T448">
        <v>0.82557590031178163</v>
      </c>
    </row>
    <row r="449" spans="2:20" ht="15.6" x14ac:dyDescent="0.3">
      <c r="B449" s="11">
        <v>1960</v>
      </c>
      <c r="C449">
        <f t="shared" si="26"/>
        <v>3.2922560713564759</v>
      </c>
      <c r="F449" t="str">
        <f t="shared" si="27"/>
        <v>-</v>
      </c>
      <c r="S449" s="11">
        <v>8.2810650887573907</v>
      </c>
      <c r="T449">
        <v>0.91808619818850734</v>
      </c>
    </row>
    <row r="450" spans="2:20" ht="15.6" x14ac:dyDescent="0.3">
      <c r="B450" s="11">
        <v>1972.99954483386</v>
      </c>
      <c r="C450">
        <f t="shared" si="26"/>
        <v>3.2951269850615343</v>
      </c>
      <c r="F450" t="str">
        <f t="shared" si="27"/>
        <v>-</v>
      </c>
      <c r="S450" s="11">
        <v>8.1923076923076898</v>
      </c>
      <c r="T450">
        <v>0.91340625546791965</v>
      </c>
    </row>
    <row r="451" spans="2:20" ht="15.6" x14ac:dyDescent="0.3">
      <c r="B451" s="11">
        <v>1998.6275219043901</v>
      </c>
      <c r="C451">
        <f t="shared" ref="C451:C514" si="28">LOG10(B451)</f>
        <v>3.3007318635255918</v>
      </c>
      <c r="F451" t="str">
        <f t="shared" si="27"/>
        <v>-</v>
      </c>
      <c r="S451" s="11">
        <v>8.2810650887573907</v>
      </c>
      <c r="T451">
        <v>0.91808619818850734</v>
      </c>
    </row>
    <row r="452" spans="2:20" ht="15.6" x14ac:dyDescent="0.3">
      <c r="B452" s="11">
        <v>2000</v>
      </c>
      <c r="C452">
        <f t="shared" si="28"/>
        <v>3.3010299956639813</v>
      </c>
      <c r="F452" t="str">
        <f t="shared" ref="F452:F515" si="29">_xlfn.CONCAT(D452,"-",E452)</f>
        <v>-</v>
      </c>
      <c r="S452" s="11">
        <v>8.6538461538461497</v>
      </c>
      <c r="T452">
        <v>0.93720917014054428</v>
      </c>
    </row>
    <row r="453" spans="2:20" ht="15.6" x14ac:dyDescent="0.3">
      <c r="B453" s="11">
        <v>2006.9767441860399</v>
      </c>
      <c r="C453">
        <f t="shared" si="28"/>
        <v>3.3025423401356218</v>
      </c>
      <c r="F453" t="str">
        <f t="shared" si="29"/>
        <v>-</v>
      </c>
      <c r="S453" s="11">
        <v>8.6893491124260294</v>
      </c>
      <c r="T453">
        <v>0.93898724624514518</v>
      </c>
    </row>
    <row r="454" spans="2:20" ht="15.6" x14ac:dyDescent="0.3">
      <c r="B454" s="11">
        <v>2009.0470865046002</v>
      </c>
      <c r="C454">
        <f t="shared" si="28"/>
        <v>3.3029901155284778</v>
      </c>
      <c r="F454" t="str">
        <f t="shared" si="29"/>
        <v>-</v>
      </c>
      <c r="S454" s="11">
        <v>7.72189349112426</v>
      </c>
      <c r="T454">
        <v>0.88772380706062626</v>
      </c>
    </row>
    <row r="455" spans="2:20" ht="15.6" x14ac:dyDescent="0.3">
      <c r="B455" s="11">
        <v>2040</v>
      </c>
      <c r="C455">
        <f t="shared" si="28"/>
        <v>3.3096301674258988</v>
      </c>
      <c r="F455" t="str">
        <f t="shared" si="29"/>
        <v>-</v>
      </c>
      <c r="S455" s="11">
        <v>3.02694610778443</v>
      </c>
      <c r="T455">
        <v>0.48100468877943642</v>
      </c>
    </row>
    <row r="456" spans="2:20" ht="15.6" x14ac:dyDescent="0.3">
      <c r="B456" s="11">
        <v>2058.6099585062202</v>
      </c>
      <c r="C456">
        <f t="shared" si="28"/>
        <v>3.3135740693403508</v>
      </c>
      <c r="F456" t="str">
        <f t="shared" si="29"/>
        <v>-</v>
      </c>
      <c r="S456" s="11">
        <v>2.7664670658682602</v>
      </c>
      <c r="T456">
        <v>0.44192550440854172</v>
      </c>
    </row>
    <row r="457" spans="2:20" ht="15.6" x14ac:dyDescent="0.3">
      <c r="B457" s="11">
        <v>2058.6099585062202</v>
      </c>
      <c r="C457">
        <f t="shared" si="28"/>
        <v>3.3135740693403508</v>
      </c>
      <c r="F457" t="str">
        <f t="shared" si="29"/>
        <v>-</v>
      </c>
      <c r="S457" s="11">
        <v>2.9730538922155598</v>
      </c>
      <c r="T457">
        <v>0.47320278168381535</v>
      </c>
    </row>
    <row r="458" spans="2:20" ht="15.6" x14ac:dyDescent="0.3">
      <c r="B458" s="11">
        <v>2064.65848361503</v>
      </c>
      <c r="C458">
        <f t="shared" si="28"/>
        <v>3.3148482250250901</v>
      </c>
      <c r="F458" t="str">
        <f t="shared" si="29"/>
        <v>-</v>
      </c>
      <c r="S458" s="11">
        <v>5.3532934131736498</v>
      </c>
      <c r="T458">
        <v>0.72862104764833413</v>
      </c>
    </row>
    <row r="459" spans="2:20" ht="15.6" x14ac:dyDescent="0.3">
      <c r="B459" s="11">
        <v>2071.00591715976</v>
      </c>
      <c r="C459">
        <f t="shared" si="28"/>
        <v>3.3161813397366013</v>
      </c>
      <c r="F459" t="str">
        <f t="shared" si="29"/>
        <v>-</v>
      </c>
      <c r="S459" s="11">
        <v>5.3712574850299397</v>
      </c>
      <c r="T459">
        <v>0.73007597189650875</v>
      </c>
    </row>
    <row r="460" spans="2:20" ht="15.6" x14ac:dyDescent="0.3">
      <c r="B460" s="11">
        <v>2078.5823024993897</v>
      </c>
      <c r="C460">
        <f t="shared" si="28"/>
        <v>3.3177672252885562</v>
      </c>
      <c r="F460" t="str">
        <f t="shared" si="29"/>
        <v>-</v>
      </c>
      <c r="S460" s="11">
        <v>5.9461077844311303</v>
      </c>
      <c r="T460">
        <v>0.77423277734779739</v>
      </c>
    </row>
    <row r="461" spans="2:20" ht="15.6" x14ac:dyDescent="0.3">
      <c r="B461" s="11">
        <v>2082.8684901198098</v>
      </c>
      <c r="C461">
        <f t="shared" si="28"/>
        <v>3.3186618499677647</v>
      </c>
      <c r="F461" t="str">
        <f t="shared" si="29"/>
        <v>-</v>
      </c>
      <c r="S461" s="11">
        <v>8.5778443113772394</v>
      </c>
      <c r="T461">
        <v>0.93337815949184399</v>
      </c>
    </row>
    <row r="462" spans="2:20" ht="15.6" x14ac:dyDescent="0.3">
      <c r="B462" s="11">
        <v>2100</v>
      </c>
      <c r="C462">
        <f t="shared" si="28"/>
        <v>3.3222192947339191</v>
      </c>
      <c r="D462" t="s">
        <v>446</v>
      </c>
      <c r="F462" t="str">
        <f t="shared" si="29"/>
        <v>100-200-</v>
      </c>
      <c r="S462" s="11">
        <v>8.8832335329341294</v>
      </c>
      <c r="T462">
        <v>0.9485710795052773</v>
      </c>
    </row>
    <row r="463" spans="2:20" ht="15.6" x14ac:dyDescent="0.3">
      <c r="B463" s="11">
        <v>2114.0389118615399</v>
      </c>
      <c r="C463">
        <f t="shared" si="28"/>
        <v>3.3251129768461567</v>
      </c>
      <c r="F463" t="str">
        <f t="shared" si="29"/>
        <v>-</v>
      </c>
      <c r="S463" s="11">
        <v>8.7485029940119698</v>
      </c>
      <c r="T463">
        <v>0.94193374478671321</v>
      </c>
    </row>
    <row r="464" spans="2:20" ht="15.6" x14ac:dyDescent="0.3">
      <c r="B464" s="11">
        <v>2116.70124481327</v>
      </c>
      <c r="C464">
        <f t="shared" si="28"/>
        <v>3.3256595652064571</v>
      </c>
      <c r="F464" t="str">
        <f t="shared" si="29"/>
        <v>-</v>
      </c>
      <c r="S464" s="11">
        <v>10.3922155688622</v>
      </c>
      <c r="T464">
        <v>1.0167081468598445</v>
      </c>
    </row>
    <row r="465" spans="2:20" ht="15.6" x14ac:dyDescent="0.3">
      <c r="B465" s="11">
        <v>2127.9069767441802</v>
      </c>
      <c r="C465">
        <f t="shared" si="28"/>
        <v>3.3279526384868605</v>
      </c>
      <c r="F465" t="str">
        <f t="shared" si="29"/>
        <v>-</v>
      </c>
      <c r="S465" s="11">
        <v>10.949101796407099</v>
      </c>
      <c r="T465">
        <v>1.0393784935264765</v>
      </c>
    </row>
    <row r="466" spans="2:20" ht="15.6" x14ac:dyDescent="0.3">
      <c r="B466" s="11">
        <v>2129.5990257744802</v>
      </c>
      <c r="C466">
        <f t="shared" si="28"/>
        <v>3.3282978394543865</v>
      </c>
      <c r="F466" t="str">
        <f t="shared" si="29"/>
        <v>-</v>
      </c>
      <c r="S466" s="11">
        <v>11.182634730538901</v>
      </c>
      <c r="T466">
        <v>1.0485441393398522</v>
      </c>
    </row>
    <row r="467" spans="2:20" ht="15.6" x14ac:dyDescent="0.3">
      <c r="B467" s="11">
        <v>2134.4453348908601</v>
      </c>
      <c r="C467">
        <f t="shared" si="28"/>
        <v>3.3292850366010756</v>
      </c>
      <c r="F467" t="str">
        <f t="shared" si="29"/>
        <v>-</v>
      </c>
      <c r="S467" s="11">
        <v>6.4792899408283997</v>
      </c>
      <c r="T467">
        <v>0.81152741456246347</v>
      </c>
    </row>
    <row r="468" spans="2:20" ht="15.6" x14ac:dyDescent="0.3">
      <c r="B468" s="31">
        <v>2135.64479639716</v>
      </c>
      <c r="C468">
        <f t="shared" si="28"/>
        <v>3.3295290218618669</v>
      </c>
      <c r="F468" t="str">
        <f t="shared" si="29"/>
        <v>-</v>
      </c>
      <c r="S468" s="31">
        <v>6.7721893491124199</v>
      </c>
      <c r="T468">
        <v>0.83072909239688775</v>
      </c>
    </row>
    <row r="469" spans="2:20" ht="16.2" thickBot="1" x14ac:dyDescent="0.35">
      <c r="B469" s="17">
        <v>2200</v>
      </c>
      <c r="C469">
        <f t="shared" si="28"/>
        <v>3.3424226808222062</v>
      </c>
      <c r="F469" t="str">
        <f t="shared" si="29"/>
        <v>-</v>
      </c>
      <c r="S469" s="17">
        <v>6.5502958579881598</v>
      </c>
      <c r="T469">
        <v>0.81626091626504893</v>
      </c>
    </row>
    <row r="470" spans="2:20" ht="15.6" x14ac:dyDescent="0.3">
      <c r="B470" s="12">
        <v>2213.2998855923297</v>
      </c>
      <c r="C470">
        <f t="shared" si="28"/>
        <v>3.3450402615704435</v>
      </c>
      <c r="F470" t="str">
        <f t="shared" si="29"/>
        <v>-</v>
      </c>
      <c r="S470" s="12">
        <v>7.48</v>
      </c>
      <c r="T470">
        <v>0.87390159786446142</v>
      </c>
    </row>
    <row r="471" spans="2:20" ht="15.6" x14ac:dyDescent="0.3">
      <c r="B471" s="11">
        <v>2213.3917103966401</v>
      </c>
      <c r="C471">
        <f t="shared" si="28"/>
        <v>3.3450582790920871</v>
      </c>
      <c r="F471" t="str">
        <f t="shared" si="29"/>
        <v>-</v>
      </c>
      <c r="S471" s="11">
        <v>9.8699999999999992</v>
      </c>
      <c r="T471">
        <v>0.99431715266963672</v>
      </c>
    </row>
    <row r="472" spans="2:20" ht="15.6" x14ac:dyDescent="0.3">
      <c r="B472" s="11">
        <v>2252.0876826722301</v>
      </c>
      <c r="C472">
        <f t="shared" si="28"/>
        <v>3.3525852953087019</v>
      </c>
      <c r="F472" t="str">
        <f t="shared" si="29"/>
        <v>-</v>
      </c>
      <c r="S472" s="11">
        <v>12.06</v>
      </c>
      <c r="T472">
        <v>1.0813473078041325</v>
      </c>
    </row>
    <row r="473" spans="2:20" ht="15.6" x14ac:dyDescent="0.3">
      <c r="B473" s="11">
        <v>2278.0269058295899</v>
      </c>
      <c r="C473">
        <f t="shared" si="28"/>
        <v>3.3575588492357573</v>
      </c>
      <c r="F473" t="str">
        <f t="shared" si="29"/>
        <v>-</v>
      </c>
      <c r="S473" s="11">
        <v>7.57</v>
      </c>
      <c r="T473">
        <v>0.87909587950007273</v>
      </c>
    </row>
    <row r="474" spans="2:20" ht="15.6" x14ac:dyDescent="0.3">
      <c r="B474" s="11">
        <v>2300</v>
      </c>
      <c r="C474">
        <f t="shared" si="28"/>
        <v>3.3617278360175931</v>
      </c>
      <c r="F474" t="str">
        <f t="shared" si="29"/>
        <v>-</v>
      </c>
      <c r="S474" s="11">
        <v>9.94</v>
      </c>
      <c r="T474">
        <v>0.99738638439731331</v>
      </c>
    </row>
    <row r="475" spans="2:20" ht="15.6" x14ac:dyDescent="0.3">
      <c r="B475" s="11">
        <v>2300</v>
      </c>
      <c r="C475">
        <f t="shared" si="28"/>
        <v>3.3617278360175931</v>
      </c>
      <c r="F475" t="str">
        <f t="shared" si="29"/>
        <v>-</v>
      </c>
      <c r="S475" s="11">
        <v>11.59</v>
      </c>
      <c r="T475">
        <v>1.064083435963596</v>
      </c>
    </row>
    <row r="476" spans="2:20" ht="15.6" x14ac:dyDescent="0.3">
      <c r="B476" s="11">
        <v>2300</v>
      </c>
      <c r="C476">
        <f t="shared" si="28"/>
        <v>3.3617278360175931</v>
      </c>
      <c r="F476" t="str">
        <f t="shared" si="29"/>
        <v>-</v>
      </c>
      <c r="S476" s="11">
        <v>7.53</v>
      </c>
      <c r="T476">
        <v>0.87679497620070057</v>
      </c>
    </row>
    <row r="477" spans="2:20" ht="15.6" x14ac:dyDescent="0.3">
      <c r="B477" s="11">
        <v>2301.5267175572499</v>
      </c>
      <c r="C477">
        <f t="shared" si="28"/>
        <v>3.3620160208204055</v>
      </c>
      <c r="F477" t="str">
        <f t="shared" si="29"/>
        <v>-</v>
      </c>
      <c r="S477" s="11">
        <v>9.83</v>
      </c>
      <c r="T477">
        <v>0.99255351783213563</v>
      </c>
    </row>
    <row r="478" spans="2:20" ht="15.6" x14ac:dyDescent="0.3">
      <c r="B478" s="11">
        <v>2320.9302325581398</v>
      </c>
      <c r="C478">
        <f t="shared" si="28"/>
        <v>3.3656620857077848</v>
      </c>
      <c r="F478" t="str">
        <f t="shared" si="29"/>
        <v>-</v>
      </c>
      <c r="S478" s="11">
        <v>11.07</v>
      </c>
      <c r="T478">
        <v>1.0441476208787228</v>
      </c>
    </row>
    <row r="479" spans="2:20" ht="15.6" x14ac:dyDescent="0.3">
      <c r="B479" s="11">
        <v>2324.66367713004</v>
      </c>
      <c r="C479">
        <f t="shared" si="28"/>
        <v>3.3663601298143755</v>
      </c>
      <c r="F479" t="str">
        <f t="shared" si="29"/>
        <v>-</v>
      </c>
      <c r="S479" s="11">
        <v>7.56</v>
      </c>
      <c r="T479">
        <v>0.87852179550120646</v>
      </c>
    </row>
    <row r="480" spans="2:20" ht="15.6" x14ac:dyDescent="0.3">
      <c r="B480" s="11">
        <v>2366.9102296450901</v>
      </c>
      <c r="C480">
        <f t="shared" si="28"/>
        <v>3.3741817866535877</v>
      </c>
      <c r="F480" t="str">
        <f t="shared" si="29"/>
        <v>-</v>
      </c>
      <c r="S480" s="11">
        <v>9.83</v>
      </c>
      <c r="T480">
        <v>0.99255351783213563</v>
      </c>
    </row>
    <row r="481" spans="2:20" ht="15.6" x14ac:dyDescent="0.3">
      <c r="B481" s="11">
        <v>2390</v>
      </c>
      <c r="C481">
        <f t="shared" si="28"/>
        <v>3.3783979009481375</v>
      </c>
      <c r="F481" t="str">
        <f t="shared" si="29"/>
        <v>-</v>
      </c>
      <c r="S481" s="11">
        <v>11.03</v>
      </c>
      <c r="T481">
        <v>1.0425755124401905</v>
      </c>
    </row>
    <row r="482" spans="2:20" ht="15.6" x14ac:dyDescent="0.3">
      <c r="B482" s="11">
        <v>2396.41255605381</v>
      </c>
      <c r="C482">
        <f t="shared" si="28"/>
        <v>3.3795615864193285</v>
      </c>
      <c r="F482" t="str">
        <f t="shared" si="29"/>
        <v>-</v>
      </c>
      <c r="S482" s="11">
        <v>7.57</v>
      </c>
      <c r="T482">
        <v>0.87909587950007273</v>
      </c>
    </row>
    <row r="483" spans="2:20" ht="15.6" x14ac:dyDescent="0.3">
      <c r="B483" s="31">
        <v>2410.9330905780498</v>
      </c>
      <c r="C483">
        <f t="shared" si="28"/>
        <v>3.3821851577868447</v>
      </c>
      <c r="F483" t="str">
        <f t="shared" si="29"/>
        <v>-</v>
      </c>
      <c r="S483" s="31">
        <v>10.050000000000001</v>
      </c>
      <c r="T483">
        <v>1.0021660617565078</v>
      </c>
    </row>
    <row r="484" spans="2:20" ht="16.2" thickBot="1" x14ac:dyDescent="0.35">
      <c r="B484" s="17">
        <v>2458.96946564885</v>
      </c>
      <c r="C484">
        <f t="shared" si="28"/>
        <v>3.3907531359031959</v>
      </c>
      <c r="F484" t="str">
        <f t="shared" si="29"/>
        <v>-</v>
      </c>
      <c r="S484" s="17">
        <v>11.06</v>
      </c>
      <c r="T484">
        <v>1.0437551269686796</v>
      </c>
    </row>
    <row r="485" spans="2:20" ht="15.6" x14ac:dyDescent="0.3">
      <c r="B485" s="12">
        <v>2471.74887892376</v>
      </c>
      <c r="C485">
        <f t="shared" si="28"/>
        <v>3.3930043458514074</v>
      </c>
      <c r="F485" t="str">
        <f t="shared" si="29"/>
        <v>-</v>
      </c>
      <c r="S485" s="12">
        <v>0.5</v>
      </c>
      <c r="T485">
        <v>-0.3010299956639812</v>
      </c>
    </row>
    <row r="486" spans="2:20" ht="15.6" x14ac:dyDescent="0.3">
      <c r="B486" s="11">
        <v>2500</v>
      </c>
      <c r="C486">
        <f t="shared" si="28"/>
        <v>3.3979400086720375</v>
      </c>
      <c r="F486" t="str">
        <f t="shared" si="29"/>
        <v>-</v>
      </c>
      <c r="S486" s="11">
        <v>1</v>
      </c>
      <c r="T486">
        <v>0</v>
      </c>
    </row>
    <row r="487" spans="2:20" ht="15.6" x14ac:dyDescent="0.3">
      <c r="B487" s="11">
        <v>2516.7464114832501</v>
      </c>
      <c r="C487">
        <f t="shared" si="28"/>
        <v>3.4008394580426846</v>
      </c>
      <c r="F487" t="str">
        <f t="shared" si="29"/>
        <v>-</v>
      </c>
      <c r="S487" s="11">
        <v>1.5</v>
      </c>
      <c r="T487">
        <v>0.17609125905568124</v>
      </c>
    </row>
    <row r="488" spans="2:20" ht="15.6" x14ac:dyDescent="0.3">
      <c r="B488" s="11">
        <v>2553.1679563040498</v>
      </c>
      <c r="C488">
        <f t="shared" si="28"/>
        <v>3.407079385151603</v>
      </c>
      <c r="F488" t="str">
        <f t="shared" si="29"/>
        <v>-</v>
      </c>
      <c r="S488" s="11">
        <v>2</v>
      </c>
      <c r="T488">
        <v>0.3010299956639812</v>
      </c>
    </row>
    <row r="489" spans="2:20" ht="15.6" x14ac:dyDescent="0.3">
      <c r="B489" s="11">
        <v>2571.5322030040898</v>
      </c>
      <c r="C489">
        <f t="shared" si="28"/>
        <v>3.4101919673113601</v>
      </c>
      <c r="F489" t="str">
        <f t="shared" si="29"/>
        <v>-</v>
      </c>
      <c r="S489" s="11">
        <v>2.5</v>
      </c>
      <c r="T489">
        <v>0.3979400086720376</v>
      </c>
    </row>
    <row r="490" spans="2:20" ht="16.2" thickBot="1" x14ac:dyDescent="0.35">
      <c r="B490" s="17">
        <v>2600</v>
      </c>
      <c r="C490">
        <f t="shared" si="28"/>
        <v>3.4149733479708178</v>
      </c>
      <c r="F490" t="str">
        <f t="shared" si="29"/>
        <v>-</v>
      </c>
      <c r="S490" s="17">
        <v>3</v>
      </c>
      <c r="T490">
        <v>0.47712125471966244</v>
      </c>
    </row>
    <row r="491" spans="2:20" ht="15.6" x14ac:dyDescent="0.3">
      <c r="B491" s="12">
        <v>2610.4771784232298</v>
      </c>
      <c r="C491">
        <f t="shared" si="28"/>
        <v>3.4167199008303264</v>
      </c>
      <c r="F491" t="str">
        <f t="shared" si="29"/>
        <v>-</v>
      </c>
      <c r="S491" s="12">
        <v>1E-4</v>
      </c>
      <c r="T491">
        <v>-4</v>
      </c>
    </row>
    <row r="492" spans="2:20" ht="15.6" x14ac:dyDescent="0.3">
      <c r="B492" s="11">
        <v>2700</v>
      </c>
      <c r="C492">
        <f t="shared" si="28"/>
        <v>3.4313637641589874</v>
      </c>
      <c r="F492" t="str">
        <f t="shared" si="29"/>
        <v>-</v>
      </c>
      <c r="S492" s="11">
        <v>4.0999999999999996</v>
      </c>
      <c r="T492">
        <v>0.61278385671973545</v>
      </c>
    </row>
    <row r="493" spans="2:20" ht="15.6" x14ac:dyDescent="0.3">
      <c r="B493" s="11">
        <v>2700</v>
      </c>
      <c r="C493">
        <f t="shared" si="28"/>
        <v>3.4313637641589874</v>
      </c>
      <c r="F493" t="str">
        <f t="shared" si="29"/>
        <v>-</v>
      </c>
      <c r="S493" s="11">
        <v>5.19</v>
      </c>
      <c r="T493">
        <v>0.71516735784845786</v>
      </c>
    </row>
    <row r="494" spans="2:20" ht="15.6" x14ac:dyDescent="0.3">
      <c r="B494" s="11">
        <v>2790</v>
      </c>
      <c r="C494">
        <f t="shared" si="28"/>
        <v>3.4456042032735974</v>
      </c>
      <c r="F494" t="str">
        <f t="shared" si="29"/>
        <v>-</v>
      </c>
      <c r="S494" s="11">
        <v>5.69</v>
      </c>
      <c r="T494">
        <v>0.75511226639507123</v>
      </c>
    </row>
    <row r="495" spans="2:20" ht="16.2" thickBot="1" x14ac:dyDescent="0.35">
      <c r="B495" s="17">
        <v>2900</v>
      </c>
      <c r="C495">
        <f t="shared" si="28"/>
        <v>3.4623979978989561</v>
      </c>
      <c r="F495" t="str">
        <f t="shared" si="29"/>
        <v>-</v>
      </c>
      <c r="S495" s="17">
        <v>6.1</v>
      </c>
      <c r="T495">
        <v>0.78532983501076703</v>
      </c>
    </row>
    <row r="496" spans="2:20" ht="15.6" x14ac:dyDescent="0.3">
      <c r="B496" s="12">
        <v>2940</v>
      </c>
      <c r="C496">
        <f t="shared" si="28"/>
        <v>3.4683473304121573</v>
      </c>
      <c r="F496" t="str">
        <f t="shared" si="29"/>
        <v>-</v>
      </c>
      <c r="S496" s="12">
        <v>1.4271653543306999</v>
      </c>
      <c r="T496">
        <v>0.15447429428707177</v>
      </c>
    </row>
    <row r="497" spans="2:20" ht="15.6" x14ac:dyDescent="0.3">
      <c r="B497" s="11">
        <v>2950.31055900621</v>
      </c>
      <c r="C497">
        <f t="shared" si="28"/>
        <v>3.4698677335930168</v>
      </c>
      <c r="F497" t="str">
        <f t="shared" si="29"/>
        <v>-</v>
      </c>
      <c r="S497" s="11">
        <v>1.7962598425196801</v>
      </c>
      <c r="T497">
        <v>0.25436916084459188</v>
      </c>
    </row>
    <row r="498" spans="2:20" ht="16.2" thickBot="1" x14ac:dyDescent="0.35">
      <c r="B498" s="17">
        <v>2984.4398340248899</v>
      </c>
      <c r="C498">
        <f t="shared" si="28"/>
        <v>3.4748628279874945</v>
      </c>
      <c r="F498" t="str">
        <f t="shared" si="29"/>
        <v>-</v>
      </c>
      <c r="S498" s="17">
        <v>1.8700787401574701</v>
      </c>
      <c r="T498">
        <v>0.27185989300492613</v>
      </c>
    </row>
    <row r="499" spans="2:20" ht="15.6" x14ac:dyDescent="0.3">
      <c r="B499" s="12">
        <v>3020</v>
      </c>
      <c r="C499">
        <f t="shared" si="28"/>
        <v>3.4800069429571505</v>
      </c>
      <c r="F499" t="str">
        <f t="shared" si="29"/>
        <v>-</v>
      </c>
      <c r="S499" s="12">
        <v>4.26</v>
      </c>
      <c r="T499">
        <v>0.62940959910271888</v>
      </c>
    </row>
    <row r="500" spans="2:20" ht="15.6" x14ac:dyDescent="0.3">
      <c r="B500" s="11">
        <v>3060</v>
      </c>
      <c r="C500">
        <f t="shared" si="28"/>
        <v>3.4857214264815801</v>
      </c>
      <c r="F500" t="str">
        <f t="shared" si="29"/>
        <v>-</v>
      </c>
      <c r="S500" s="11">
        <v>5.1999999999999966</v>
      </c>
      <c r="T500">
        <v>0.71600334363479889</v>
      </c>
    </row>
    <row r="501" spans="2:20" ht="16.2" thickBot="1" x14ac:dyDescent="0.35">
      <c r="B501" s="17">
        <v>3194.88297439091</v>
      </c>
      <c r="C501">
        <f t="shared" si="28"/>
        <v>3.5044549549804698</v>
      </c>
      <c r="F501" t="str">
        <f t="shared" si="29"/>
        <v>-</v>
      </c>
      <c r="S501" s="17">
        <v>4.2851485148514801</v>
      </c>
      <c r="T501">
        <v>0.63196587831586992</v>
      </c>
    </row>
    <row r="502" spans="2:20" ht="15.6" x14ac:dyDescent="0.3">
      <c r="B502" s="65">
        <v>3280</v>
      </c>
      <c r="C502">
        <f t="shared" si="28"/>
        <v>3.5158738437116792</v>
      </c>
      <c r="F502" t="str">
        <f t="shared" si="29"/>
        <v>-</v>
      </c>
      <c r="S502" s="65">
        <v>15.226793770897515</v>
      </c>
      <c r="T502">
        <v>1.1826084657656573</v>
      </c>
    </row>
    <row r="503" spans="2:20" ht="15.6" x14ac:dyDescent="0.3">
      <c r="B503" s="11">
        <v>3494.4879380974003</v>
      </c>
      <c r="C503">
        <f t="shared" si="28"/>
        <v>3.5433835457608289</v>
      </c>
      <c r="F503" t="str">
        <f t="shared" si="29"/>
        <v>-</v>
      </c>
      <c r="S503" s="11">
        <v>21.396037787715557</v>
      </c>
      <c r="T503">
        <v>1.3303333562346573</v>
      </c>
    </row>
    <row r="504" spans="2:20" ht="15.6" x14ac:dyDescent="0.3">
      <c r="B504" s="11">
        <v>3515.70415400202</v>
      </c>
      <c r="C504">
        <f t="shared" si="28"/>
        <v>3.5460123221212361</v>
      </c>
      <c r="F504" t="str">
        <f t="shared" si="29"/>
        <v>-</v>
      </c>
      <c r="S504" s="11">
        <v>27.851099810925518</v>
      </c>
      <c r="T504">
        <v>1.4448423496851579</v>
      </c>
    </row>
    <row r="505" spans="2:20" ht="15.6" x14ac:dyDescent="0.3">
      <c r="B505" s="11">
        <v>3546.10377787892</v>
      </c>
      <c r="C505">
        <f t="shared" si="28"/>
        <v>3.5497514412199624</v>
      </c>
      <c r="F505" t="str">
        <f t="shared" si="29"/>
        <v>-</v>
      </c>
      <c r="S505" s="11">
        <v>32.268898498016881</v>
      </c>
      <c r="T505">
        <v>1.5087841409726162</v>
      </c>
    </row>
    <row r="506" spans="2:20" ht="15.6" x14ac:dyDescent="0.3">
      <c r="B506" s="11">
        <v>3548.59657108177</v>
      </c>
      <c r="C506">
        <f t="shared" si="28"/>
        <v>3.5500566285637052</v>
      </c>
      <c r="F506" t="str">
        <f t="shared" si="29"/>
        <v>-</v>
      </c>
      <c r="S506" s="11">
        <v>17.139533882066328</v>
      </c>
      <c r="T506">
        <v>1.2339990068987832</v>
      </c>
    </row>
    <row r="507" spans="2:20" ht="15.6" x14ac:dyDescent="0.3">
      <c r="B507" s="11">
        <v>3569.49985274036</v>
      </c>
      <c r="C507">
        <f t="shared" si="28"/>
        <v>3.5526073683778039</v>
      </c>
      <c r="F507" t="str">
        <f t="shared" si="29"/>
        <v>-</v>
      </c>
      <c r="S507" s="11">
        <v>24.030246338742874</v>
      </c>
      <c r="T507">
        <v>1.3807582228641728</v>
      </c>
    </row>
    <row r="508" spans="2:20" ht="15.6" x14ac:dyDescent="0.3">
      <c r="B508" s="11">
        <v>3800</v>
      </c>
      <c r="C508">
        <f t="shared" si="28"/>
        <v>3.5797835966168101</v>
      </c>
      <c r="F508" t="str">
        <f t="shared" si="29"/>
        <v>-</v>
      </c>
      <c r="S508" s="11">
        <v>29.295736504123308</v>
      </c>
      <c r="T508">
        <v>1.4668044207820381</v>
      </c>
    </row>
    <row r="509" spans="2:20" ht="16.2" thickBot="1" x14ac:dyDescent="0.35">
      <c r="B509" s="17">
        <v>3800</v>
      </c>
      <c r="C509">
        <f t="shared" si="28"/>
        <v>3.5797835966168101</v>
      </c>
      <c r="F509" t="str">
        <f t="shared" si="29"/>
        <v>-</v>
      </c>
      <c r="S509" s="17">
        <v>32.740284568562458</v>
      </c>
      <c r="T509">
        <v>1.5150824498474349</v>
      </c>
    </row>
    <row r="510" spans="2:20" ht="16.2" thickBot="1" x14ac:dyDescent="0.35">
      <c r="B510" s="19">
        <v>3809.22194176632</v>
      </c>
      <c r="C510">
        <f t="shared" si="28"/>
        <v>3.5808362772753775</v>
      </c>
      <c r="F510" t="str">
        <f t="shared" si="29"/>
        <v>-</v>
      </c>
      <c r="S510" s="19">
        <v>15.98</v>
      </c>
      <c r="T510">
        <v>1.2035767749779727</v>
      </c>
    </row>
    <row r="511" spans="2:20" ht="15.6" x14ac:dyDescent="0.3">
      <c r="B511" s="65">
        <v>4000</v>
      </c>
      <c r="C511">
        <f t="shared" si="28"/>
        <v>3.6020599913279625</v>
      </c>
      <c r="F511" t="str">
        <f t="shared" si="29"/>
        <v>-</v>
      </c>
      <c r="S511" s="65">
        <v>11.386639676113299</v>
      </c>
      <c r="T511">
        <v>1.0563955778597509</v>
      </c>
    </row>
    <row r="512" spans="2:20" ht="15.6" x14ac:dyDescent="0.3">
      <c r="B512" s="11">
        <v>4000</v>
      </c>
      <c r="C512">
        <f t="shared" si="28"/>
        <v>3.6020599913279625</v>
      </c>
      <c r="F512" t="str">
        <f t="shared" si="29"/>
        <v>-</v>
      </c>
      <c r="S512" s="11">
        <v>13.486842105263101</v>
      </c>
      <c r="T512">
        <v>1.1299102731109798</v>
      </c>
    </row>
    <row r="513" spans="2:20" ht="15.6" x14ac:dyDescent="0.3">
      <c r="B513" s="11">
        <v>4080</v>
      </c>
      <c r="C513">
        <f t="shared" si="28"/>
        <v>3.61066016308988</v>
      </c>
      <c r="F513" t="str">
        <f t="shared" si="29"/>
        <v>-</v>
      </c>
      <c r="S513" s="11">
        <v>16.523279352226702</v>
      </c>
      <c r="T513">
        <v>1.218096245359483</v>
      </c>
    </row>
    <row r="514" spans="2:20" ht="15.6" x14ac:dyDescent="0.3">
      <c r="B514" s="11">
        <v>4083.0800405268501</v>
      </c>
      <c r="C514">
        <f t="shared" si="28"/>
        <v>3.610987893471473</v>
      </c>
      <c r="F514" t="str">
        <f t="shared" si="29"/>
        <v>-</v>
      </c>
      <c r="S514" s="11">
        <v>17.484817813765101</v>
      </c>
      <c r="T514">
        <v>1.2426611114586059</v>
      </c>
    </row>
    <row r="515" spans="2:20" ht="15.6" x14ac:dyDescent="0.3">
      <c r="B515" s="11">
        <v>4130</v>
      </c>
      <c r="C515">
        <f t="shared" ref="C515:C573" si="30">LOG10(B515)</f>
        <v>3.6159500516564012</v>
      </c>
      <c r="F515" t="str">
        <f t="shared" si="29"/>
        <v>-</v>
      </c>
      <c r="S515" s="11">
        <v>19.1295546558704</v>
      </c>
      <c r="T515">
        <v>1.2817048595856151</v>
      </c>
    </row>
    <row r="516" spans="2:20" ht="15.6" x14ac:dyDescent="0.3">
      <c r="B516" s="11">
        <v>4160</v>
      </c>
      <c r="C516">
        <f t="shared" si="30"/>
        <v>3.6190933306267428</v>
      </c>
      <c r="F516" t="str">
        <f t="shared" ref="F516:F573" si="31">_xlfn.CONCAT(D516,"-",E516)</f>
        <v>-</v>
      </c>
      <c r="S516" s="11">
        <v>20.799595141700401</v>
      </c>
      <c r="T516">
        <v>1.3180548816244597</v>
      </c>
    </row>
    <row r="517" spans="2:20" ht="15.6" x14ac:dyDescent="0.3">
      <c r="B517" s="11">
        <v>4180</v>
      </c>
      <c r="C517">
        <f t="shared" si="30"/>
        <v>3.621176281775035</v>
      </c>
      <c r="F517" t="str">
        <f t="shared" si="31"/>
        <v>-</v>
      </c>
      <c r="S517" s="11">
        <v>6.4832535885167397</v>
      </c>
      <c r="T517">
        <v>0.81179300909937013</v>
      </c>
    </row>
    <row r="518" spans="2:20" ht="15.6" x14ac:dyDescent="0.3">
      <c r="B518" s="11">
        <v>4180</v>
      </c>
      <c r="C518">
        <f t="shared" si="30"/>
        <v>3.621176281775035</v>
      </c>
      <c r="F518" t="str">
        <f t="shared" si="31"/>
        <v>-</v>
      </c>
      <c r="S518" s="11">
        <v>9.0909090909090899</v>
      </c>
      <c r="T518">
        <v>0.95860731484177486</v>
      </c>
    </row>
    <row r="519" spans="2:20" ht="15.6" x14ac:dyDescent="0.3">
      <c r="B519" s="11">
        <v>4200</v>
      </c>
      <c r="C519">
        <f t="shared" si="30"/>
        <v>3.6232492903979003</v>
      </c>
      <c r="F519" t="str">
        <f t="shared" si="31"/>
        <v>-</v>
      </c>
      <c r="S519" s="11">
        <v>12.511961722488</v>
      </c>
      <c r="T519">
        <v>1.0973254070922378</v>
      </c>
    </row>
    <row r="520" spans="2:20" ht="15.6" x14ac:dyDescent="0.3">
      <c r="B520" s="11">
        <v>4200</v>
      </c>
      <c r="C520">
        <f t="shared" si="30"/>
        <v>3.6232492903979003</v>
      </c>
      <c r="F520" t="str">
        <f t="shared" si="31"/>
        <v>-</v>
      </c>
      <c r="S520" s="11">
        <v>16.507177033492798</v>
      </c>
      <c r="T520">
        <v>1.2176728089622195</v>
      </c>
    </row>
    <row r="521" spans="2:20" ht="15.6" x14ac:dyDescent="0.3">
      <c r="B521" s="11">
        <v>4230</v>
      </c>
      <c r="C521">
        <f t="shared" si="30"/>
        <v>3.6263403673750423</v>
      </c>
      <c r="F521" t="str">
        <f t="shared" si="31"/>
        <v>-</v>
      </c>
      <c r="S521" s="11">
        <v>17.511961722488</v>
      </c>
      <c r="T521">
        <v>1.2433347992833557</v>
      </c>
    </row>
    <row r="522" spans="2:20" ht="15.6" x14ac:dyDescent="0.3">
      <c r="B522" s="11">
        <v>4240</v>
      </c>
      <c r="C522">
        <f t="shared" si="30"/>
        <v>3.6273658565927325</v>
      </c>
      <c r="F522" t="str">
        <f t="shared" si="31"/>
        <v>-</v>
      </c>
      <c r="S522" s="11">
        <v>15.2392344497607</v>
      </c>
      <c r="T522">
        <v>1.1829631505603133</v>
      </c>
    </row>
    <row r="523" spans="2:20" ht="15.6" x14ac:dyDescent="0.3">
      <c r="B523" s="11">
        <v>4370</v>
      </c>
      <c r="C523">
        <f t="shared" si="30"/>
        <v>3.6404814369704219</v>
      </c>
      <c r="F523" t="str">
        <f t="shared" si="31"/>
        <v>-</v>
      </c>
      <c r="S523" s="11">
        <v>13.1100478468899</v>
      </c>
      <c r="T523">
        <v>1.1176042767093322</v>
      </c>
    </row>
    <row r="524" spans="2:20" ht="15.6" x14ac:dyDescent="0.3">
      <c r="B524" s="11">
        <v>4403.6125817502298</v>
      </c>
      <c r="C524">
        <f t="shared" si="30"/>
        <v>3.6438091038943776</v>
      </c>
      <c r="F524" t="str">
        <f t="shared" si="31"/>
        <v>-</v>
      </c>
      <c r="S524" s="11">
        <v>6.2862669245647904</v>
      </c>
      <c r="T524">
        <v>0.79839281788493144</v>
      </c>
    </row>
    <row r="525" spans="2:20" ht="15.6" x14ac:dyDescent="0.3">
      <c r="B525" s="11">
        <v>4440</v>
      </c>
      <c r="C525">
        <f t="shared" si="30"/>
        <v>3.6473829701146196</v>
      </c>
      <c r="F525" t="str">
        <f t="shared" si="31"/>
        <v>-</v>
      </c>
      <c r="S525" s="11">
        <v>9.3810444874274594</v>
      </c>
      <c r="T525">
        <v>0.97225119550832084</v>
      </c>
    </row>
    <row r="526" spans="2:20" ht="15.6" x14ac:dyDescent="0.3">
      <c r="B526" s="11">
        <v>4700</v>
      </c>
      <c r="C526">
        <f t="shared" si="30"/>
        <v>3.6720978579357175</v>
      </c>
      <c r="F526" t="str">
        <f t="shared" si="31"/>
        <v>-</v>
      </c>
      <c r="S526" s="11">
        <v>12.693423597678899</v>
      </c>
      <c r="T526">
        <v>1.1035787733200701</v>
      </c>
    </row>
    <row r="527" spans="2:20" ht="15.6" x14ac:dyDescent="0.3">
      <c r="B527" s="11">
        <v>4755.9808612440202</v>
      </c>
      <c r="C527">
        <f t="shared" si="30"/>
        <v>3.6772400982862594</v>
      </c>
      <c r="F527" t="str">
        <f t="shared" si="31"/>
        <v>-</v>
      </c>
      <c r="S527" s="11">
        <v>18.5203094777562</v>
      </c>
      <c r="T527">
        <v>1.2676482395467159</v>
      </c>
    </row>
    <row r="528" spans="2:20" ht="15.6" x14ac:dyDescent="0.3">
      <c r="B528" s="11">
        <v>4900</v>
      </c>
      <c r="C528">
        <f t="shared" si="30"/>
        <v>3.6901960800285138</v>
      </c>
      <c r="F528" t="str">
        <f t="shared" si="31"/>
        <v>-</v>
      </c>
      <c r="S528" s="11">
        <v>20.382011605415801</v>
      </c>
      <c r="T528">
        <v>1.3092470445388549</v>
      </c>
    </row>
    <row r="529" spans="2:20" ht="15.6" x14ac:dyDescent="0.3">
      <c r="B529" s="11">
        <v>4924.5049504950503</v>
      </c>
      <c r="C529">
        <f t="shared" si="30"/>
        <v>3.6923625783718022</v>
      </c>
      <c r="F529" t="str">
        <f t="shared" si="31"/>
        <v>-</v>
      </c>
      <c r="S529" s="11">
        <v>21.179883945841301</v>
      </c>
      <c r="T529">
        <v>1.3259235760821928</v>
      </c>
    </row>
    <row r="530" spans="2:20" ht="16.2" thickBot="1" x14ac:dyDescent="0.35">
      <c r="B530" s="17">
        <v>5643.3637284701099</v>
      </c>
      <c r="C530">
        <f t="shared" si="30"/>
        <v>3.7515380425040918</v>
      </c>
      <c r="F530" t="str">
        <f t="shared" si="31"/>
        <v>-</v>
      </c>
      <c r="S530" s="17">
        <v>21.784332688588002</v>
      </c>
      <c r="T530">
        <v>1.3381442608931768</v>
      </c>
    </row>
    <row r="531" spans="2:20" ht="15.6" x14ac:dyDescent="0.3">
      <c r="B531" s="65">
        <v>5685.7785869620093</v>
      </c>
      <c r="C531">
        <f t="shared" si="30"/>
        <v>3.7547899435829009</v>
      </c>
      <c r="F531" t="str">
        <f t="shared" si="31"/>
        <v>-</v>
      </c>
      <c r="S531" s="65">
        <v>1.0201691607026599</v>
      </c>
      <c r="T531">
        <v>8.6721908486712754E-3</v>
      </c>
    </row>
    <row r="532" spans="2:20" ht="15.6" x14ac:dyDescent="0.3">
      <c r="B532" s="11">
        <v>5732.0574162679404</v>
      </c>
      <c r="C532">
        <f t="shared" si="30"/>
        <v>3.7583105319422385</v>
      </c>
      <c r="F532" t="str">
        <f t="shared" si="31"/>
        <v>-</v>
      </c>
      <c r="S532" s="11">
        <v>1.5510735198438499</v>
      </c>
      <c r="T532">
        <v>0.19063238356845319</v>
      </c>
    </row>
    <row r="533" spans="2:20" ht="15.6" x14ac:dyDescent="0.3">
      <c r="B533" s="11">
        <v>5800</v>
      </c>
      <c r="C533">
        <f t="shared" si="30"/>
        <v>3.7634279935629373</v>
      </c>
      <c r="F533" t="str">
        <f t="shared" si="31"/>
        <v>-</v>
      </c>
      <c r="S533" s="11">
        <v>2.6441119063109899</v>
      </c>
      <c r="T533">
        <v>0.42227983177611678</v>
      </c>
    </row>
    <row r="534" spans="2:20" ht="15.6" x14ac:dyDescent="0.3">
      <c r="B534" s="11">
        <v>5900</v>
      </c>
      <c r="C534">
        <f t="shared" si="30"/>
        <v>3.7708520116421442</v>
      </c>
      <c r="F534" t="str">
        <f t="shared" si="31"/>
        <v>-</v>
      </c>
      <c r="S534" s="11">
        <v>3.38321405335068</v>
      </c>
      <c r="T534">
        <v>0.52932947613505366</v>
      </c>
    </row>
    <row r="535" spans="2:20" ht="15.6" x14ac:dyDescent="0.3">
      <c r="B535" s="11">
        <v>6000</v>
      </c>
      <c r="C535">
        <f t="shared" si="30"/>
        <v>3.7781512503836434</v>
      </c>
      <c r="F535" t="str">
        <f t="shared" si="31"/>
        <v>-</v>
      </c>
      <c r="S535" s="11">
        <v>4.5178919973975296</v>
      </c>
      <c r="T535">
        <v>0.65493584466869059</v>
      </c>
    </row>
    <row r="536" spans="2:20" ht="15.6" x14ac:dyDescent="0.3">
      <c r="B536" s="11">
        <v>6200</v>
      </c>
      <c r="C536">
        <f t="shared" si="30"/>
        <v>3.7923916894982539</v>
      </c>
      <c r="F536" t="str">
        <f t="shared" si="31"/>
        <v>-</v>
      </c>
      <c r="S536" s="11">
        <v>5.17371502927781</v>
      </c>
      <c r="T536">
        <v>0.71380250388951139</v>
      </c>
    </row>
    <row r="537" spans="2:20" ht="15.6" x14ac:dyDescent="0.3">
      <c r="B537" s="11">
        <v>6220.0956937799001</v>
      </c>
      <c r="C537">
        <f t="shared" si="30"/>
        <v>3.7937970661957823</v>
      </c>
      <c r="F537" t="str">
        <f t="shared" si="31"/>
        <v>-</v>
      </c>
      <c r="S537" s="11">
        <v>5.8295380611581002</v>
      </c>
      <c r="T537">
        <v>0.76563414216238002</v>
      </c>
    </row>
    <row r="538" spans="2:20" ht="15.6" x14ac:dyDescent="0.3">
      <c r="B538" s="11">
        <v>6402.3210831721299</v>
      </c>
      <c r="C538">
        <f t="shared" si="30"/>
        <v>3.8063374506817751</v>
      </c>
      <c r="F538" t="str">
        <f t="shared" si="31"/>
        <v>-</v>
      </c>
      <c r="S538" s="11">
        <v>6.91216655823031</v>
      </c>
      <c r="T538">
        <v>0.83961419452419661</v>
      </c>
    </row>
    <row r="539" spans="2:20" ht="15.6" x14ac:dyDescent="0.3">
      <c r="B539" s="11">
        <v>6433.6372847011098</v>
      </c>
      <c r="C539">
        <f t="shared" si="30"/>
        <v>3.8084565726223385</v>
      </c>
      <c r="F539" t="str">
        <f t="shared" si="31"/>
        <v>-</v>
      </c>
      <c r="S539" s="11">
        <v>6.6206896551724101</v>
      </c>
      <c r="T539">
        <v>0.82090323080459326</v>
      </c>
    </row>
    <row r="540" spans="2:20" ht="15.6" x14ac:dyDescent="0.3">
      <c r="B540" s="11">
        <v>6470</v>
      </c>
      <c r="C540">
        <f t="shared" si="30"/>
        <v>3.8109042806687006</v>
      </c>
      <c r="F540" t="str">
        <f t="shared" si="31"/>
        <v>-</v>
      </c>
      <c r="S540" s="11">
        <v>6.5270006506180804</v>
      </c>
      <c r="T540">
        <v>0.8147136559868956</v>
      </c>
    </row>
    <row r="541" spans="2:20" ht="15.6" x14ac:dyDescent="0.3">
      <c r="B541" s="11">
        <v>6704.6426945835201</v>
      </c>
      <c r="C541">
        <f t="shared" si="30"/>
        <v>3.8263756382792673</v>
      </c>
      <c r="F541" t="str">
        <f t="shared" si="31"/>
        <v>-</v>
      </c>
      <c r="S541" s="11">
        <v>6.46454131424853</v>
      </c>
      <c r="T541">
        <v>0.81053771533275942</v>
      </c>
    </row>
    <row r="542" spans="2:20" ht="15.6" x14ac:dyDescent="0.3">
      <c r="B542" s="11">
        <v>6716.98907601274</v>
      </c>
      <c r="C542">
        <f t="shared" si="30"/>
        <v>3.8271746419965869</v>
      </c>
      <c r="F542" t="str">
        <f t="shared" si="31"/>
        <v>-</v>
      </c>
      <c r="S542" s="11">
        <v>7.2036434612882196</v>
      </c>
      <c r="T542">
        <v>0.85755220961293721</v>
      </c>
    </row>
    <row r="543" spans="2:20" ht="15.6" x14ac:dyDescent="0.3">
      <c r="B543" s="11">
        <v>7600</v>
      </c>
      <c r="C543">
        <f t="shared" si="30"/>
        <v>3.8808135922807914</v>
      </c>
      <c r="F543" t="str">
        <f t="shared" si="31"/>
        <v>-</v>
      </c>
      <c r="S543" s="11">
        <v>3.82042940793754</v>
      </c>
      <c r="T543">
        <v>0.58211217940826887</v>
      </c>
    </row>
    <row r="544" spans="2:20" ht="15.6" x14ac:dyDescent="0.3">
      <c r="B544" s="11">
        <v>7798.8218173226096</v>
      </c>
      <c r="C544">
        <f t="shared" si="30"/>
        <v>3.8920289979618117</v>
      </c>
      <c r="F544" t="str">
        <f t="shared" si="31"/>
        <v>-</v>
      </c>
      <c r="S544" s="11">
        <v>4.1431359791802196</v>
      </c>
      <c r="T544">
        <v>0.61732918722986729</v>
      </c>
    </row>
    <row r="545" spans="2:20" ht="15.6" x14ac:dyDescent="0.3">
      <c r="B545" s="11">
        <v>8000</v>
      </c>
      <c r="C545">
        <f t="shared" si="30"/>
        <v>3.9030899869919438</v>
      </c>
      <c r="F545" t="str">
        <f t="shared" si="31"/>
        <v>-</v>
      </c>
      <c r="S545" s="11">
        <v>4.90305790500976</v>
      </c>
      <c r="T545">
        <v>0.69046702228507584</v>
      </c>
    </row>
    <row r="546" spans="2:20" ht="15.6" x14ac:dyDescent="0.3">
      <c r="B546" s="11">
        <v>8065.5940594059402</v>
      </c>
      <c r="C546">
        <f t="shared" si="30"/>
        <v>3.9066363602210132</v>
      </c>
      <c r="F546" t="str">
        <f t="shared" si="31"/>
        <v>-</v>
      </c>
      <c r="S546" s="11">
        <v>7.5679895901106002</v>
      </c>
      <c r="T546">
        <v>0.87898052601521726</v>
      </c>
    </row>
    <row r="547" spans="2:20" ht="15.6" x14ac:dyDescent="0.3">
      <c r="B547" s="11">
        <v>8392.2822053603504</v>
      </c>
      <c r="C547">
        <f t="shared" si="30"/>
        <v>3.9238800793525757</v>
      </c>
      <c r="F547" t="str">
        <f t="shared" si="31"/>
        <v>-</v>
      </c>
      <c r="S547" s="11">
        <v>7.5783994795055296</v>
      </c>
      <c r="T547">
        <v>0.87957749446921685</v>
      </c>
    </row>
    <row r="548" spans="2:20" ht="15.6" x14ac:dyDescent="0.3">
      <c r="B548" s="11">
        <v>8424.2424242424204</v>
      </c>
      <c r="C548">
        <f t="shared" si="30"/>
        <v>3.9255308560401887</v>
      </c>
      <c r="F548" t="str">
        <f t="shared" si="31"/>
        <v>-</v>
      </c>
      <c r="S548" s="11">
        <v>9.8789850357839892</v>
      </c>
      <c r="T548">
        <v>0.99471232758347206</v>
      </c>
    </row>
    <row r="549" spans="2:20" ht="15.6" x14ac:dyDescent="0.3">
      <c r="B549" s="11">
        <v>8581.5602836879407</v>
      </c>
      <c r="C549">
        <f t="shared" si="30"/>
        <v>3.9335662576610702</v>
      </c>
      <c r="F549" t="str">
        <f t="shared" si="31"/>
        <v>-</v>
      </c>
      <c r="S549" s="11">
        <v>10.1808718282368</v>
      </c>
      <c r="T549">
        <v>1.00778496994378</v>
      </c>
    </row>
    <row r="550" spans="2:20" ht="15.6" x14ac:dyDescent="0.3">
      <c r="B550" s="11">
        <v>8593.3014354067</v>
      </c>
      <c r="C550">
        <f t="shared" si="30"/>
        <v>3.9341600462202315</v>
      </c>
      <c r="F550" t="str">
        <f t="shared" si="31"/>
        <v>-</v>
      </c>
      <c r="S550" s="11">
        <v>9.9726740403383207</v>
      </c>
      <c r="T550">
        <v>0.99881162423472403</v>
      </c>
    </row>
    <row r="551" spans="2:20" ht="15.6" x14ac:dyDescent="0.3">
      <c r="B551" s="11">
        <v>8600</v>
      </c>
      <c r="C551">
        <f t="shared" si="30"/>
        <v>3.9344984512435679</v>
      </c>
      <c r="F551" t="str">
        <f t="shared" si="31"/>
        <v>-</v>
      </c>
      <c r="S551" s="11">
        <v>11.9713728041639</v>
      </c>
      <c r="T551">
        <v>1.0781439555097894</v>
      </c>
    </row>
    <row r="552" spans="2:20" ht="15.6" x14ac:dyDescent="0.3">
      <c r="B552" s="11">
        <v>8787.8787878787807</v>
      </c>
      <c r="C552">
        <f t="shared" si="30"/>
        <v>3.9438840580210681</v>
      </c>
      <c r="F552" t="str">
        <f t="shared" si="31"/>
        <v>-</v>
      </c>
      <c r="S552" s="11">
        <v>11.638256343526299</v>
      </c>
      <c r="T552">
        <v>1.0658879187065822</v>
      </c>
    </row>
    <row r="553" spans="2:20" ht="15.6" x14ac:dyDescent="0.3">
      <c r="B553" s="11">
        <v>8949.4949494949506</v>
      </c>
      <c r="C553">
        <f t="shared" si="30"/>
        <v>3.9517985272895011</v>
      </c>
      <c r="F553" t="str">
        <f t="shared" si="31"/>
        <v>-</v>
      </c>
      <c r="S553" s="11">
        <v>13.220559531554899</v>
      </c>
      <c r="T553">
        <v>1.1212498361121339</v>
      </c>
    </row>
    <row r="554" spans="2:20" ht="15.6" x14ac:dyDescent="0.3">
      <c r="B554" s="11">
        <v>9027.3556231003004</v>
      </c>
      <c r="C554">
        <f t="shared" si="30"/>
        <v>3.9555605513672378</v>
      </c>
      <c r="F554" t="str">
        <f t="shared" si="31"/>
        <v>-</v>
      </c>
      <c r="S554" s="11">
        <v>12.6271958360442</v>
      </c>
      <c r="T554">
        <v>1.1013069160227511</v>
      </c>
    </row>
    <row r="555" spans="2:20" ht="15.6" x14ac:dyDescent="0.3">
      <c r="B555" s="11">
        <v>9111.1111111111113</v>
      </c>
      <c r="C555">
        <f t="shared" si="30"/>
        <v>3.9595713429443919</v>
      </c>
      <c r="F555" t="str">
        <f t="shared" si="31"/>
        <v>-</v>
      </c>
      <c r="S555" s="11">
        <v>12.9394925178919</v>
      </c>
      <c r="T555">
        <v>1.1119172437978211</v>
      </c>
    </row>
    <row r="556" spans="2:20" ht="15.6" x14ac:dyDescent="0.3">
      <c r="B556" s="11">
        <v>9333.3333333333303</v>
      </c>
      <c r="C556">
        <f t="shared" si="30"/>
        <v>3.9700367766225568</v>
      </c>
      <c r="F556" t="str">
        <f t="shared" si="31"/>
        <v>-</v>
      </c>
      <c r="S556" s="11">
        <v>13.459986987638199</v>
      </c>
      <c r="T556">
        <v>1.1290446400365719</v>
      </c>
    </row>
    <row r="557" spans="2:20" ht="15.6" x14ac:dyDescent="0.3">
      <c r="B557" s="11">
        <v>9595.9595959595899</v>
      </c>
      <c r="C557">
        <f t="shared" si="30"/>
        <v>3.9820884106912975</v>
      </c>
      <c r="F557" t="str">
        <f t="shared" si="31"/>
        <v>-</v>
      </c>
      <c r="S557" s="11">
        <v>8.0676642810670103</v>
      </c>
      <c r="T557">
        <v>0.9067478176624898</v>
      </c>
    </row>
    <row r="558" spans="2:20" ht="15.6" x14ac:dyDescent="0.3">
      <c r="B558" s="11">
        <v>9959.5959595959594</v>
      </c>
      <c r="C558">
        <f t="shared" si="30"/>
        <v>3.9982417203436613</v>
      </c>
      <c r="F558" t="str">
        <f t="shared" si="31"/>
        <v>-</v>
      </c>
      <c r="S558" s="11">
        <v>7.78659726740403</v>
      </c>
      <c r="T558">
        <v>0.89134771302064075</v>
      </c>
    </row>
    <row r="559" spans="2:20" ht="15.6" x14ac:dyDescent="0.3">
      <c r="B559" s="11">
        <v>9979.7979797979788</v>
      </c>
      <c r="C559">
        <f t="shared" si="30"/>
        <v>3.9991217499900782</v>
      </c>
      <c r="F559" t="str">
        <f t="shared" si="31"/>
        <v>-</v>
      </c>
      <c r="S559" s="11">
        <v>7.8074170461938799</v>
      </c>
      <c r="T559">
        <v>0.89250737854787943</v>
      </c>
    </row>
    <row r="560" spans="2:20" ht="15.6" x14ac:dyDescent="0.3">
      <c r="B560" s="11">
        <v>10008.7775195841</v>
      </c>
      <c r="C560">
        <f t="shared" si="30"/>
        <v>4.0003810356290854</v>
      </c>
      <c r="F560" t="str">
        <f t="shared" si="31"/>
        <v>-</v>
      </c>
      <c r="S560" s="11">
        <v>10.1912817176317</v>
      </c>
      <c r="T560">
        <v>1.0082288069593153</v>
      </c>
    </row>
    <row r="561" spans="2:20" ht="15.6" x14ac:dyDescent="0.3">
      <c r="B561" s="11">
        <v>10121.2121212121</v>
      </c>
      <c r="C561">
        <f t="shared" si="30"/>
        <v>4.0052325269336757</v>
      </c>
      <c r="F561" t="str">
        <f t="shared" si="31"/>
        <v>-</v>
      </c>
      <c r="S561" s="11">
        <v>9.9518542615484709</v>
      </c>
      <c r="T561">
        <v>0.99790400743227969</v>
      </c>
    </row>
    <row r="562" spans="2:20" ht="15.6" x14ac:dyDescent="0.3">
      <c r="B562" s="11">
        <v>10161.616161616101</v>
      </c>
      <c r="C562">
        <f t="shared" si="30"/>
        <v>4.0069627861223562</v>
      </c>
      <c r="F562" t="str">
        <f t="shared" si="31"/>
        <v>-</v>
      </c>
      <c r="S562" s="11">
        <v>9.9934938191281706</v>
      </c>
      <c r="T562">
        <v>0.99971734819574798</v>
      </c>
    </row>
    <row r="563" spans="2:20" ht="15.6" x14ac:dyDescent="0.3">
      <c r="B563" s="11">
        <v>10424.2424242424</v>
      </c>
      <c r="C563">
        <f t="shared" si="30"/>
        <v>4.018044502693642</v>
      </c>
      <c r="F563" t="str">
        <f t="shared" si="31"/>
        <v>-</v>
      </c>
      <c r="S563" s="11">
        <v>12.2524398178269</v>
      </c>
      <c r="T563">
        <v>1.0882225779996131</v>
      </c>
    </row>
    <row r="564" spans="2:20" ht="15.6" x14ac:dyDescent="0.3">
      <c r="B564" s="11">
        <v>10484.848484848399</v>
      </c>
      <c r="C564">
        <f t="shared" si="30"/>
        <v>4.0205621589148857</v>
      </c>
      <c r="F564" t="str">
        <f t="shared" si="31"/>
        <v>-</v>
      </c>
      <c r="S564" s="11">
        <v>12.0130123617436</v>
      </c>
      <c r="T564">
        <v>1.0796519239758902</v>
      </c>
    </row>
    <row r="565" spans="2:20" ht="15.6" x14ac:dyDescent="0.3">
      <c r="B565" s="11">
        <v>10545.4545454545</v>
      </c>
      <c r="C565">
        <f t="shared" si="30"/>
        <v>4.0230653040686919</v>
      </c>
      <c r="F565" t="str">
        <f t="shared" si="31"/>
        <v>-</v>
      </c>
      <c r="S565" s="11">
        <v>12.2940793754066</v>
      </c>
      <c r="T565">
        <v>1.0896960127696931</v>
      </c>
    </row>
    <row r="566" spans="2:20" ht="15.6" x14ac:dyDescent="0.3">
      <c r="B566" s="11">
        <v>10545.4545454545</v>
      </c>
      <c r="C566">
        <f t="shared" si="30"/>
        <v>4.0230653040686919</v>
      </c>
      <c r="F566" t="str">
        <f t="shared" si="31"/>
        <v>-</v>
      </c>
      <c r="S566" s="11">
        <v>7.8698763825634304</v>
      </c>
      <c r="T566">
        <v>0.8959679106573859</v>
      </c>
    </row>
    <row r="567" spans="2:20" ht="15.6" x14ac:dyDescent="0.3">
      <c r="B567" s="11">
        <v>10969.696969696899</v>
      </c>
      <c r="C567">
        <f t="shared" si="30"/>
        <v>4.0401946306552752</v>
      </c>
      <c r="F567" t="str">
        <f t="shared" si="31"/>
        <v>-</v>
      </c>
      <c r="S567" s="11">
        <v>7.7033181522446297</v>
      </c>
      <c r="T567">
        <v>0.88667783488715568</v>
      </c>
    </row>
    <row r="568" spans="2:20" ht="15.6" x14ac:dyDescent="0.3">
      <c r="B568" s="11">
        <v>11547.3887814313</v>
      </c>
      <c r="C568">
        <f t="shared" si="30"/>
        <v>4.0624837880354256</v>
      </c>
      <c r="F568" t="str">
        <f t="shared" si="31"/>
        <v>-</v>
      </c>
      <c r="S568" s="11">
        <v>8.16135328562134</v>
      </c>
      <c r="T568">
        <v>0.91176217784061808</v>
      </c>
    </row>
    <row r="569" spans="2:20" ht="15.6" x14ac:dyDescent="0.3">
      <c r="B569" s="11">
        <v>12164.603960396</v>
      </c>
      <c r="C569">
        <f t="shared" si="30"/>
        <v>4.0850979742931877</v>
      </c>
      <c r="F569" t="str">
        <f t="shared" si="31"/>
        <v>-</v>
      </c>
      <c r="S569" s="11">
        <v>9.7124268054651903</v>
      </c>
      <c r="T569">
        <v>0.98732775890267954</v>
      </c>
    </row>
    <row r="570" spans="2:20" ht="15.6" x14ac:dyDescent="0.3">
      <c r="B570" s="11">
        <v>12400</v>
      </c>
      <c r="C570">
        <f t="shared" si="30"/>
        <v>4.0934216851622347</v>
      </c>
      <c r="F570" t="str">
        <f t="shared" si="31"/>
        <v>-</v>
      </c>
      <c r="S570" s="11">
        <v>10.1080026024723</v>
      </c>
      <c r="T570">
        <v>1.0046653450641825</v>
      </c>
    </row>
    <row r="571" spans="2:20" ht="15.6" x14ac:dyDescent="0.3">
      <c r="B571" s="11">
        <v>13771.7601547388</v>
      </c>
      <c r="C571">
        <f t="shared" si="30"/>
        <v>4.138989450542911</v>
      </c>
      <c r="F571" t="str">
        <f t="shared" si="31"/>
        <v>-</v>
      </c>
      <c r="S571" s="11">
        <v>11.929733246584201</v>
      </c>
      <c r="T571">
        <v>1.0766307327875488</v>
      </c>
    </row>
    <row r="572" spans="2:20" ht="15.6" x14ac:dyDescent="0.3">
      <c r="B572" s="11">
        <v>14603.4816247582</v>
      </c>
      <c r="C572">
        <f t="shared" si="30"/>
        <v>4.1644564085352451</v>
      </c>
      <c r="F572" t="str">
        <f t="shared" si="31"/>
        <v>-</v>
      </c>
      <c r="S572" s="11">
        <v>12.2836694860117</v>
      </c>
      <c r="T572">
        <v>1.0893281224623046</v>
      </c>
    </row>
    <row r="573" spans="2:20" ht="16.2" thickBot="1" x14ac:dyDescent="0.35">
      <c r="B573" s="17">
        <v>15183.7524177949</v>
      </c>
      <c r="C573">
        <f t="shared" si="30"/>
        <v>4.1813791136513077</v>
      </c>
      <c r="F573" t="str">
        <f t="shared" si="31"/>
        <v>-</v>
      </c>
      <c r="S573" s="17">
        <v>11.81522446324</v>
      </c>
      <c r="T573">
        <v>1.0724419766853184</v>
      </c>
    </row>
  </sheetData>
  <sortState xmlns:xlrd2="http://schemas.microsoft.com/office/spreadsheetml/2017/richdata2" ref="B2:D573">
    <sortCondition ref="B2:B573"/>
  </sortState>
  <phoneticPr fontId="4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2B548-FD18-4DC4-9690-262C1CE857C5}">
  <dimension ref="A3:B7"/>
  <sheetViews>
    <sheetView workbookViewId="0">
      <selection activeCell="B19" sqref="B19"/>
    </sheetView>
  </sheetViews>
  <sheetFormatPr defaultRowHeight="14.4" x14ac:dyDescent="0.3"/>
  <cols>
    <col min="1" max="1" width="19.44140625" bestFit="1" customWidth="1"/>
    <col min="2" max="2" width="24.33203125" bestFit="1" customWidth="1"/>
  </cols>
  <sheetData>
    <row r="3" spans="1:2" x14ac:dyDescent="0.3">
      <c r="A3" s="98" t="s">
        <v>19</v>
      </c>
      <c r="B3" t="s">
        <v>438</v>
      </c>
    </row>
    <row r="4" spans="1:2" x14ac:dyDescent="0.3">
      <c r="A4" t="s">
        <v>48</v>
      </c>
      <c r="B4">
        <v>3492</v>
      </c>
    </row>
    <row r="5" spans="1:2" x14ac:dyDescent="0.3">
      <c r="A5" t="s">
        <v>38</v>
      </c>
      <c r="B5">
        <v>5695.2200000000021</v>
      </c>
    </row>
    <row r="6" spans="1:2" x14ac:dyDescent="0.3">
      <c r="A6" t="s">
        <v>207</v>
      </c>
      <c r="B6">
        <v>684</v>
      </c>
    </row>
    <row r="7" spans="1:2" x14ac:dyDescent="0.3">
      <c r="A7" t="s">
        <v>162</v>
      </c>
      <c r="B7">
        <v>7040.480000000005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28611-E1E2-458C-9FAE-6BBF1D8EC984}">
  <dimension ref="A1:B329"/>
  <sheetViews>
    <sheetView workbookViewId="0">
      <selection activeCell="Q10" sqref="Q10"/>
    </sheetView>
  </sheetViews>
  <sheetFormatPr defaultRowHeight="15.6" x14ac:dyDescent="0.3"/>
  <cols>
    <col min="1" max="1" width="16" style="10" customWidth="1"/>
    <col min="2" max="2" width="14.88671875" style="10" customWidth="1"/>
  </cols>
  <sheetData>
    <row r="1" spans="1:2" ht="31.2" x14ac:dyDescent="0.3">
      <c r="A1" s="3" t="s">
        <v>12</v>
      </c>
      <c r="B1" s="4" t="s">
        <v>19</v>
      </c>
    </row>
    <row r="2" spans="1:2" x14ac:dyDescent="0.3">
      <c r="A2" s="10">
        <v>48.5</v>
      </c>
      <c r="B2" s="20" t="s">
        <v>48</v>
      </c>
    </row>
    <row r="3" spans="1:2" x14ac:dyDescent="0.3">
      <c r="A3" s="10">
        <v>48.5</v>
      </c>
      <c r="B3" s="20" t="s">
        <v>48</v>
      </c>
    </row>
    <row r="4" spans="1:2" x14ac:dyDescent="0.3">
      <c r="A4" s="10">
        <v>48.5</v>
      </c>
      <c r="B4" s="20" t="s">
        <v>48</v>
      </c>
    </row>
    <row r="5" spans="1:2" x14ac:dyDescent="0.3">
      <c r="A5" s="10">
        <v>48.5</v>
      </c>
      <c r="B5" s="20" t="s">
        <v>48</v>
      </c>
    </row>
    <row r="6" spans="1:2" x14ac:dyDescent="0.3">
      <c r="A6" s="10">
        <v>48.5</v>
      </c>
      <c r="B6" s="20" t="s">
        <v>48</v>
      </c>
    </row>
    <row r="7" spans="1:2" x14ac:dyDescent="0.3">
      <c r="A7" s="10">
        <v>48.5</v>
      </c>
      <c r="B7" s="20" t="s">
        <v>48</v>
      </c>
    </row>
    <row r="8" spans="1:2" x14ac:dyDescent="0.3">
      <c r="A8" s="10">
        <v>48.5</v>
      </c>
      <c r="B8" s="20" t="s">
        <v>48</v>
      </c>
    </row>
    <row r="9" spans="1:2" x14ac:dyDescent="0.3">
      <c r="A9" s="10">
        <v>48.5</v>
      </c>
      <c r="B9" s="20" t="s">
        <v>48</v>
      </c>
    </row>
    <row r="10" spans="1:2" x14ac:dyDescent="0.3">
      <c r="A10" s="10">
        <v>48.5</v>
      </c>
      <c r="B10" s="20" t="s">
        <v>48</v>
      </c>
    </row>
    <row r="11" spans="1:2" x14ac:dyDescent="0.3">
      <c r="A11" s="10">
        <v>48.5</v>
      </c>
      <c r="B11" s="20" t="s">
        <v>48</v>
      </c>
    </row>
    <row r="12" spans="1:2" x14ac:dyDescent="0.3">
      <c r="A12" s="10">
        <v>48.5</v>
      </c>
      <c r="B12" s="20" t="s">
        <v>48</v>
      </c>
    </row>
    <row r="13" spans="1:2" x14ac:dyDescent="0.3">
      <c r="A13" s="10">
        <v>48.5</v>
      </c>
      <c r="B13" s="20" t="s">
        <v>48</v>
      </c>
    </row>
    <row r="14" spans="1:2" x14ac:dyDescent="0.3">
      <c r="A14" s="10">
        <v>48.5</v>
      </c>
      <c r="B14" s="20" t="s">
        <v>48</v>
      </c>
    </row>
    <row r="15" spans="1:2" x14ac:dyDescent="0.3">
      <c r="A15" s="10">
        <v>48.5</v>
      </c>
      <c r="B15" s="20" t="s">
        <v>48</v>
      </c>
    </row>
    <row r="16" spans="1:2" x14ac:dyDescent="0.3">
      <c r="A16" s="10">
        <v>48.5</v>
      </c>
      <c r="B16" s="20" t="s">
        <v>48</v>
      </c>
    </row>
    <row r="17" spans="1:2" x14ac:dyDescent="0.3">
      <c r="A17" s="10">
        <v>48.5</v>
      </c>
      <c r="B17" s="20" t="s">
        <v>48</v>
      </c>
    </row>
    <row r="18" spans="1:2" x14ac:dyDescent="0.3">
      <c r="A18" s="10">
        <v>48.5</v>
      </c>
      <c r="B18" s="20" t="s">
        <v>48</v>
      </c>
    </row>
    <row r="19" spans="1:2" x14ac:dyDescent="0.3">
      <c r="A19" s="10">
        <v>48.5</v>
      </c>
      <c r="B19" s="20" t="s">
        <v>48</v>
      </c>
    </row>
    <row r="20" spans="1:2" x14ac:dyDescent="0.3">
      <c r="A20" s="10">
        <v>48.5</v>
      </c>
      <c r="B20" s="20" t="s">
        <v>48</v>
      </c>
    </row>
    <row r="21" spans="1:2" x14ac:dyDescent="0.3">
      <c r="A21" s="10">
        <v>48.5</v>
      </c>
      <c r="B21" s="20" t="s">
        <v>48</v>
      </c>
    </row>
    <row r="22" spans="1:2" x14ac:dyDescent="0.3">
      <c r="A22" s="10">
        <v>48.5</v>
      </c>
      <c r="B22" s="20" t="s">
        <v>48</v>
      </c>
    </row>
    <row r="23" spans="1:2" x14ac:dyDescent="0.3">
      <c r="A23" s="10">
        <v>48.5</v>
      </c>
      <c r="B23" s="20" t="s">
        <v>48</v>
      </c>
    </row>
    <row r="24" spans="1:2" x14ac:dyDescent="0.3">
      <c r="A24" s="10">
        <v>48.5</v>
      </c>
      <c r="B24" s="20" t="s">
        <v>48</v>
      </c>
    </row>
    <row r="25" spans="1:2" x14ac:dyDescent="0.3">
      <c r="A25" s="10">
        <v>48.5</v>
      </c>
      <c r="B25" s="20" t="s">
        <v>48</v>
      </c>
    </row>
    <row r="26" spans="1:2" x14ac:dyDescent="0.3">
      <c r="A26" s="10">
        <v>48.5</v>
      </c>
      <c r="B26" s="20" t="s">
        <v>48</v>
      </c>
    </row>
    <row r="27" spans="1:2" x14ac:dyDescent="0.3">
      <c r="A27" s="10">
        <v>48.5</v>
      </c>
      <c r="B27" s="20" t="s">
        <v>48</v>
      </c>
    </row>
    <row r="28" spans="1:2" x14ac:dyDescent="0.3">
      <c r="A28" s="10">
        <v>48.5</v>
      </c>
      <c r="B28" s="20" t="s">
        <v>48</v>
      </c>
    </row>
    <row r="29" spans="1:2" x14ac:dyDescent="0.3">
      <c r="A29" s="10">
        <v>48.5</v>
      </c>
      <c r="B29" s="20" t="s">
        <v>48</v>
      </c>
    </row>
    <row r="30" spans="1:2" x14ac:dyDescent="0.3">
      <c r="A30" s="10">
        <v>48.5</v>
      </c>
      <c r="B30" s="20" t="s">
        <v>48</v>
      </c>
    </row>
    <row r="31" spans="1:2" x14ac:dyDescent="0.3">
      <c r="A31" s="10">
        <v>48.5</v>
      </c>
      <c r="B31" s="20" t="s">
        <v>48</v>
      </c>
    </row>
    <row r="32" spans="1:2" x14ac:dyDescent="0.3">
      <c r="A32" s="10">
        <v>48.5</v>
      </c>
      <c r="B32" s="20" t="s">
        <v>48</v>
      </c>
    </row>
    <row r="33" spans="1:2" x14ac:dyDescent="0.3">
      <c r="A33" s="10">
        <v>48.5</v>
      </c>
      <c r="B33" s="20" t="s">
        <v>48</v>
      </c>
    </row>
    <row r="34" spans="1:2" x14ac:dyDescent="0.3">
      <c r="A34" s="10">
        <v>48.5</v>
      </c>
      <c r="B34" s="20" t="s">
        <v>48</v>
      </c>
    </row>
    <row r="35" spans="1:2" x14ac:dyDescent="0.3">
      <c r="A35" s="10">
        <v>48.5</v>
      </c>
      <c r="B35" s="20" t="s">
        <v>48</v>
      </c>
    </row>
    <row r="36" spans="1:2" x14ac:dyDescent="0.3">
      <c r="A36" s="10">
        <v>48.5</v>
      </c>
      <c r="B36" s="20" t="s">
        <v>48</v>
      </c>
    </row>
    <row r="37" spans="1:2" x14ac:dyDescent="0.3">
      <c r="A37" s="10">
        <v>48.5</v>
      </c>
      <c r="B37" s="20" t="s">
        <v>48</v>
      </c>
    </row>
    <row r="38" spans="1:2" x14ac:dyDescent="0.3">
      <c r="A38" s="10">
        <v>48.5</v>
      </c>
      <c r="B38" s="20" t="s">
        <v>48</v>
      </c>
    </row>
    <row r="39" spans="1:2" x14ac:dyDescent="0.3">
      <c r="A39" s="10">
        <v>48.5</v>
      </c>
      <c r="B39" s="20" t="s">
        <v>48</v>
      </c>
    </row>
    <row r="40" spans="1:2" ht="16.2" thickBot="1" x14ac:dyDescent="0.35">
      <c r="A40" s="14">
        <v>48.5</v>
      </c>
      <c r="B40" s="22" t="s">
        <v>48</v>
      </c>
    </row>
    <row r="41" spans="1:2" x14ac:dyDescent="0.3">
      <c r="A41" s="13">
        <v>48.5</v>
      </c>
      <c r="B41" s="93" t="s">
        <v>48</v>
      </c>
    </row>
    <row r="42" spans="1:2" x14ac:dyDescent="0.3">
      <c r="A42" s="13">
        <v>48.5</v>
      </c>
      <c r="B42" s="93" t="s">
        <v>48</v>
      </c>
    </row>
    <row r="43" spans="1:2" x14ac:dyDescent="0.3">
      <c r="A43" s="13">
        <v>48.5</v>
      </c>
      <c r="B43" s="93" t="s">
        <v>48</v>
      </c>
    </row>
    <row r="44" spans="1:2" x14ac:dyDescent="0.3">
      <c r="A44" s="13">
        <v>48.5</v>
      </c>
      <c r="B44" s="93" t="s">
        <v>48</v>
      </c>
    </row>
    <row r="45" spans="1:2" x14ac:dyDescent="0.3">
      <c r="A45" s="13">
        <v>48.5</v>
      </c>
      <c r="B45" s="93" t="s">
        <v>48</v>
      </c>
    </row>
    <row r="46" spans="1:2" x14ac:dyDescent="0.3">
      <c r="A46" s="13">
        <v>48.5</v>
      </c>
      <c r="B46" s="93" t="s">
        <v>48</v>
      </c>
    </row>
    <row r="47" spans="1:2" x14ac:dyDescent="0.3">
      <c r="A47" s="13">
        <v>48.5</v>
      </c>
      <c r="B47" s="93" t="s">
        <v>48</v>
      </c>
    </row>
    <row r="48" spans="1:2" x14ac:dyDescent="0.3">
      <c r="A48" s="13">
        <v>48.5</v>
      </c>
      <c r="B48" s="93" t="s">
        <v>48</v>
      </c>
    </row>
    <row r="49" spans="1:2" x14ac:dyDescent="0.3">
      <c r="A49" s="13">
        <v>48.5</v>
      </c>
      <c r="B49" s="93" t="s">
        <v>48</v>
      </c>
    </row>
    <row r="50" spans="1:2" x14ac:dyDescent="0.3">
      <c r="A50" s="13">
        <v>48.5</v>
      </c>
      <c r="B50" s="93" t="s">
        <v>48</v>
      </c>
    </row>
    <row r="51" spans="1:2" x14ac:dyDescent="0.3">
      <c r="A51" s="13">
        <v>48.5</v>
      </c>
      <c r="B51" s="93" t="s">
        <v>48</v>
      </c>
    </row>
    <row r="52" spans="1:2" x14ac:dyDescent="0.3">
      <c r="A52" s="13">
        <v>48.5</v>
      </c>
      <c r="B52" s="93" t="s">
        <v>48</v>
      </c>
    </row>
    <row r="53" spans="1:2" x14ac:dyDescent="0.3">
      <c r="A53" s="13">
        <v>48.5</v>
      </c>
      <c r="B53" s="93" t="s">
        <v>48</v>
      </c>
    </row>
    <row r="54" spans="1:2" x14ac:dyDescent="0.3">
      <c r="A54" s="13">
        <v>48.5</v>
      </c>
      <c r="B54" s="93" t="s">
        <v>48</v>
      </c>
    </row>
    <row r="55" spans="1:2" x14ac:dyDescent="0.3">
      <c r="A55" s="13">
        <v>48.5</v>
      </c>
      <c r="B55" s="93" t="s">
        <v>48</v>
      </c>
    </row>
    <row r="56" spans="1:2" x14ac:dyDescent="0.3">
      <c r="A56" s="13">
        <v>48.5</v>
      </c>
      <c r="B56" s="93" t="s">
        <v>48</v>
      </c>
    </row>
    <row r="57" spans="1:2" x14ac:dyDescent="0.3">
      <c r="A57" s="13">
        <v>48.5</v>
      </c>
      <c r="B57" s="93" t="s">
        <v>48</v>
      </c>
    </row>
    <row r="58" spans="1:2" x14ac:dyDescent="0.3">
      <c r="A58" s="13">
        <v>48.5</v>
      </c>
      <c r="B58" s="93" t="s">
        <v>48</v>
      </c>
    </row>
    <row r="59" spans="1:2" x14ac:dyDescent="0.3">
      <c r="A59" s="13">
        <v>48.5</v>
      </c>
      <c r="B59" s="93" t="s">
        <v>48</v>
      </c>
    </row>
    <row r="60" spans="1:2" x14ac:dyDescent="0.3">
      <c r="A60" s="13">
        <v>48.5</v>
      </c>
      <c r="B60" s="93" t="s">
        <v>48</v>
      </c>
    </row>
    <row r="61" spans="1:2" x14ac:dyDescent="0.3">
      <c r="A61" s="13">
        <v>48.5</v>
      </c>
      <c r="B61" s="93" t="s">
        <v>48</v>
      </c>
    </row>
    <row r="62" spans="1:2" x14ac:dyDescent="0.3">
      <c r="A62" s="13">
        <v>48.5</v>
      </c>
      <c r="B62" s="93" t="s">
        <v>48</v>
      </c>
    </row>
    <row r="63" spans="1:2" x14ac:dyDescent="0.3">
      <c r="A63" s="13">
        <v>48.5</v>
      </c>
      <c r="B63" s="93" t="s">
        <v>48</v>
      </c>
    </row>
    <row r="64" spans="1:2" x14ac:dyDescent="0.3">
      <c r="A64" s="13">
        <v>48.5</v>
      </c>
      <c r="B64" s="93" t="s">
        <v>48</v>
      </c>
    </row>
    <row r="65" spans="1:2" x14ac:dyDescent="0.3">
      <c r="A65" s="13">
        <v>48.5</v>
      </c>
      <c r="B65" s="93" t="s">
        <v>48</v>
      </c>
    </row>
    <row r="66" spans="1:2" x14ac:dyDescent="0.3">
      <c r="A66" s="13">
        <v>48.5</v>
      </c>
      <c r="B66" s="93" t="s">
        <v>48</v>
      </c>
    </row>
    <row r="67" spans="1:2" x14ac:dyDescent="0.3">
      <c r="A67" s="13">
        <v>48.5</v>
      </c>
      <c r="B67" s="93" t="s">
        <v>48</v>
      </c>
    </row>
    <row r="68" spans="1:2" x14ac:dyDescent="0.3">
      <c r="A68" s="13">
        <v>48.5</v>
      </c>
      <c r="B68" s="93" t="s">
        <v>48</v>
      </c>
    </row>
    <row r="69" spans="1:2" x14ac:dyDescent="0.3">
      <c r="A69" s="13">
        <v>48.5</v>
      </c>
      <c r="B69" s="93" t="s">
        <v>48</v>
      </c>
    </row>
    <row r="70" spans="1:2" x14ac:dyDescent="0.3">
      <c r="A70" s="13">
        <v>48.5</v>
      </c>
      <c r="B70" s="93" t="s">
        <v>48</v>
      </c>
    </row>
    <row r="71" spans="1:2" x14ac:dyDescent="0.3">
      <c r="A71" s="13">
        <v>48.5</v>
      </c>
      <c r="B71" s="93" t="s">
        <v>48</v>
      </c>
    </row>
    <row r="72" spans="1:2" x14ac:dyDescent="0.3">
      <c r="A72" s="13">
        <v>48.5</v>
      </c>
      <c r="B72" s="93" t="s">
        <v>48</v>
      </c>
    </row>
    <row r="73" spans="1:2" x14ac:dyDescent="0.3">
      <c r="A73" s="13">
        <v>48.5</v>
      </c>
      <c r="B73" s="93" t="s">
        <v>48</v>
      </c>
    </row>
    <row r="74" spans="1:2" x14ac:dyDescent="0.3">
      <c r="A74" s="13">
        <v>30</v>
      </c>
      <c r="B74" s="13" t="s">
        <v>38</v>
      </c>
    </row>
    <row r="75" spans="1:2" x14ac:dyDescent="0.3">
      <c r="A75" s="13">
        <v>33</v>
      </c>
      <c r="B75" s="13" t="s">
        <v>38</v>
      </c>
    </row>
    <row r="76" spans="1:2" x14ac:dyDescent="0.3">
      <c r="A76" s="13">
        <v>33</v>
      </c>
      <c r="B76" s="13" t="s">
        <v>38</v>
      </c>
    </row>
    <row r="77" spans="1:2" x14ac:dyDescent="0.3">
      <c r="A77" s="13">
        <v>33</v>
      </c>
      <c r="B77" s="13" t="s">
        <v>38</v>
      </c>
    </row>
    <row r="78" spans="1:2" x14ac:dyDescent="0.3">
      <c r="A78" s="13">
        <v>33</v>
      </c>
      <c r="B78" s="13" t="s">
        <v>38</v>
      </c>
    </row>
    <row r="79" spans="1:2" x14ac:dyDescent="0.3">
      <c r="A79" s="13">
        <v>34.1</v>
      </c>
      <c r="B79" s="13" t="s">
        <v>38</v>
      </c>
    </row>
    <row r="80" spans="1:2" x14ac:dyDescent="0.3">
      <c r="A80" s="13">
        <v>34.1</v>
      </c>
      <c r="B80" s="13" t="s">
        <v>38</v>
      </c>
    </row>
    <row r="81" spans="1:2" x14ac:dyDescent="0.3">
      <c r="A81" s="13">
        <v>34.1</v>
      </c>
      <c r="B81" s="13" t="s">
        <v>38</v>
      </c>
    </row>
    <row r="82" spans="1:2" x14ac:dyDescent="0.3">
      <c r="A82" s="13">
        <v>34.1</v>
      </c>
      <c r="B82" s="13" t="s">
        <v>38</v>
      </c>
    </row>
    <row r="83" spans="1:2" x14ac:dyDescent="0.3">
      <c r="A83" s="13">
        <v>34.1</v>
      </c>
      <c r="B83" s="13" t="s">
        <v>38</v>
      </c>
    </row>
    <row r="84" spans="1:2" x14ac:dyDescent="0.3">
      <c r="A84" s="13">
        <v>34.1</v>
      </c>
      <c r="B84" s="13" t="s">
        <v>38</v>
      </c>
    </row>
    <row r="85" spans="1:2" ht="16.2" thickBot="1" x14ac:dyDescent="0.35">
      <c r="A85" s="18">
        <v>34.1</v>
      </c>
      <c r="B85" s="18" t="s">
        <v>38</v>
      </c>
    </row>
    <row r="86" spans="1:2" x14ac:dyDescent="0.3">
      <c r="A86" s="13">
        <v>34.1</v>
      </c>
      <c r="B86" s="10" t="s">
        <v>38</v>
      </c>
    </row>
    <row r="87" spans="1:2" x14ac:dyDescent="0.3">
      <c r="A87" s="13">
        <v>34.1</v>
      </c>
      <c r="B87" s="10" t="s">
        <v>38</v>
      </c>
    </row>
    <row r="88" spans="1:2" x14ac:dyDescent="0.3">
      <c r="A88" s="13">
        <v>34.1</v>
      </c>
      <c r="B88" s="10" t="s">
        <v>38</v>
      </c>
    </row>
    <row r="89" spans="1:2" x14ac:dyDescent="0.3">
      <c r="A89" s="13">
        <v>34.1</v>
      </c>
      <c r="B89" s="10" t="s">
        <v>38</v>
      </c>
    </row>
    <row r="90" spans="1:2" x14ac:dyDescent="0.3">
      <c r="A90" s="13">
        <v>34.1</v>
      </c>
      <c r="B90" s="10" t="s">
        <v>38</v>
      </c>
    </row>
    <row r="91" spans="1:2" x14ac:dyDescent="0.3">
      <c r="A91" s="13">
        <v>34.1</v>
      </c>
      <c r="B91" s="10" t="s">
        <v>38</v>
      </c>
    </row>
    <row r="92" spans="1:2" x14ac:dyDescent="0.3">
      <c r="A92" s="13">
        <v>34.1</v>
      </c>
      <c r="B92" s="10" t="s">
        <v>38</v>
      </c>
    </row>
    <row r="93" spans="1:2" x14ac:dyDescent="0.3">
      <c r="A93" s="13">
        <v>34.1</v>
      </c>
      <c r="B93" s="10" t="s">
        <v>38</v>
      </c>
    </row>
    <row r="94" spans="1:2" x14ac:dyDescent="0.3">
      <c r="A94" s="13">
        <v>34.1</v>
      </c>
      <c r="B94" s="10" t="s">
        <v>38</v>
      </c>
    </row>
    <row r="95" spans="1:2" x14ac:dyDescent="0.3">
      <c r="A95" s="13">
        <v>34.1</v>
      </c>
      <c r="B95" s="10" t="s">
        <v>38</v>
      </c>
    </row>
    <row r="96" spans="1:2" x14ac:dyDescent="0.3">
      <c r="A96" s="13">
        <v>34.1</v>
      </c>
      <c r="B96" s="10" t="s">
        <v>38</v>
      </c>
    </row>
    <row r="97" spans="1:2" x14ac:dyDescent="0.3">
      <c r="A97" s="13">
        <v>34.1</v>
      </c>
      <c r="B97" s="10" t="s">
        <v>38</v>
      </c>
    </row>
    <row r="98" spans="1:2" x14ac:dyDescent="0.3">
      <c r="A98" s="13">
        <v>34.1</v>
      </c>
      <c r="B98" s="10" t="s">
        <v>38</v>
      </c>
    </row>
    <row r="99" spans="1:2" x14ac:dyDescent="0.3">
      <c r="A99" s="13">
        <v>34.1</v>
      </c>
      <c r="B99" s="10" t="s">
        <v>38</v>
      </c>
    </row>
    <row r="100" spans="1:2" x14ac:dyDescent="0.3">
      <c r="A100" s="13">
        <v>34.1</v>
      </c>
      <c r="B100" s="10" t="s">
        <v>38</v>
      </c>
    </row>
    <row r="101" spans="1:2" x14ac:dyDescent="0.3">
      <c r="A101" s="13">
        <v>34.1</v>
      </c>
      <c r="B101" s="10" t="s">
        <v>38</v>
      </c>
    </row>
    <row r="102" spans="1:2" x14ac:dyDescent="0.3">
      <c r="A102" s="13">
        <v>34.1</v>
      </c>
      <c r="B102" s="10" t="s">
        <v>38</v>
      </c>
    </row>
    <row r="103" spans="1:2" x14ac:dyDescent="0.3">
      <c r="A103" s="13">
        <v>34.1</v>
      </c>
      <c r="B103" s="10" t="s">
        <v>38</v>
      </c>
    </row>
    <row r="104" spans="1:2" x14ac:dyDescent="0.3">
      <c r="A104" s="13">
        <v>34.1</v>
      </c>
      <c r="B104" s="10" t="s">
        <v>38</v>
      </c>
    </row>
    <row r="105" spans="1:2" x14ac:dyDescent="0.3">
      <c r="A105" s="13">
        <v>34.1</v>
      </c>
      <c r="B105" s="10" t="s">
        <v>38</v>
      </c>
    </row>
    <row r="106" spans="1:2" x14ac:dyDescent="0.3">
      <c r="A106" s="13">
        <v>34.1</v>
      </c>
      <c r="B106" s="10" t="s">
        <v>38</v>
      </c>
    </row>
    <row r="107" spans="1:2" x14ac:dyDescent="0.3">
      <c r="A107" s="13">
        <v>34.1</v>
      </c>
      <c r="B107" s="10" t="s">
        <v>38</v>
      </c>
    </row>
    <row r="108" spans="1:2" x14ac:dyDescent="0.3">
      <c r="A108" s="13">
        <v>34.1</v>
      </c>
      <c r="B108" s="10" t="s">
        <v>38</v>
      </c>
    </row>
    <row r="109" spans="1:2" x14ac:dyDescent="0.3">
      <c r="A109" s="13">
        <v>34.1</v>
      </c>
      <c r="B109" s="10" t="s">
        <v>38</v>
      </c>
    </row>
    <row r="110" spans="1:2" x14ac:dyDescent="0.3">
      <c r="A110" s="13">
        <v>34.1</v>
      </c>
      <c r="B110" s="10" t="s">
        <v>38</v>
      </c>
    </row>
    <row r="111" spans="1:2" x14ac:dyDescent="0.3">
      <c r="A111" s="13">
        <v>34.1</v>
      </c>
      <c r="B111" s="10" t="s">
        <v>38</v>
      </c>
    </row>
    <row r="112" spans="1:2" x14ac:dyDescent="0.3">
      <c r="A112" s="13">
        <v>34.1</v>
      </c>
      <c r="B112" s="10" t="s">
        <v>38</v>
      </c>
    </row>
    <row r="113" spans="1:2" x14ac:dyDescent="0.3">
      <c r="A113" s="13">
        <v>34.1</v>
      </c>
      <c r="B113" s="10" t="s">
        <v>38</v>
      </c>
    </row>
    <row r="114" spans="1:2" x14ac:dyDescent="0.3">
      <c r="A114" s="13">
        <v>34.1</v>
      </c>
      <c r="B114" s="10" t="s">
        <v>38</v>
      </c>
    </row>
    <row r="115" spans="1:2" x14ac:dyDescent="0.3">
      <c r="A115" s="13">
        <v>34.1</v>
      </c>
      <c r="B115" s="10" t="s">
        <v>38</v>
      </c>
    </row>
    <row r="116" spans="1:2" x14ac:dyDescent="0.3">
      <c r="A116" s="13">
        <v>34.1</v>
      </c>
      <c r="B116" s="10" t="s">
        <v>38</v>
      </c>
    </row>
    <row r="117" spans="1:2" x14ac:dyDescent="0.3">
      <c r="A117" s="13">
        <v>34.1</v>
      </c>
      <c r="B117" s="10" t="s">
        <v>38</v>
      </c>
    </row>
    <row r="118" spans="1:2" x14ac:dyDescent="0.3">
      <c r="A118" s="13">
        <v>34.1</v>
      </c>
      <c r="B118" s="10" t="s">
        <v>38</v>
      </c>
    </row>
    <row r="119" spans="1:2" x14ac:dyDescent="0.3">
      <c r="A119" s="13">
        <v>34.1</v>
      </c>
      <c r="B119" s="10" t="s">
        <v>38</v>
      </c>
    </row>
    <row r="120" spans="1:2" x14ac:dyDescent="0.3">
      <c r="A120" s="13">
        <v>34.1</v>
      </c>
      <c r="B120" s="10" t="s">
        <v>38</v>
      </c>
    </row>
    <row r="121" spans="1:2" x14ac:dyDescent="0.3">
      <c r="A121" s="13">
        <v>34.1</v>
      </c>
      <c r="B121" s="10" t="s">
        <v>38</v>
      </c>
    </row>
    <row r="122" spans="1:2" x14ac:dyDescent="0.3">
      <c r="A122" s="13">
        <v>40</v>
      </c>
      <c r="B122" s="10" t="s">
        <v>38</v>
      </c>
    </row>
    <row r="123" spans="1:2" x14ac:dyDescent="0.3">
      <c r="A123" s="13">
        <v>40</v>
      </c>
      <c r="B123" s="10" t="s">
        <v>38</v>
      </c>
    </row>
    <row r="124" spans="1:2" x14ac:dyDescent="0.3">
      <c r="A124" s="13">
        <v>40</v>
      </c>
      <c r="B124" s="10" t="s">
        <v>38</v>
      </c>
    </row>
    <row r="125" spans="1:2" x14ac:dyDescent="0.3">
      <c r="A125" s="13">
        <v>40</v>
      </c>
      <c r="B125" s="10" t="s">
        <v>38</v>
      </c>
    </row>
    <row r="126" spans="1:2" x14ac:dyDescent="0.3">
      <c r="A126" s="13">
        <v>40</v>
      </c>
      <c r="B126" s="10" t="s">
        <v>38</v>
      </c>
    </row>
    <row r="127" spans="1:2" x14ac:dyDescent="0.3">
      <c r="A127" s="13">
        <v>40</v>
      </c>
      <c r="B127" s="10" t="s">
        <v>38</v>
      </c>
    </row>
    <row r="128" spans="1:2" x14ac:dyDescent="0.3">
      <c r="A128" s="13">
        <v>40</v>
      </c>
      <c r="B128" s="10" t="s">
        <v>38</v>
      </c>
    </row>
    <row r="129" spans="1:2" x14ac:dyDescent="0.3">
      <c r="A129" s="13">
        <v>40</v>
      </c>
      <c r="B129" s="10" t="s">
        <v>38</v>
      </c>
    </row>
    <row r="130" spans="1:2" x14ac:dyDescent="0.3">
      <c r="A130" s="13">
        <v>40</v>
      </c>
      <c r="B130" s="10" t="s">
        <v>38</v>
      </c>
    </row>
    <row r="131" spans="1:2" x14ac:dyDescent="0.3">
      <c r="A131" s="13">
        <v>48</v>
      </c>
      <c r="B131" s="10" t="s">
        <v>38</v>
      </c>
    </row>
    <row r="132" spans="1:2" x14ac:dyDescent="0.3">
      <c r="A132" s="13">
        <v>50</v>
      </c>
      <c r="B132" s="10" t="s">
        <v>38</v>
      </c>
    </row>
    <row r="133" spans="1:2" x14ac:dyDescent="0.3">
      <c r="A133" s="13">
        <v>50</v>
      </c>
      <c r="B133" s="10" t="s">
        <v>38</v>
      </c>
    </row>
    <row r="134" spans="1:2" x14ac:dyDescent="0.3">
      <c r="A134" s="13">
        <v>50</v>
      </c>
      <c r="B134" s="10" t="s">
        <v>38</v>
      </c>
    </row>
    <row r="135" spans="1:2" x14ac:dyDescent="0.3">
      <c r="A135" s="13">
        <v>50</v>
      </c>
      <c r="B135" s="10" t="s">
        <v>38</v>
      </c>
    </row>
    <row r="136" spans="1:2" x14ac:dyDescent="0.3">
      <c r="A136" s="13">
        <v>50</v>
      </c>
      <c r="B136" s="10" t="s">
        <v>38</v>
      </c>
    </row>
    <row r="137" spans="1:2" x14ac:dyDescent="0.3">
      <c r="A137" s="13">
        <v>50</v>
      </c>
      <c r="B137" s="10" t="s">
        <v>38</v>
      </c>
    </row>
    <row r="138" spans="1:2" x14ac:dyDescent="0.3">
      <c r="A138" s="13">
        <v>50</v>
      </c>
      <c r="B138" s="10" t="s">
        <v>38</v>
      </c>
    </row>
    <row r="139" spans="1:2" x14ac:dyDescent="0.3">
      <c r="A139" s="13">
        <v>50</v>
      </c>
      <c r="B139" s="10" t="s">
        <v>38</v>
      </c>
    </row>
    <row r="140" spans="1:2" x14ac:dyDescent="0.3">
      <c r="A140" s="13">
        <v>50</v>
      </c>
      <c r="B140" s="10" t="s">
        <v>38</v>
      </c>
    </row>
    <row r="141" spans="1:2" x14ac:dyDescent="0.3">
      <c r="A141" s="13">
        <v>50</v>
      </c>
      <c r="B141" s="10" t="s">
        <v>38</v>
      </c>
    </row>
    <row r="142" spans="1:2" x14ac:dyDescent="0.3">
      <c r="A142" s="13">
        <v>50</v>
      </c>
      <c r="B142" s="10" t="s">
        <v>38</v>
      </c>
    </row>
    <row r="143" spans="1:2" x14ac:dyDescent="0.3">
      <c r="A143" s="13">
        <v>50</v>
      </c>
      <c r="B143" s="10" t="s">
        <v>38</v>
      </c>
    </row>
    <row r="144" spans="1:2" x14ac:dyDescent="0.3">
      <c r="A144" s="13">
        <v>50</v>
      </c>
      <c r="B144" s="10" t="s">
        <v>38</v>
      </c>
    </row>
    <row r="145" spans="1:2" x14ac:dyDescent="0.3">
      <c r="A145" s="13">
        <v>50</v>
      </c>
      <c r="B145" s="10" t="s">
        <v>38</v>
      </c>
    </row>
    <row r="146" spans="1:2" x14ac:dyDescent="0.3">
      <c r="A146" s="13">
        <v>50</v>
      </c>
      <c r="B146" s="10" t="s">
        <v>38</v>
      </c>
    </row>
    <row r="147" spans="1:2" x14ac:dyDescent="0.3">
      <c r="A147" s="13">
        <v>50</v>
      </c>
      <c r="B147" s="10" t="s">
        <v>38</v>
      </c>
    </row>
    <row r="148" spans="1:2" x14ac:dyDescent="0.3">
      <c r="A148" s="13">
        <v>50</v>
      </c>
      <c r="B148" s="10" t="s">
        <v>38</v>
      </c>
    </row>
    <row r="149" spans="1:2" x14ac:dyDescent="0.3">
      <c r="A149" s="13">
        <v>50</v>
      </c>
      <c r="B149" s="10" t="s">
        <v>38</v>
      </c>
    </row>
    <row r="150" spans="1:2" x14ac:dyDescent="0.3">
      <c r="A150" s="13">
        <v>50</v>
      </c>
      <c r="B150" s="10" t="s">
        <v>38</v>
      </c>
    </row>
    <row r="151" spans="1:2" x14ac:dyDescent="0.3">
      <c r="A151" s="13">
        <v>50</v>
      </c>
      <c r="B151" s="10" t="s">
        <v>38</v>
      </c>
    </row>
    <row r="152" spans="1:2" x14ac:dyDescent="0.3">
      <c r="A152" s="13">
        <v>50</v>
      </c>
      <c r="B152" s="10" t="s">
        <v>38</v>
      </c>
    </row>
    <row r="153" spans="1:2" x14ac:dyDescent="0.3">
      <c r="A153" s="13">
        <v>50</v>
      </c>
      <c r="B153" s="10" t="s">
        <v>38</v>
      </c>
    </row>
    <row r="154" spans="1:2" x14ac:dyDescent="0.3">
      <c r="A154" s="13">
        <v>50</v>
      </c>
      <c r="B154" s="10" t="s">
        <v>38</v>
      </c>
    </row>
    <row r="155" spans="1:2" x14ac:dyDescent="0.3">
      <c r="A155" s="13">
        <v>50</v>
      </c>
      <c r="B155" s="10" t="s">
        <v>38</v>
      </c>
    </row>
    <row r="156" spans="1:2" x14ac:dyDescent="0.3">
      <c r="A156" s="13">
        <v>60</v>
      </c>
      <c r="B156" s="10" t="s">
        <v>38</v>
      </c>
    </row>
    <row r="157" spans="1:2" ht="16.2" thickBot="1" x14ac:dyDescent="0.35">
      <c r="A157" s="18">
        <v>62.47</v>
      </c>
      <c r="B157" s="14" t="s">
        <v>38</v>
      </c>
    </row>
    <row r="158" spans="1:2" x14ac:dyDescent="0.3">
      <c r="A158" s="13">
        <v>62.47</v>
      </c>
      <c r="B158" s="13" t="s">
        <v>38</v>
      </c>
    </row>
    <row r="159" spans="1:2" x14ac:dyDescent="0.3">
      <c r="A159" s="13">
        <v>62.47</v>
      </c>
      <c r="B159" s="13" t="s">
        <v>38</v>
      </c>
    </row>
    <row r="160" spans="1:2" x14ac:dyDescent="0.3">
      <c r="A160" s="13">
        <v>62.47</v>
      </c>
      <c r="B160" s="13" t="s">
        <v>38</v>
      </c>
    </row>
    <row r="161" spans="1:2" x14ac:dyDescent="0.3">
      <c r="A161" s="13">
        <v>62.47</v>
      </c>
      <c r="B161" s="13" t="s">
        <v>38</v>
      </c>
    </row>
    <row r="162" spans="1:2" x14ac:dyDescent="0.3">
      <c r="A162" s="13">
        <v>62.47</v>
      </c>
      <c r="B162" s="13" t="s">
        <v>38</v>
      </c>
    </row>
    <row r="163" spans="1:2" x14ac:dyDescent="0.3">
      <c r="A163" s="13">
        <v>62.47</v>
      </c>
      <c r="B163" s="13" t="s">
        <v>38</v>
      </c>
    </row>
    <row r="164" spans="1:2" x14ac:dyDescent="0.3">
      <c r="A164" s="13">
        <v>62.47</v>
      </c>
      <c r="B164" s="13" t="s">
        <v>38</v>
      </c>
    </row>
    <row r="165" spans="1:2" x14ac:dyDescent="0.3">
      <c r="A165" s="13">
        <v>62.47</v>
      </c>
      <c r="B165" s="13" t="s">
        <v>38</v>
      </c>
    </row>
    <row r="166" spans="1:2" x14ac:dyDescent="0.3">
      <c r="A166" s="13">
        <v>62.47</v>
      </c>
      <c r="B166" s="13" t="s">
        <v>38</v>
      </c>
    </row>
    <row r="167" spans="1:2" x14ac:dyDescent="0.3">
      <c r="A167" s="13">
        <v>62.47</v>
      </c>
      <c r="B167" s="13" t="s">
        <v>38</v>
      </c>
    </row>
    <row r="168" spans="1:2" x14ac:dyDescent="0.3">
      <c r="A168" s="13">
        <v>62.47</v>
      </c>
      <c r="B168" s="13" t="s">
        <v>38</v>
      </c>
    </row>
    <row r="169" spans="1:2" x14ac:dyDescent="0.3">
      <c r="A169" s="13">
        <v>62.47</v>
      </c>
      <c r="B169" s="13" t="s">
        <v>38</v>
      </c>
    </row>
    <row r="170" spans="1:2" x14ac:dyDescent="0.3">
      <c r="A170" s="13">
        <v>62.47</v>
      </c>
      <c r="B170" s="13" t="s">
        <v>38</v>
      </c>
    </row>
    <row r="171" spans="1:2" ht="16.2" thickBot="1" x14ac:dyDescent="0.35">
      <c r="A171" s="18">
        <v>62.47</v>
      </c>
      <c r="B171" s="18" t="s">
        <v>38</v>
      </c>
    </row>
    <row r="172" spans="1:2" x14ac:dyDescent="0.3">
      <c r="A172" s="13">
        <v>62.47</v>
      </c>
      <c r="B172" s="13" t="s">
        <v>38</v>
      </c>
    </row>
    <row r="173" spans="1:2" x14ac:dyDescent="0.3">
      <c r="A173" s="13">
        <v>62.47</v>
      </c>
      <c r="B173" s="13" t="s">
        <v>38</v>
      </c>
    </row>
    <row r="174" spans="1:2" x14ac:dyDescent="0.3">
      <c r="A174" s="13">
        <v>62.47</v>
      </c>
      <c r="B174" s="13" t="s">
        <v>38</v>
      </c>
    </row>
    <row r="175" spans="1:2" x14ac:dyDescent="0.3">
      <c r="A175" s="13">
        <v>62.47</v>
      </c>
      <c r="B175" s="13" t="s">
        <v>38</v>
      </c>
    </row>
    <row r="176" spans="1:2" x14ac:dyDescent="0.3">
      <c r="A176" s="13">
        <v>62.47</v>
      </c>
      <c r="B176" s="13" t="s">
        <v>38</v>
      </c>
    </row>
    <row r="177" spans="1:2" x14ac:dyDescent="0.3">
      <c r="A177" s="13">
        <v>62.47</v>
      </c>
      <c r="B177" s="13" t="s">
        <v>38</v>
      </c>
    </row>
    <row r="178" spans="1:2" x14ac:dyDescent="0.3">
      <c r="A178" s="13">
        <v>62.47</v>
      </c>
      <c r="B178" s="13" t="s">
        <v>38</v>
      </c>
    </row>
    <row r="179" spans="1:2" x14ac:dyDescent="0.3">
      <c r="A179" s="13">
        <v>62.47</v>
      </c>
      <c r="B179" s="13" t="s">
        <v>38</v>
      </c>
    </row>
    <row r="180" spans="1:2" x14ac:dyDescent="0.3">
      <c r="A180" s="13">
        <v>62.47</v>
      </c>
      <c r="B180" s="13" t="s">
        <v>38</v>
      </c>
    </row>
    <row r="181" spans="1:2" x14ac:dyDescent="0.3">
      <c r="A181" s="13">
        <v>62.47</v>
      </c>
      <c r="B181" s="13" t="s">
        <v>38</v>
      </c>
    </row>
    <row r="182" spans="1:2" x14ac:dyDescent="0.3">
      <c r="A182" s="13">
        <v>62.47</v>
      </c>
      <c r="B182" s="13" t="s">
        <v>38</v>
      </c>
    </row>
    <row r="183" spans="1:2" x14ac:dyDescent="0.3">
      <c r="A183" s="13">
        <v>62.47</v>
      </c>
      <c r="B183" s="13" t="s">
        <v>38</v>
      </c>
    </row>
    <row r="184" spans="1:2" x14ac:dyDescent="0.3">
      <c r="A184" s="13">
        <v>62.47</v>
      </c>
      <c r="B184" s="13" t="s">
        <v>38</v>
      </c>
    </row>
    <row r="185" spans="1:2" x14ac:dyDescent="0.3">
      <c r="A185" s="13">
        <v>62.47</v>
      </c>
      <c r="B185" s="13" t="s">
        <v>38</v>
      </c>
    </row>
    <row r="186" spans="1:2" x14ac:dyDescent="0.3">
      <c r="A186" s="13">
        <v>62.47</v>
      </c>
      <c r="B186" s="13" t="s">
        <v>38</v>
      </c>
    </row>
    <row r="187" spans="1:2" x14ac:dyDescent="0.3">
      <c r="A187" s="13">
        <v>62.47</v>
      </c>
      <c r="B187" s="13" t="s">
        <v>38</v>
      </c>
    </row>
    <row r="188" spans="1:2" x14ac:dyDescent="0.3">
      <c r="A188" s="13">
        <v>62.47</v>
      </c>
      <c r="B188" s="13" t="s">
        <v>38</v>
      </c>
    </row>
    <row r="189" spans="1:2" x14ac:dyDescent="0.3">
      <c r="A189" s="13">
        <v>62.47</v>
      </c>
      <c r="B189" s="13" t="s">
        <v>38</v>
      </c>
    </row>
    <row r="190" spans="1:2" x14ac:dyDescent="0.3">
      <c r="A190" s="13">
        <v>62.47</v>
      </c>
      <c r="B190" s="13" t="s">
        <v>38</v>
      </c>
    </row>
    <row r="191" spans="1:2" ht="16.2" thickBot="1" x14ac:dyDescent="0.35">
      <c r="A191" s="18">
        <v>62.47</v>
      </c>
      <c r="B191" s="18" t="s">
        <v>38</v>
      </c>
    </row>
    <row r="192" spans="1:2" x14ac:dyDescent="0.3">
      <c r="A192" s="13">
        <v>62.47</v>
      </c>
      <c r="B192" s="10" t="s">
        <v>38</v>
      </c>
    </row>
    <row r="193" spans="1:2" x14ac:dyDescent="0.3">
      <c r="A193" s="13">
        <v>70</v>
      </c>
      <c r="B193" s="10" t="s">
        <v>38</v>
      </c>
    </row>
    <row r="194" spans="1:2" ht="16.2" thickBot="1" x14ac:dyDescent="0.35">
      <c r="A194" s="18">
        <v>80</v>
      </c>
      <c r="B194" s="14" t="s">
        <v>38</v>
      </c>
    </row>
    <row r="195" spans="1:2" x14ac:dyDescent="0.3">
      <c r="A195" s="13">
        <v>76</v>
      </c>
      <c r="B195" s="10" t="s">
        <v>207</v>
      </c>
    </row>
    <row r="196" spans="1:2" x14ac:dyDescent="0.3">
      <c r="A196" s="13">
        <v>76</v>
      </c>
      <c r="B196" s="10" t="s">
        <v>207</v>
      </c>
    </row>
    <row r="197" spans="1:2" ht="16.2" thickBot="1" x14ac:dyDescent="0.35">
      <c r="A197" s="18">
        <v>76</v>
      </c>
      <c r="B197" s="14" t="s">
        <v>207</v>
      </c>
    </row>
    <row r="198" spans="1:2" x14ac:dyDescent="0.3">
      <c r="A198" s="13">
        <v>76</v>
      </c>
      <c r="B198" s="13" t="s">
        <v>207</v>
      </c>
    </row>
    <row r="199" spans="1:2" x14ac:dyDescent="0.3">
      <c r="A199" s="13">
        <v>76</v>
      </c>
      <c r="B199" s="13" t="s">
        <v>207</v>
      </c>
    </row>
    <row r="200" spans="1:2" x14ac:dyDescent="0.3">
      <c r="A200" s="13">
        <v>76</v>
      </c>
      <c r="B200" s="13" t="s">
        <v>207</v>
      </c>
    </row>
    <row r="201" spans="1:2" x14ac:dyDescent="0.3">
      <c r="A201" s="13">
        <v>76</v>
      </c>
      <c r="B201" s="13" t="s">
        <v>207</v>
      </c>
    </row>
    <row r="202" spans="1:2" x14ac:dyDescent="0.3">
      <c r="A202" s="13">
        <v>76</v>
      </c>
      <c r="B202" s="13" t="s">
        <v>207</v>
      </c>
    </row>
    <row r="203" spans="1:2" ht="16.2" thickBot="1" x14ac:dyDescent="0.35">
      <c r="A203" s="18">
        <v>76</v>
      </c>
      <c r="B203" s="18" t="s">
        <v>207</v>
      </c>
    </row>
    <row r="204" spans="1:2" x14ac:dyDescent="0.3">
      <c r="A204" s="13">
        <v>20</v>
      </c>
      <c r="B204" s="13" t="s">
        <v>162</v>
      </c>
    </row>
    <row r="205" spans="1:2" x14ac:dyDescent="0.3">
      <c r="A205" s="13">
        <v>20</v>
      </c>
      <c r="B205" s="13" t="s">
        <v>162</v>
      </c>
    </row>
    <row r="206" spans="1:2" x14ac:dyDescent="0.3">
      <c r="A206" s="13">
        <v>20</v>
      </c>
      <c r="B206" s="13" t="s">
        <v>162</v>
      </c>
    </row>
    <row r="207" spans="1:2" x14ac:dyDescent="0.3">
      <c r="A207" s="13">
        <v>20</v>
      </c>
      <c r="B207" s="13" t="s">
        <v>162</v>
      </c>
    </row>
    <row r="208" spans="1:2" x14ac:dyDescent="0.3">
      <c r="A208" s="13">
        <v>20</v>
      </c>
      <c r="B208" s="13" t="s">
        <v>162</v>
      </c>
    </row>
    <row r="209" spans="1:2" x14ac:dyDescent="0.3">
      <c r="A209" s="13">
        <v>20</v>
      </c>
      <c r="B209" s="13" t="s">
        <v>162</v>
      </c>
    </row>
    <row r="210" spans="1:2" x14ac:dyDescent="0.3">
      <c r="A210" s="13">
        <v>33</v>
      </c>
      <c r="B210" s="13" t="s">
        <v>162</v>
      </c>
    </row>
    <row r="211" spans="1:2" x14ac:dyDescent="0.3">
      <c r="A211" s="13">
        <v>33</v>
      </c>
      <c r="B211" s="13" t="s">
        <v>162</v>
      </c>
    </row>
    <row r="212" spans="1:2" x14ac:dyDescent="0.3">
      <c r="A212" s="13">
        <v>33</v>
      </c>
      <c r="B212" s="13" t="s">
        <v>162</v>
      </c>
    </row>
    <row r="213" spans="1:2" x14ac:dyDescent="0.3">
      <c r="A213" s="13">
        <v>33</v>
      </c>
      <c r="B213" s="13" t="s">
        <v>162</v>
      </c>
    </row>
    <row r="214" spans="1:2" x14ac:dyDescent="0.3">
      <c r="A214" s="13">
        <v>45</v>
      </c>
      <c r="B214" s="13" t="s">
        <v>162</v>
      </c>
    </row>
    <row r="215" spans="1:2" x14ac:dyDescent="0.3">
      <c r="A215" s="13">
        <v>45</v>
      </c>
      <c r="B215" s="13" t="s">
        <v>162</v>
      </c>
    </row>
    <row r="216" spans="1:2" x14ac:dyDescent="0.3">
      <c r="A216" s="13">
        <v>45</v>
      </c>
      <c r="B216" s="13" t="s">
        <v>162</v>
      </c>
    </row>
    <row r="217" spans="1:2" x14ac:dyDescent="0.3">
      <c r="A217" s="13">
        <v>45</v>
      </c>
      <c r="B217" s="13" t="s">
        <v>162</v>
      </c>
    </row>
    <row r="218" spans="1:2" x14ac:dyDescent="0.3">
      <c r="A218" s="13">
        <v>45</v>
      </c>
      <c r="B218" s="10" t="s">
        <v>162</v>
      </c>
    </row>
    <row r="219" spans="1:2" x14ac:dyDescent="0.3">
      <c r="A219" s="13">
        <v>45</v>
      </c>
      <c r="B219" s="10" t="s">
        <v>162</v>
      </c>
    </row>
    <row r="220" spans="1:2" ht="16.2" thickBot="1" x14ac:dyDescent="0.35">
      <c r="A220" s="18">
        <v>45</v>
      </c>
      <c r="B220" s="14" t="s">
        <v>162</v>
      </c>
    </row>
    <row r="221" spans="1:2" x14ac:dyDescent="0.3">
      <c r="A221" s="13">
        <v>45</v>
      </c>
      <c r="B221" s="13" t="s">
        <v>162</v>
      </c>
    </row>
    <row r="222" spans="1:2" x14ac:dyDescent="0.3">
      <c r="A222" s="13">
        <v>45</v>
      </c>
      <c r="B222" s="13" t="s">
        <v>162</v>
      </c>
    </row>
    <row r="223" spans="1:2" x14ac:dyDescent="0.3">
      <c r="A223" s="13">
        <v>45</v>
      </c>
      <c r="B223" s="13" t="s">
        <v>162</v>
      </c>
    </row>
    <row r="224" spans="1:2" x14ac:dyDescent="0.3">
      <c r="A224" s="13">
        <v>45</v>
      </c>
      <c r="B224" s="13" t="s">
        <v>162</v>
      </c>
    </row>
    <row r="225" spans="1:2" x14ac:dyDescent="0.3">
      <c r="A225" s="13">
        <v>45</v>
      </c>
      <c r="B225" s="13" t="s">
        <v>162</v>
      </c>
    </row>
    <row r="226" spans="1:2" x14ac:dyDescent="0.3">
      <c r="A226" s="13">
        <v>45</v>
      </c>
      <c r="B226" s="13" t="s">
        <v>162</v>
      </c>
    </row>
    <row r="227" spans="1:2" x14ac:dyDescent="0.3">
      <c r="A227" s="13">
        <v>50</v>
      </c>
      <c r="B227" s="13" t="s">
        <v>162</v>
      </c>
    </row>
    <row r="228" spans="1:2" x14ac:dyDescent="0.3">
      <c r="A228" s="13">
        <v>50</v>
      </c>
      <c r="B228" s="13" t="s">
        <v>162</v>
      </c>
    </row>
    <row r="229" spans="1:2" x14ac:dyDescent="0.3">
      <c r="A229" s="13">
        <v>50</v>
      </c>
      <c r="B229" s="13" t="s">
        <v>162</v>
      </c>
    </row>
    <row r="230" spans="1:2" x14ac:dyDescent="0.3">
      <c r="A230" s="13">
        <v>50</v>
      </c>
      <c r="B230" s="13" t="s">
        <v>162</v>
      </c>
    </row>
    <row r="231" spans="1:2" x14ac:dyDescent="0.3">
      <c r="A231" s="13">
        <v>50</v>
      </c>
      <c r="B231" s="13" t="s">
        <v>162</v>
      </c>
    </row>
    <row r="232" spans="1:2" x14ac:dyDescent="0.3">
      <c r="A232" s="13">
        <v>50</v>
      </c>
      <c r="B232" s="13" t="s">
        <v>162</v>
      </c>
    </row>
    <row r="233" spans="1:2" x14ac:dyDescent="0.3">
      <c r="A233" s="13">
        <v>50</v>
      </c>
      <c r="B233" s="13" t="s">
        <v>162</v>
      </c>
    </row>
    <row r="234" spans="1:2" x14ac:dyDescent="0.3">
      <c r="A234" s="13">
        <v>50</v>
      </c>
      <c r="B234" s="13" t="s">
        <v>162</v>
      </c>
    </row>
    <row r="235" spans="1:2" x14ac:dyDescent="0.3">
      <c r="A235" s="13">
        <v>50</v>
      </c>
      <c r="B235" s="13" t="s">
        <v>162</v>
      </c>
    </row>
    <row r="236" spans="1:2" x14ac:dyDescent="0.3">
      <c r="A236" s="13">
        <v>50</v>
      </c>
      <c r="B236" s="13" t="s">
        <v>162</v>
      </c>
    </row>
    <row r="237" spans="1:2" x14ac:dyDescent="0.3">
      <c r="A237" s="13">
        <v>50</v>
      </c>
      <c r="B237" s="13" t="s">
        <v>162</v>
      </c>
    </row>
    <row r="238" spans="1:2" x14ac:dyDescent="0.3">
      <c r="A238" s="13">
        <v>50</v>
      </c>
      <c r="B238" s="13" t="s">
        <v>162</v>
      </c>
    </row>
    <row r="239" spans="1:2" x14ac:dyDescent="0.3">
      <c r="A239" s="13">
        <v>50</v>
      </c>
      <c r="B239" s="13" t="s">
        <v>162</v>
      </c>
    </row>
    <row r="240" spans="1:2" x14ac:dyDescent="0.3">
      <c r="A240" s="13">
        <v>50</v>
      </c>
      <c r="B240" s="13" t="s">
        <v>162</v>
      </c>
    </row>
    <row r="241" spans="1:2" x14ac:dyDescent="0.3">
      <c r="A241" s="13">
        <v>50</v>
      </c>
      <c r="B241" s="13" t="s">
        <v>162</v>
      </c>
    </row>
    <row r="242" spans="1:2" x14ac:dyDescent="0.3">
      <c r="A242" s="13">
        <v>50</v>
      </c>
      <c r="B242" s="13" t="s">
        <v>162</v>
      </c>
    </row>
    <row r="243" spans="1:2" x14ac:dyDescent="0.3">
      <c r="A243" s="13">
        <v>50</v>
      </c>
      <c r="B243" s="13" t="s">
        <v>162</v>
      </c>
    </row>
    <row r="244" spans="1:2" x14ac:dyDescent="0.3">
      <c r="A244" s="13">
        <v>50</v>
      </c>
      <c r="B244" s="13" t="s">
        <v>162</v>
      </c>
    </row>
    <row r="245" spans="1:2" x14ac:dyDescent="0.3">
      <c r="A245" s="10">
        <v>57</v>
      </c>
      <c r="B245" s="13" t="s">
        <v>162</v>
      </c>
    </row>
    <row r="246" spans="1:2" x14ac:dyDescent="0.3">
      <c r="A246" s="10">
        <v>57</v>
      </c>
      <c r="B246" s="13" t="s">
        <v>162</v>
      </c>
    </row>
    <row r="247" spans="1:2" x14ac:dyDescent="0.3">
      <c r="A247" s="10">
        <v>57</v>
      </c>
      <c r="B247" s="13" t="s">
        <v>162</v>
      </c>
    </row>
    <row r="248" spans="1:2" x14ac:dyDescent="0.3">
      <c r="A248" s="10">
        <v>57</v>
      </c>
      <c r="B248" s="13" t="s">
        <v>162</v>
      </c>
    </row>
    <row r="249" spans="1:2" x14ac:dyDescent="0.3">
      <c r="A249" s="10">
        <v>57</v>
      </c>
      <c r="B249" s="13" t="s">
        <v>162</v>
      </c>
    </row>
    <row r="250" spans="1:2" x14ac:dyDescent="0.3">
      <c r="A250" s="10">
        <v>57</v>
      </c>
      <c r="B250" s="13" t="s">
        <v>162</v>
      </c>
    </row>
    <row r="251" spans="1:2" x14ac:dyDescent="0.3">
      <c r="A251" s="10">
        <v>57</v>
      </c>
      <c r="B251" s="13" t="s">
        <v>162</v>
      </c>
    </row>
    <row r="252" spans="1:2" x14ac:dyDescent="0.3">
      <c r="A252" s="10">
        <v>57</v>
      </c>
      <c r="B252" s="13" t="s">
        <v>162</v>
      </c>
    </row>
    <row r="253" spans="1:2" ht="16.2" thickBot="1" x14ac:dyDescent="0.35">
      <c r="A253" s="14">
        <v>57</v>
      </c>
      <c r="B253" s="18" t="s">
        <v>162</v>
      </c>
    </row>
    <row r="254" spans="1:2" x14ac:dyDescent="0.3">
      <c r="A254" s="13">
        <v>57</v>
      </c>
      <c r="B254" s="13" t="s">
        <v>162</v>
      </c>
    </row>
    <row r="255" spans="1:2" x14ac:dyDescent="0.3">
      <c r="A255" s="13">
        <v>57</v>
      </c>
      <c r="B255" s="13" t="s">
        <v>162</v>
      </c>
    </row>
    <row r="256" spans="1:2" x14ac:dyDescent="0.3">
      <c r="A256" s="13">
        <v>57</v>
      </c>
      <c r="B256" s="13" t="s">
        <v>162</v>
      </c>
    </row>
    <row r="257" spans="1:2" x14ac:dyDescent="0.3">
      <c r="A257" s="13">
        <v>57</v>
      </c>
      <c r="B257" s="13" t="s">
        <v>162</v>
      </c>
    </row>
    <row r="258" spans="1:2" x14ac:dyDescent="0.3">
      <c r="A258" s="13">
        <v>57</v>
      </c>
      <c r="B258" s="13" t="s">
        <v>162</v>
      </c>
    </row>
    <row r="259" spans="1:2" ht="16.2" thickBot="1" x14ac:dyDescent="0.35">
      <c r="A259" s="18">
        <v>57</v>
      </c>
      <c r="B259" s="18" t="s">
        <v>162</v>
      </c>
    </row>
    <row r="260" spans="1:2" ht="16.2" thickBot="1" x14ac:dyDescent="0.35">
      <c r="A260" s="29">
        <v>57</v>
      </c>
      <c r="B260" s="29" t="s">
        <v>162</v>
      </c>
    </row>
    <row r="261" spans="1:2" x14ac:dyDescent="0.3">
      <c r="A261" s="13">
        <v>57</v>
      </c>
      <c r="B261" s="13" t="s">
        <v>162</v>
      </c>
    </row>
    <row r="262" spans="1:2" x14ac:dyDescent="0.3">
      <c r="A262" s="13">
        <v>57</v>
      </c>
      <c r="B262" s="13" t="s">
        <v>162</v>
      </c>
    </row>
    <row r="263" spans="1:2" x14ac:dyDescent="0.3">
      <c r="A263" s="13">
        <v>57</v>
      </c>
      <c r="B263" s="13" t="s">
        <v>162</v>
      </c>
    </row>
    <row r="264" spans="1:2" x14ac:dyDescent="0.3">
      <c r="A264" s="13">
        <v>57</v>
      </c>
      <c r="B264" s="13" t="s">
        <v>162</v>
      </c>
    </row>
    <row r="265" spans="1:2" x14ac:dyDescent="0.3">
      <c r="A265" s="13">
        <v>57</v>
      </c>
      <c r="B265" s="13" t="s">
        <v>162</v>
      </c>
    </row>
    <row r="266" spans="1:2" x14ac:dyDescent="0.3">
      <c r="A266" s="13">
        <v>57</v>
      </c>
      <c r="B266" s="13" t="s">
        <v>162</v>
      </c>
    </row>
    <row r="267" spans="1:2" x14ac:dyDescent="0.3">
      <c r="A267" s="13">
        <v>57</v>
      </c>
      <c r="B267" s="13" t="s">
        <v>162</v>
      </c>
    </row>
    <row r="268" spans="1:2" x14ac:dyDescent="0.3">
      <c r="A268" s="13">
        <v>57</v>
      </c>
      <c r="B268" s="13" t="s">
        <v>162</v>
      </c>
    </row>
    <row r="269" spans="1:2" x14ac:dyDescent="0.3">
      <c r="A269" s="13">
        <v>57</v>
      </c>
      <c r="B269" s="13" t="s">
        <v>162</v>
      </c>
    </row>
    <row r="270" spans="1:2" x14ac:dyDescent="0.3">
      <c r="A270" s="13">
        <v>57</v>
      </c>
      <c r="B270" s="13" t="s">
        <v>162</v>
      </c>
    </row>
    <row r="271" spans="1:2" x14ac:dyDescent="0.3">
      <c r="A271" s="13">
        <v>57</v>
      </c>
      <c r="B271" s="13" t="s">
        <v>162</v>
      </c>
    </row>
    <row r="272" spans="1:2" x14ac:dyDescent="0.3">
      <c r="A272" s="13">
        <v>57</v>
      </c>
      <c r="B272" s="13" t="s">
        <v>162</v>
      </c>
    </row>
    <row r="273" spans="1:2" x14ac:dyDescent="0.3">
      <c r="A273" s="13">
        <v>57</v>
      </c>
      <c r="B273" s="13" t="s">
        <v>162</v>
      </c>
    </row>
    <row r="274" spans="1:2" x14ac:dyDescent="0.3">
      <c r="A274" s="13">
        <v>57</v>
      </c>
      <c r="B274" s="13" t="s">
        <v>162</v>
      </c>
    </row>
    <row r="275" spans="1:2" x14ac:dyDescent="0.3">
      <c r="A275" s="13">
        <v>63.04</v>
      </c>
      <c r="B275" s="13" t="s">
        <v>162</v>
      </c>
    </row>
    <row r="276" spans="1:2" x14ac:dyDescent="0.3">
      <c r="A276" s="13">
        <v>63.04</v>
      </c>
      <c r="B276" s="13" t="s">
        <v>162</v>
      </c>
    </row>
    <row r="277" spans="1:2" x14ac:dyDescent="0.3">
      <c r="A277" s="13">
        <v>63.04</v>
      </c>
      <c r="B277" s="13" t="s">
        <v>162</v>
      </c>
    </row>
    <row r="278" spans="1:2" x14ac:dyDescent="0.3">
      <c r="A278" s="13">
        <v>63.04</v>
      </c>
      <c r="B278" s="13" t="s">
        <v>162</v>
      </c>
    </row>
    <row r="279" spans="1:2" x14ac:dyDescent="0.3">
      <c r="A279" s="13">
        <v>63.04</v>
      </c>
      <c r="B279" s="13" t="s">
        <v>162</v>
      </c>
    </row>
    <row r="280" spans="1:2" x14ac:dyDescent="0.3">
      <c r="A280" s="13">
        <v>63.04</v>
      </c>
      <c r="B280" s="13" t="s">
        <v>162</v>
      </c>
    </row>
    <row r="281" spans="1:2" x14ac:dyDescent="0.3">
      <c r="A281" s="13">
        <v>63.04</v>
      </c>
      <c r="B281" s="13" t="s">
        <v>162</v>
      </c>
    </row>
    <row r="282" spans="1:2" x14ac:dyDescent="0.3">
      <c r="A282" s="13">
        <v>63.04</v>
      </c>
      <c r="B282" s="13" t="s">
        <v>162</v>
      </c>
    </row>
    <row r="283" spans="1:2" x14ac:dyDescent="0.3">
      <c r="A283" s="13">
        <v>63.04</v>
      </c>
      <c r="B283" s="13" t="s">
        <v>162</v>
      </c>
    </row>
    <row r="284" spans="1:2" x14ac:dyDescent="0.3">
      <c r="A284" s="13">
        <v>63.04</v>
      </c>
      <c r="B284" s="13" t="s">
        <v>162</v>
      </c>
    </row>
    <row r="285" spans="1:2" x14ac:dyDescent="0.3">
      <c r="A285" s="13">
        <v>63.04</v>
      </c>
      <c r="B285" s="13" t="s">
        <v>162</v>
      </c>
    </row>
    <row r="286" spans="1:2" x14ac:dyDescent="0.3">
      <c r="A286" s="13">
        <v>63.04</v>
      </c>
      <c r="B286" s="13" t="s">
        <v>162</v>
      </c>
    </row>
    <row r="287" spans="1:2" x14ac:dyDescent="0.3">
      <c r="A287" s="13">
        <v>64.400000000000006</v>
      </c>
      <c r="B287" s="13" t="s">
        <v>162</v>
      </c>
    </row>
    <row r="288" spans="1:2" x14ac:dyDescent="0.3">
      <c r="A288" s="13">
        <v>64.400000000000006</v>
      </c>
      <c r="B288" s="13" t="s">
        <v>162</v>
      </c>
    </row>
    <row r="289" spans="1:2" x14ac:dyDescent="0.3">
      <c r="A289" s="13">
        <v>64.400000000000006</v>
      </c>
      <c r="B289" s="13" t="s">
        <v>162</v>
      </c>
    </row>
    <row r="290" spans="1:2" x14ac:dyDescent="0.3">
      <c r="A290" s="13">
        <v>64.400000000000006</v>
      </c>
      <c r="B290" s="13" t="s">
        <v>162</v>
      </c>
    </row>
    <row r="291" spans="1:2" x14ac:dyDescent="0.3">
      <c r="A291" s="13">
        <v>64.400000000000006</v>
      </c>
      <c r="B291" s="13" t="s">
        <v>162</v>
      </c>
    </row>
    <row r="292" spans="1:2" x14ac:dyDescent="0.3">
      <c r="A292" s="13">
        <v>64.400000000000006</v>
      </c>
      <c r="B292" s="13" t="s">
        <v>162</v>
      </c>
    </row>
    <row r="293" spans="1:2" x14ac:dyDescent="0.3">
      <c r="A293" s="13">
        <v>64.400000000000006</v>
      </c>
      <c r="B293" s="13" t="s">
        <v>162</v>
      </c>
    </row>
    <row r="294" spans="1:2" x14ac:dyDescent="0.3">
      <c r="A294" s="13">
        <v>64.400000000000006</v>
      </c>
      <c r="B294" s="13" t="s">
        <v>162</v>
      </c>
    </row>
    <row r="295" spans="1:2" x14ac:dyDescent="0.3">
      <c r="A295" s="13">
        <v>64.400000000000006</v>
      </c>
      <c r="B295" s="13" t="s">
        <v>162</v>
      </c>
    </row>
    <row r="296" spans="1:2" x14ac:dyDescent="0.3">
      <c r="A296" s="13">
        <v>64.599999999999994</v>
      </c>
      <c r="B296" s="13" t="s">
        <v>162</v>
      </c>
    </row>
    <row r="297" spans="1:2" x14ac:dyDescent="0.3">
      <c r="A297" s="13">
        <v>64.599999999999994</v>
      </c>
      <c r="B297" s="13" t="s">
        <v>162</v>
      </c>
    </row>
    <row r="298" spans="1:2" x14ac:dyDescent="0.3">
      <c r="A298" s="13">
        <v>64.599999999999994</v>
      </c>
      <c r="B298" s="13" t="s">
        <v>162</v>
      </c>
    </row>
    <row r="299" spans="1:2" x14ac:dyDescent="0.3">
      <c r="A299" s="13">
        <v>64.599999999999994</v>
      </c>
      <c r="B299" s="13" t="s">
        <v>162</v>
      </c>
    </row>
    <row r="300" spans="1:2" x14ac:dyDescent="0.3">
      <c r="A300" s="13">
        <v>64.599999999999994</v>
      </c>
      <c r="B300" s="13" t="s">
        <v>162</v>
      </c>
    </row>
    <row r="301" spans="1:2" x14ac:dyDescent="0.3">
      <c r="A301" s="13">
        <v>64.599999999999994</v>
      </c>
      <c r="B301" s="13" t="s">
        <v>162</v>
      </c>
    </row>
    <row r="302" spans="1:2" x14ac:dyDescent="0.3">
      <c r="A302" s="13">
        <v>64.599999999999994</v>
      </c>
      <c r="B302" s="13" t="s">
        <v>162</v>
      </c>
    </row>
    <row r="303" spans="1:2" ht="16.2" thickBot="1" x14ac:dyDescent="0.35">
      <c r="A303" s="18">
        <v>64.599999999999994</v>
      </c>
      <c r="B303" s="18" t="s">
        <v>162</v>
      </c>
    </row>
    <row r="304" spans="1:2" x14ac:dyDescent="0.3">
      <c r="A304" s="13">
        <v>64.599999999999994</v>
      </c>
      <c r="B304" s="13" t="s">
        <v>162</v>
      </c>
    </row>
    <row r="305" spans="1:2" x14ac:dyDescent="0.3">
      <c r="A305" s="13">
        <v>64.599999999999994</v>
      </c>
      <c r="B305" s="13" t="s">
        <v>162</v>
      </c>
    </row>
    <row r="306" spans="1:2" x14ac:dyDescent="0.3">
      <c r="A306" s="13">
        <v>64.599999999999994</v>
      </c>
      <c r="B306" s="13" t="s">
        <v>162</v>
      </c>
    </row>
    <row r="307" spans="1:2" x14ac:dyDescent="0.3">
      <c r="A307" s="13">
        <v>64.599999999999994</v>
      </c>
      <c r="B307" s="13" t="s">
        <v>162</v>
      </c>
    </row>
    <row r="308" spans="1:2" ht="16.2" thickBot="1" x14ac:dyDescent="0.35">
      <c r="A308" s="18">
        <v>64.599999999999994</v>
      </c>
      <c r="B308" s="18" t="s">
        <v>162</v>
      </c>
    </row>
    <row r="309" spans="1:2" x14ac:dyDescent="0.3">
      <c r="A309" s="13">
        <v>64.599999999999994</v>
      </c>
      <c r="B309" s="13" t="s">
        <v>162</v>
      </c>
    </row>
    <row r="310" spans="1:2" x14ac:dyDescent="0.3">
      <c r="A310" s="13">
        <v>64.599999999999994</v>
      </c>
      <c r="B310" s="13" t="s">
        <v>162</v>
      </c>
    </row>
    <row r="311" spans="1:2" ht="16.2" thickBot="1" x14ac:dyDescent="0.35">
      <c r="A311" s="18">
        <v>64.599999999999994</v>
      </c>
      <c r="B311" s="18" t="s">
        <v>162</v>
      </c>
    </row>
    <row r="312" spans="1:2" x14ac:dyDescent="0.3">
      <c r="A312" s="13">
        <v>64.599999999999994</v>
      </c>
      <c r="B312" s="13" t="s">
        <v>162</v>
      </c>
    </row>
    <row r="313" spans="1:2" x14ac:dyDescent="0.3">
      <c r="A313" s="10">
        <v>64.599999999999994</v>
      </c>
      <c r="B313" s="13" t="s">
        <v>162</v>
      </c>
    </row>
    <row r="314" spans="1:2" x14ac:dyDescent="0.3">
      <c r="A314" s="10">
        <v>64.599999999999994</v>
      </c>
      <c r="B314" s="13" t="s">
        <v>162</v>
      </c>
    </row>
    <row r="315" spans="1:2" ht="16.2" thickBot="1" x14ac:dyDescent="0.35">
      <c r="A315" s="14">
        <v>64.599999999999994</v>
      </c>
      <c r="B315" s="18" t="s">
        <v>162</v>
      </c>
    </row>
    <row r="316" spans="1:2" x14ac:dyDescent="0.3">
      <c r="A316" s="13">
        <v>64.599999999999994</v>
      </c>
      <c r="B316" s="13" t="s">
        <v>162</v>
      </c>
    </row>
    <row r="317" spans="1:2" x14ac:dyDescent="0.3">
      <c r="A317" s="13">
        <v>64.599999999999994</v>
      </c>
      <c r="B317" s="13" t="s">
        <v>162</v>
      </c>
    </row>
    <row r="318" spans="1:2" x14ac:dyDescent="0.3">
      <c r="A318" s="13">
        <v>64.599999999999994</v>
      </c>
      <c r="B318" s="13" t="s">
        <v>162</v>
      </c>
    </row>
    <row r="319" spans="1:2" x14ac:dyDescent="0.3">
      <c r="A319" s="13">
        <v>64.599999999999994</v>
      </c>
      <c r="B319" s="13" t="s">
        <v>162</v>
      </c>
    </row>
    <row r="320" spans="1:2" x14ac:dyDescent="0.3">
      <c r="A320" s="13">
        <v>76</v>
      </c>
      <c r="B320" s="13" t="s">
        <v>162</v>
      </c>
    </row>
    <row r="321" spans="1:2" x14ac:dyDescent="0.3">
      <c r="A321" s="13">
        <v>78</v>
      </c>
      <c r="B321" s="13" t="s">
        <v>162</v>
      </c>
    </row>
    <row r="322" spans="1:2" x14ac:dyDescent="0.3">
      <c r="A322" s="13">
        <v>78</v>
      </c>
      <c r="B322" s="13" t="s">
        <v>162</v>
      </c>
    </row>
    <row r="323" spans="1:2" x14ac:dyDescent="0.3">
      <c r="A323" s="32">
        <v>78</v>
      </c>
      <c r="B323" s="32" t="s">
        <v>162</v>
      </c>
    </row>
    <row r="324" spans="1:2" ht="16.2" thickBot="1" x14ac:dyDescent="0.35">
      <c r="A324" s="14">
        <v>78</v>
      </c>
      <c r="B324" s="14" t="s">
        <v>162</v>
      </c>
    </row>
    <row r="325" spans="1:2" x14ac:dyDescent="0.3">
      <c r="A325" s="13">
        <v>78</v>
      </c>
      <c r="B325" s="32" t="s">
        <v>162</v>
      </c>
    </row>
    <row r="326" spans="1:2" x14ac:dyDescent="0.3">
      <c r="A326" s="13">
        <v>78</v>
      </c>
      <c r="B326" s="32" t="s">
        <v>162</v>
      </c>
    </row>
    <row r="327" spans="1:2" x14ac:dyDescent="0.3">
      <c r="A327" s="13">
        <v>81</v>
      </c>
      <c r="B327" s="32" t="s">
        <v>162</v>
      </c>
    </row>
    <row r="328" spans="1:2" x14ac:dyDescent="0.3">
      <c r="A328" s="13">
        <v>82</v>
      </c>
      <c r="B328" s="32" t="s">
        <v>162</v>
      </c>
    </row>
    <row r="329" spans="1:2" x14ac:dyDescent="0.3">
      <c r="A329" s="13"/>
      <c r="B329" s="13"/>
    </row>
  </sheetData>
  <sortState xmlns:xlrd2="http://schemas.microsoft.com/office/spreadsheetml/2017/richdata2" ref="A2:B328">
    <sortCondition ref="B2:B328"/>
  </sortState>
  <dataValidations count="1">
    <dataValidation type="list" allowBlank="1" showInputMessage="1" showErrorMessage="1" sqref="B2:B40 B86:B157 B192:B197" xr:uid="{0BCEA038-62F3-4459-AEC4-C3F0DB494345}">
      <formula1>"IMMERSION,PERCOLATION,MIX-COMPACT,INJECTION"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80A9B-9F6C-41F9-85DB-2F44CD51B0C1}">
  <dimension ref="A1:AP60"/>
  <sheetViews>
    <sheetView topLeftCell="AI6" workbookViewId="0">
      <selection activeCell="AO22" sqref="AO22"/>
    </sheetView>
  </sheetViews>
  <sheetFormatPr defaultRowHeight="13.8" x14ac:dyDescent="0.25"/>
  <cols>
    <col min="1" max="1" width="8.88671875" style="92"/>
    <col min="2" max="2" width="13.6640625" style="92" bestFit="1" customWidth="1"/>
    <col min="3" max="3" width="12.88671875" style="92" customWidth="1"/>
    <col min="4" max="39" width="8.88671875" style="92"/>
    <col min="40" max="40" width="17.44140625" style="92" customWidth="1"/>
    <col min="41" max="41" width="20.21875" style="92" bestFit="1" customWidth="1"/>
    <col min="42" max="42" width="15.6640625" style="92" bestFit="1" customWidth="1"/>
    <col min="43" max="16384" width="8.88671875" style="92"/>
  </cols>
  <sheetData>
    <row r="1" spans="1:42" s="1" customFormat="1" ht="78" x14ac:dyDescent="0.3">
      <c r="A1" s="16" t="s">
        <v>0</v>
      </c>
      <c r="B1" s="16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416</v>
      </c>
      <c r="O1" s="3" t="s">
        <v>14</v>
      </c>
      <c r="P1" s="3" t="s">
        <v>15</v>
      </c>
      <c r="Q1" s="3" t="s">
        <v>44</v>
      </c>
      <c r="R1" s="3" t="s">
        <v>30</v>
      </c>
      <c r="S1" s="3" t="s">
        <v>417</v>
      </c>
      <c r="T1" s="4" t="s">
        <v>17</v>
      </c>
      <c r="U1" s="4" t="s">
        <v>18</v>
      </c>
      <c r="V1" s="4" t="s">
        <v>19</v>
      </c>
      <c r="W1" s="4" t="s">
        <v>20</v>
      </c>
      <c r="X1" s="5" t="s">
        <v>21</v>
      </c>
      <c r="Y1" s="5" t="s">
        <v>22</v>
      </c>
      <c r="Z1" s="5" t="s">
        <v>23</v>
      </c>
      <c r="AA1" s="5" t="s">
        <v>415</v>
      </c>
      <c r="AB1" s="5" t="s">
        <v>52</v>
      </c>
      <c r="AC1" s="6" t="s">
        <v>26</v>
      </c>
      <c r="AD1" s="7" t="s">
        <v>31</v>
      </c>
      <c r="AE1" s="8" t="s">
        <v>25</v>
      </c>
      <c r="AF1" s="9" t="s">
        <v>27</v>
      </c>
      <c r="AG1" s="9" t="s">
        <v>28</v>
      </c>
      <c r="AH1" s="9" t="s">
        <v>29</v>
      </c>
      <c r="AI1" s="58" t="s">
        <v>376</v>
      </c>
      <c r="AJ1" s="58" t="s">
        <v>377</v>
      </c>
      <c r="AK1" s="58" t="s">
        <v>378</v>
      </c>
      <c r="AL1" s="1" t="s">
        <v>418</v>
      </c>
    </row>
    <row r="2" spans="1:42" s="2" customFormat="1" ht="15.6" x14ac:dyDescent="0.3">
      <c r="A2" s="12">
        <v>1.63</v>
      </c>
      <c r="B2" s="12">
        <v>133</v>
      </c>
      <c r="C2" s="13" t="s">
        <v>33</v>
      </c>
      <c r="D2" s="13" t="s">
        <v>226</v>
      </c>
      <c r="E2" s="13" t="s">
        <v>170</v>
      </c>
      <c r="F2" s="13" t="s">
        <v>34</v>
      </c>
      <c r="G2" s="13">
        <v>0.6</v>
      </c>
      <c r="H2" s="13" t="s">
        <v>34</v>
      </c>
      <c r="I2" s="13" t="s">
        <v>34</v>
      </c>
      <c r="J2" s="13">
        <v>1.2</v>
      </c>
      <c r="K2" s="13" t="s">
        <v>34</v>
      </c>
      <c r="L2" s="13">
        <v>0</v>
      </c>
      <c r="M2" s="13">
        <v>76</v>
      </c>
      <c r="N2" s="13">
        <v>1699.64</v>
      </c>
      <c r="O2" s="13">
        <v>0.74199999999999999</v>
      </c>
      <c r="P2" s="13">
        <v>0.502</v>
      </c>
      <c r="Q2" s="13">
        <v>0</v>
      </c>
      <c r="R2" s="13">
        <v>2.65</v>
      </c>
      <c r="S2" s="13" t="s">
        <v>34</v>
      </c>
      <c r="T2" s="13" t="s">
        <v>49</v>
      </c>
      <c r="U2" s="13" t="s">
        <v>50</v>
      </c>
      <c r="V2" s="13" t="s">
        <v>207</v>
      </c>
      <c r="W2" s="13" t="s">
        <v>34</v>
      </c>
      <c r="X2" s="13">
        <v>1</v>
      </c>
      <c r="Y2" s="13">
        <v>1.5</v>
      </c>
      <c r="Z2" s="13" t="s">
        <v>204</v>
      </c>
      <c r="AA2" s="12">
        <v>0.315</v>
      </c>
      <c r="AB2" s="13" t="s">
        <v>34</v>
      </c>
      <c r="AC2" s="13" t="s">
        <v>40</v>
      </c>
      <c r="AD2" s="13" t="s">
        <v>32</v>
      </c>
      <c r="AE2" s="13">
        <v>7.8100000000000003E-2</v>
      </c>
      <c r="AF2" s="13" t="s">
        <v>238</v>
      </c>
      <c r="AG2" s="13">
        <v>2019</v>
      </c>
      <c r="AH2" s="13" t="s">
        <v>239</v>
      </c>
      <c r="AI2" s="13">
        <v>51</v>
      </c>
      <c r="AJ2" s="13">
        <v>2</v>
      </c>
      <c r="AK2" s="13">
        <v>1.2450000000000001</v>
      </c>
      <c r="AL2" s="2" t="s">
        <v>420</v>
      </c>
    </row>
    <row r="3" spans="1:42" s="2" customFormat="1" ht="15.6" x14ac:dyDescent="0.3">
      <c r="A3" s="11">
        <v>0.98</v>
      </c>
      <c r="B3" s="11">
        <v>158</v>
      </c>
      <c r="C3" s="13" t="s">
        <v>33</v>
      </c>
      <c r="D3" s="13" t="s">
        <v>226</v>
      </c>
      <c r="E3" s="13" t="s">
        <v>170</v>
      </c>
      <c r="F3" s="13" t="s">
        <v>34</v>
      </c>
      <c r="G3" s="13">
        <v>0.6</v>
      </c>
      <c r="H3" s="13" t="s">
        <v>34</v>
      </c>
      <c r="I3" s="13" t="s">
        <v>34</v>
      </c>
      <c r="J3" s="13">
        <v>1.2</v>
      </c>
      <c r="K3" s="13" t="s">
        <v>34</v>
      </c>
      <c r="L3" s="13">
        <v>0</v>
      </c>
      <c r="M3" s="13">
        <v>76</v>
      </c>
      <c r="N3" s="13">
        <v>1699.64</v>
      </c>
      <c r="O3" s="13">
        <v>0.74199999999999999</v>
      </c>
      <c r="P3" s="13">
        <v>0.502</v>
      </c>
      <c r="Q3" s="13">
        <v>0</v>
      </c>
      <c r="R3" s="13">
        <v>2.65</v>
      </c>
      <c r="S3" s="13" t="s">
        <v>34</v>
      </c>
      <c r="T3" s="13" t="s">
        <v>49</v>
      </c>
      <c r="U3" s="13" t="s">
        <v>50</v>
      </c>
      <c r="V3" s="13" t="s">
        <v>207</v>
      </c>
      <c r="W3" s="13" t="s">
        <v>34</v>
      </c>
      <c r="X3" s="10">
        <v>1</v>
      </c>
      <c r="Y3" s="10">
        <v>1.5</v>
      </c>
      <c r="Z3" s="13" t="s">
        <v>204</v>
      </c>
      <c r="AA3" s="11">
        <v>0.315</v>
      </c>
      <c r="AB3" s="13" t="s">
        <v>34</v>
      </c>
      <c r="AC3" s="13" t="s">
        <v>40</v>
      </c>
      <c r="AD3" s="13" t="s">
        <v>32</v>
      </c>
      <c r="AE3" s="13">
        <v>7.8100000000000003E-2</v>
      </c>
      <c r="AF3" s="13" t="s">
        <v>238</v>
      </c>
      <c r="AG3" s="13">
        <v>2019</v>
      </c>
      <c r="AH3" s="13" t="s">
        <v>239</v>
      </c>
      <c r="AI3" s="10">
        <v>51</v>
      </c>
      <c r="AJ3" s="10">
        <v>2</v>
      </c>
      <c r="AK3" s="10">
        <v>1.2450000000000001</v>
      </c>
      <c r="AL3" s="2" t="s">
        <v>420</v>
      </c>
    </row>
    <row r="4" spans="1:42" s="2" customFormat="1" ht="15.6" x14ac:dyDescent="0.3">
      <c r="A4" s="11">
        <v>0.99</v>
      </c>
      <c r="B4" s="11">
        <v>124</v>
      </c>
      <c r="C4" s="13" t="s">
        <v>33</v>
      </c>
      <c r="D4" s="13" t="s">
        <v>226</v>
      </c>
      <c r="E4" s="13" t="s">
        <v>170</v>
      </c>
      <c r="F4" s="13" t="s">
        <v>34</v>
      </c>
      <c r="G4" s="13">
        <v>0.6</v>
      </c>
      <c r="H4" s="13" t="s">
        <v>34</v>
      </c>
      <c r="I4" s="13" t="s">
        <v>34</v>
      </c>
      <c r="J4" s="13">
        <v>1.2</v>
      </c>
      <c r="K4" s="13" t="s">
        <v>34</v>
      </c>
      <c r="L4" s="13">
        <v>0</v>
      </c>
      <c r="M4" s="13">
        <v>76</v>
      </c>
      <c r="N4" s="13">
        <v>1699.64</v>
      </c>
      <c r="O4" s="13">
        <v>0.74199999999999999</v>
      </c>
      <c r="P4" s="13">
        <v>0.502</v>
      </c>
      <c r="Q4" s="13">
        <v>0</v>
      </c>
      <c r="R4" s="13">
        <v>2.65</v>
      </c>
      <c r="S4" s="13" t="s">
        <v>34</v>
      </c>
      <c r="T4" s="13" t="s">
        <v>49</v>
      </c>
      <c r="U4" s="13" t="s">
        <v>50</v>
      </c>
      <c r="V4" s="13" t="s">
        <v>207</v>
      </c>
      <c r="W4" s="13" t="s">
        <v>34</v>
      </c>
      <c r="X4" s="10">
        <v>1</v>
      </c>
      <c r="Y4" s="10">
        <v>1.5</v>
      </c>
      <c r="Z4" s="13" t="s">
        <v>204</v>
      </c>
      <c r="AA4" s="11">
        <v>0.315</v>
      </c>
      <c r="AB4" s="13" t="s">
        <v>34</v>
      </c>
      <c r="AC4" s="13" t="s">
        <v>40</v>
      </c>
      <c r="AD4" s="13" t="s">
        <v>32</v>
      </c>
      <c r="AE4" s="13">
        <v>7.8100000000000003E-2</v>
      </c>
      <c r="AF4" s="13" t="s">
        <v>238</v>
      </c>
      <c r="AG4" s="13">
        <v>2019</v>
      </c>
      <c r="AH4" s="13" t="s">
        <v>239</v>
      </c>
      <c r="AI4" s="10">
        <v>51</v>
      </c>
      <c r="AJ4" s="10">
        <v>2</v>
      </c>
      <c r="AK4" s="10">
        <v>1.2450000000000001</v>
      </c>
      <c r="AL4" s="2" t="s">
        <v>420</v>
      </c>
    </row>
    <row r="5" spans="1:42" s="2" customFormat="1" ht="15.6" x14ac:dyDescent="0.3">
      <c r="A5" s="11">
        <v>0.82</v>
      </c>
      <c r="B5" s="11">
        <v>1817</v>
      </c>
      <c r="C5" s="13" t="s">
        <v>33</v>
      </c>
      <c r="D5" s="13" t="s">
        <v>226</v>
      </c>
      <c r="E5" s="13" t="s">
        <v>170</v>
      </c>
      <c r="F5" s="13" t="s">
        <v>34</v>
      </c>
      <c r="G5" s="13">
        <v>0.6</v>
      </c>
      <c r="H5" s="13" t="s">
        <v>34</v>
      </c>
      <c r="I5" s="13" t="s">
        <v>34</v>
      </c>
      <c r="J5" s="13">
        <v>1.2</v>
      </c>
      <c r="K5" s="13" t="s">
        <v>34</v>
      </c>
      <c r="L5" s="13">
        <v>0</v>
      </c>
      <c r="M5" s="13">
        <v>76</v>
      </c>
      <c r="N5" s="13">
        <v>1699.64</v>
      </c>
      <c r="O5" s="13">
        <v>0.74199999999999999</v>
      </c>
      <c r="P5" s="13">
        <v>0.502</v>
      </c>
      <c r="Q5" s="13">
        <v>0</v>
      </c>
      <c r="R5" s="13">
        <v>2.65</v>
      </c>
      <c r="S5" s="13" t="s">
        <v>34</v>
      </c>
      <c r="T5" s="13" t="s">
        <v>49</v>
      </c>
      <c r="U5" s="13" t="s">
        <v>50</v>
      </c>
      <c r="V5" s="13" t="s">
        <v>207</v>
      </c>
      <c r="W5" s="13" t="s">
        <v>34</v>
      </c>
      <c r="X5" s="10">
        <v>1</v>
      </c>
      <c r="Y5" s="10">
        <v>1.5</v>
      </c>
      <c r="Z5" s="13" t="s">
        <v>204</v>
      </c>
      <c r="AA5" s="11">
        <v>0.315</v>
      </c>
      <c r="AB5" s="13" t="s">
        <v>34</v>
      </c>
      <c r="AC5" s="10" t="s">
        <v>203</v>
      </c>
      <c r="AD5" s="13" t="s">
        <v>32</v>
      </c>
      <c r="AE5" s="10">
        <v>0.71450000000000002</v>
      </c>
      <c r="AF5" s="13" t="s">
        <v>238</v>
      </c>
      <c r="AG5" s="13">
        <v>2019</v>
      </c>
      <c r="AH5" s="13" t="s">
        <v>239</v>
      </c>
      <c r="AI5" s="10">
        <v>51</v>
      </c>
      <c r="AJ5" s="10">
        <v>2</v>
      </c>
      <c r="AK5" s="10">
        <v>1.2450000000000001</v>
      </c>
      <c r="AL5" s="2" t="s">
        <v>420</v>
      </c>
    </row>
    <row r="6" spans="1:42" s="2" customFormat="1" ht="15.6" x14ac:dyDescent="0.3">
      <c r="A6" s="11">
        <v>0.79</v>
      </c>
      <c r="B6" s="11">
        <v>1654</v>
      </c>
      <c r="C6" s="13" t="s">
        <v>33</v>
      </c>
      <c r="D6" s="13" t="s">
        <v>226</v>
      </c>
      <c r="E6" s="13" t="s">
        <v>170</v>
      </c>
      <c r="F6" s="13" t="s">
        <v>34</v>
      </c>
      <c r="G6" s="13">
        <v>0.6</v>
      </c>
      <c r="H6" s="13" t="s">
        <v>34</v>
      </c>
      <c r="I6" s="13" t="s">
        <v>34</v>
      </c>
      <c r="J6" s="13">
        <v>1.2</v>
      </c>
      <c r="K6" s="13" t="s">
        <v>34</v>
      </c>
      <c r="L6" s="13">
        <v>0</v>
      </c>
      <c r="M6" s="13">
        <v>76</v>
      </c>
      <c r="N6" s="13">
        <v>1699.64</v>
      </c>
      <c r="O6" s="13">
        <v>0.74199999999999999</v>
      </c>
      <c r="P6" s="13">
        <v>0.502</v>
      </c>
      <c r="Q6" s="13">
        <v>0</v>
      </c>
      <c r="R6" s="13">
        <v>2.65</v>
      </c>
      <c r="S6" s="13" t="s">
        <v>34</v>
      </c>
      <c r="T6" s="13" t="s">
        <v>49</v>
      </c>
      <c r="U6" s="13" t="s">
        <v>50</v>
      </c>
      <c r="V6" s="13" t="s">
        <v>207</v>
      </c>
      <c r="W6" s="13" t="s">
        <v>34</v>
      </c>
      <c r="X6" s="10">
        <v>1</v>
      </c>
      <c r="Y6" s="10">
        <v>1.5</v>
      </c>
      <c r="Z6" s="13" t="s">
        <v>204</v>
      </c>
      <c r="AA6" s="11">
        <v>0.315</v>
      </c>
      <c r="AB6" s="13" t="s">
        <v>34</v>
      </c>
      <c r="AC6" s="10" t="s">
        <v>203</v>
      </c>
      <c r="AD6" s="13" t="s">
        <v>32</v>
      </c>
      <c r="AE6" s="10">
        <v>0.71450000000000002</v>
      </c>
      <c r="AF6" s="13" t="s">
        <v>238</v>
      </c>
      <c r="AG6" s="13">
        <v>2019</v>
      </c>
      <c r="AH6" s="13" t="s">
        <v>239</v>
      </c>
      <c r="AI6" s="10">
        <v>51</v>
      </c>
      <c r="AJ6" s="10">
        <v>2</v>
      </c>
      <c r="AK6" s="10">
        <v>1.2450000000000001</v>
      </c>
      <c r="AL6" s="2" t="s">
        <v>420</v>
      </c>
    </row>
    <row r="7" spans="1:42" s="2" customFormat="1" ht="15.6" x14ac:dyDescent="0.3">
      <c r="A7" s="11">
        <v>1.17</v>
      </c>
      <c r="B7" s="11">
        <v>1763</v>
      </c>
      <c r="C7" s="13" t="s">
        <v>33</v>
      </c>
      <c r="D7" s="13" t="s">
        <v>226</v>
      </c>
      <c r="E7" s="13" t="s">
        <v>170</v>
      </c>
      <c r="F7" s="13" t="s">
        <v>34</v>
      </c>
      <c r="G7" s="13">
        <v>0.6</v>
      </c>
      <c r="H7" s="13" t="s">
        <v>34</v>
      </c>
      <c r="I7" s="13" t="s">
        <v>34</v>
      </c>
      <c r="J7" s="13">
        <v>1.2</v>
      </c>
      <c r="K7" s="13" t="s">
        <v>34</v>
      </c>
      <c r="L7" s="13">
        <v>0</v>
      </c>
      <c r="M7" s="13">
        <v>76</v>
      </c>
      <c r="N7" s="13">
        <v>1699.64</v>
      </c>
      <c r="O7" s="13">
        <v>0.74199999999999999</v>
      </c>
      <c r="P7" s="13">
        <v>0.502</v>
      </c>
      <c r="Q7" s="13">
        <v>0</v>
      </c>
      <c r="R7" s="13">
        <v>2.65</v>
      </c>
      <c r="S7" s="13" t="s">
        <v>34</v>
      </c>
      <c r="T7" s="13" t="s">
        <v>49</v>
      </c>
      <c r="U7" s="13" t="s">
        <v>50</v>
      </c>
      <c r="V7" s="13" t="s">
        <v>207</v>
      </c>
      <c r="W7" s="13" t="s">
        <v>34</v>
      </c>
      <c r="X7" s="10">
        <v>1</v>
      </c>
      <c r="Y7" s="10">
        <v>1.5</v>
      </c>
      <c r="Z7" s="13" t="s">
        <v>204</v>
      </c>
      <c r="AA7" s="11">
        <v>0.315</v>
      </c>
      <c r="AB7" s="13" t="s">
        <v>34</v>
      </c>
      <c r="AC7" s="10" t="s">
        <v>203</v>
      </c>
      <c r="AD7" s="13" t="s">
        <v>32</v>
      </c>
      <c r="AE7" s="10">
        <v>0.71450000000000002</v>
      </c>
      <c r="AF7" s="13" t="s">
        <v>238</v>
      </c>
      <c r="AG7" s="13">
        <v>2019</v>
      </c>
      <c r="AH7" s="13" t="s">
        <v>239</v>
      </c>
      <c r="AI7" s="10">
        <v>51</v>
      </c>
      <c r="AJ7" s="10">
        <v>2</v>
      </c>
      <c r="AK7" s="10">
        <v>1.2450000000000001</v>
      </c>
      <c r="AL7" s="2" t="s">
        <v>420</v>
      </c>
    </row>
    <row r="8" spans="1:42" s="2" customFormat="1" ht="15.6" x14ac:dyDescent="0.3">
      <c r="A8" s="11">
        <v>0.56999999999999995</v>
      </c>
      <c r="B8" s="11">
        <v>1000</v>
      </c>
      <c r="C8" s="13" t="s">
        <v>33</v>
      </c>
      <c r="D8" s="13" t="s">
        <v>226</v>
      </c>
      <c r="E8" s="13" t="s">
        <v>170</v>
      </c>
      <c r="F8" s="13" t="s">
        <v>34</v>
      </c>
      <c r="G8" s="13">
        <v>0.6</v>
      </c>
      <c r="H8" s="13" t="s">
        <v>34</v>
      </c>
      <c r="I8" s="13" t="s">
        <v>34</v>
      </c>
      <c r="J8" s="13">
        <v>1.2</v>
      </c>
      <c r="K8" s="13" t="s">
        <v>34</v>
      </c>
      <c r="L8" s="13">
        <v>0</v>
      </c>
      <c r="M8" s="13">
        <v>76</v>
      </c>
      <c r="N8" s="13">
        <v>1699.64</v>
      </c>
      <c r="O8" s="13">
        <v>0.74199999999999999</v>
      </c>
      <c r="P8" s="13">
        <v>0.502</v>
      </c>
      <c r="Q8" s="13">
        <v>0</v>
      </c>
      <c r="R8" s="13">
        <v>2.65</v>
      </c>
      <c r="S8" s="13" t="s">
        <v>34</v>
      </c>
      <c r="T8" s="13" t="s">
        <v>49</v>
      </c>
      <c r="U8" s="13" t="s">
        <v>50</v>
      </c>
      <c r="V8" s="13" t="s">
        <v>207</v>
      </c>
      <c r="W8" s="13" t="s">
        <v>34</v>
      </c>
      <c r="X8" s="10">
        <v>0.37</v>
      </c>
      <c r="Y8" s="10">
        <v>1.48</v>
      </c>
      <c r="Z8" s="13" t="s">
        <v>204</v>
      </c>
      <c r="AA8" s="11">
        <v>8.9249999999999996E-2</v>
      </c>
      <c r="AB8" s="13" t="s">
        <v>34</v>
      </c>
      <c r="AC8" s="10" t="s">
        <v>203</v>
      </c>
      <c r="AD8" s="13" t="s">
        <v>32</v>
      </c>
      <c r="AE8" s="10">
        <v>0.71450000000000002</v>
      </c>
      <c r="AF8" s="13" t="s">
        <v>238</v>
      </c>
      <c r="AG8" s="13">
        <v>2019</v>
      </c>
      <c r="AH8" s="13" t="s">
        <v>239</v>
      </c>
      <c r="AI8" s="10">
        <v>51</v>
      </c>
      <c r="AJ8" s="10">
        <v>2</v>
      </c>
      <c r="AK8" s="10">
        <v>1.2450000000000001</v>
      </c>
      <c r="AL8" s="2" t="s">
        <v>420</v>
      </c>
    </row>
    <row r="9" spans="1:42" s="2" customFormat="1" ht="15.6" x14ac:dyDescent="0.3">
      <c r="A9" s="31">
        <v>0.71</v>
      </c>
      <c r="B9" s="31">
        <v>1396</v>
      </c>
      <c r="C9" s="32" t="s">
        <v>33</v>
      </c>
      <c r="D9" s="13" t="s">
        <v>226</v>
      </c>
      <c r="E9" s="32" t="s">
        <v>170</v>
      </c>
      <c r="F9" s="32" t="s">
        <v>34</v>
      </c>
      <c r="G9" s="32">
        <v>0.6</v>
      </c>
      <c r="H9" s="32" t="s">
        <v>34</v>
      </c>
      <c r="I9" s="32" t="s">
        <v>34</v>
      </c>
      <c r="J9" s="32">
        <v>1.2</v>
      </c>
      <c r="K9" s="32" t="s">
        <v>34</v>
      </c>
      <c r="L9" s="32">
        <v>0</v>
      </c>
      <c r="M9" s="32">
        <v>76</v>
      </c>
      <c r="N9" s="32">
        <v>1699.64</v>
      </c>
      <c r="O9" s="32">
        <v>0.74199999999999999</v>
      </c>
      <c r="P9" s="32">
        <v>0.502</v>
      </c>
      <c r="Q9" s="32">
        <v>0</v>
      </c>
      <c r="R9" s="32">
        <v>2.65</v>
      </c>
      <c r="S9" s="32" t="s">
        <v>34</v>
      </c>
      <c r="T9" s="32" t="s">
        <v>49</v>
      </c>
      <c r="U9" s="32" t="s">
        <v>50</v>
      </c>
      <c r="V9" s="32" t="s">
        <v>207</v>
      </c>
      <c r="W9" s="32" t="s">
        <v>34</v>
      </c>
      <c r="X9" s="33">
        <v>0.37</v>
      </c>
      <c r="Y9" s="33">
        <v>1.48</v>
      </c>
      <c r="Z9" s="13" t="s">
        <v>204</v>
      </c>
      <c r="AA9" s="31">
        <v>8.9249999999999996E-2</v>
      </c>
      <c r="AB9" s="32" t="s">
        <v>34</v>
      </c>
      <c r="AC9" s="33" t="s">
        <v>203</v>
      </c>
      <c r="AD9" s="32" t="s">
        <v>32</v>
      </c>
      <c r="AE9" s="33">
        <v>0.71450000000000002</v>
      </c>
      <c r="AF9" s="32" t="s">
        <v>238</v>
      </c>
      <c r="AG9" s="32">
        <v>2019</v>
      </c>
      <c r="AH9" s="32" t="s">
        <v>239</v>
      </c>
      <c r="AI9" s="10">
        <v>51</v>
      </c>
      <c r="AJ9" s="10">
        <v>2</v>
      </c>
      <c r="AK9" s="10">
        <v>1.2450000000000001</v>
      </c>
      <c r="AL9" s="2" t="s">
        <v>420</v>
      </c>
    </row>
    <row r="10" spans="1:42" s="34" customFormat="1" ht="16.2" thickBot="1" x14ac:dyDescent="0.35">
      <c r="A10" s="17">
        <v>0.49</v>
      </c>
      <c r="B10" s="17">
        <v>941</v>
      </c>
      <c r="C10" s="14" t="s">
        <v>33</v>
      </c>
      <c r="D10" s="14" t="s">
        <v>226</v>
      </c>
      <c r="E10" s="14" t="s">
        <v>170</v>
      </c>
      <c r="F10" s="14" t="s">
        <v>34</v>
      </c>
      <c r="G10" s="14">
        <v>0.6</v>
      </c>
      <c r="H10" s="14" t="s">
        <v>34</v>
      </c>
      <c r="I10" s="14" t="s">
        <v>34</v>
      </c>
      <c r="J10" s="14">
        <v>1.2</v>
      </c>
      <c r="K10" s="14" t="s">
        <v>34</v>
      </c>
      <c r="L10" s="14">
        <v>0</v>
      </c>
      <c r="M10" s="14">
        <v>76</v>
      </c>
      <c r="N10" s="14">
        <v>1699.64</v>
      </c>
      <c r="O10" s="14">
        <v>0.74199999999999999</v>
      </c>
      <c r="P10" s="14">
        <v>0.502</v>
      </c>
      <c r="Q10" s="14">
        <v>0</v>
      </c>
      <c r="R10" s="14">
        <v>2.65</v>
      </c>
      <c r="S10" s="14" t="s">
        <v>34</v>
      </c>
      <c r="T10" s="14" t="s">
        <v>49</v>
      </c>
      <c r="U10" s="14" t="s">
        <v>50</v>
      </c>
      <c r="V10" s="14" t="s">
        <v>207</v>
      </c>
      <c r="W10" s="14" t="s">
        <v>34</v>
      </c>
      <c r="X10" s="14">
        <v>0.37</v>
      </c>
      <c r="Y10" s="14">
        <v>1.48</v>
      </c>
      <c r="Z10" s="14" t="s">
        <v>204</v>
      </c>
      <c r="AA10" s="17">
        <v>8.9249999999999996E-2</v>
      </c>
      <c r="AB10" s="14" t="s">
        <v>34</v>
      </c>
      <c r="AC10" s="14" t="s">
        <v>203</v>
      </c>
      <c r="AD10" s="14" t="s">
        <v>32</v>
      </c>
      <c r="AE10" s="14">
        <v>0.71450000000000002</v>
      </c>
      <c r="AF10" s="14" t="s">
        <v>238</v>
      </c>
      <c r="AG10" s="14">
        <v>2019</v>
      </c>
      <c r="AH10" s="14" t="s">
        <v>239</v>
      </c>
      <c r="AI10" s="14">
        <v>51</v>
      </c>
      <c r="AJ10" s="14">
        <v>2</v>
      </c>
      <c r="AK10" s="14">
        <v>1.2450000000000001</v>
      </c>
      <c r="AL10" s="2" t="s">
        <v>420</v>
      </c>
      <c r="AN10" s="59"/>
      <c r="AO10" s="59"/>
      <c r="AP10" s="59"/>
    </row>
    <row r="11" spans="1:42" s="2" customFormat="1" ht="15.6" x14ac:dyDescent="0.3">
      <c r="A11" s="65">
        <v>1.0201691607026599</v>
      </c>
      <c r="B11" s="65">
        <v>4.8426150121067604</v>
      </c>
      <c r="C11" s="66" t="s">
        <v>34</v>
      </c>
      <c r="D11" s="66" t="s">
        <v>394</v>
      </c>
      <c r="E11" s="66" t="s">
        <v>387</v>
      </c>
      <c r="F11" s="66" t="s">
        <v>34</v>
      </c>
      <c r="G11" s="66" t="s">
        <v>34</v>
      </c>
      <c r="H11" s="13" t="s">
        <v>34</v>
      </c>
      <c r="I11" s="66" t="s">
        <v>34</v>
      </c>
      <c r="J11" s="66" t="s">
        <v>34</v>
      </c>
      <c r="K11" s="66" t="s">
        <v>34</v>
      </c>
      <c r="L11" s="66">
        <v>0</v>
      </c>
      <c r="M11" s="66">
        <v>34.1</v>
      </c>
      <c r="N11" s="66">
        <v>1400.49</v>
      </c>
      <c r="O11" s="66">
        <v>1.143</v>
      </c>
      <c r="P11" s="66">
        <v>0.84099999999999997</v>
      </c>
      <c r="Q11" s="66">
        <v>36.4</v>
      </c>
      <c r="R11" s="66">
        <v>2.8570000000000002</v>
      </c>
      <c r="S11" s="66" t="s">
        <v>34</v>
      </c>
      <c r="T11" s="66" t="s">
        <v>49</v>
      </c>
      <c r="U11" s="66" t="s">
        <v>362</v>
      </c>
      <c r="V11" s="66" t="s">
        <v>38</v>
      </c>
      <c r="W11" s="66" t="s">
        <v>43</v>
      </c>
      <c r="X11" s="66">
        <v>0.5</v>
      </c>
      <c r="Y11" s="66">
        <v>1</v>
      </c>
      <c r="Z11" s="66" t="s">
        <v>339</v>
      </c>
      <c r="AA11" s="66">
        <v>0.47339999999999999</v>
      </c>
      <c r="AB11" s="66" t="s">
        <v>34</v>
      </c>
      <c r="AC11" s="66" t="s">
        <v>391</v>
      </c>
      <c r="AD11" s="66" t="s">
        <v>277</v>
      </c>
      <c r="AE11" s="66">
        <v>0.86780000000000002</v>
      </c>
      <c r="AF11" s="66" t="s">
        <v>395</v>
      </c>
      <c r="AG11" s="66">
        <v>2024</v>
      </c>
      <c r="AH11" s="66" t="s">
        <v>396</v>
      </c>
      <c r="AI11" s="67">
        <v>50</v>
      </c>
      <c r="AJ11" s="67">
        <v>2</v>
      </c>
      <c r="AK11" s="67" t="s">
        <v>34</v>
      </c>
      <c r="AL11" s="2" t="str">
        <f t="shared" ref="AL11:AL53" si="0">CONCATENATE(AF11, " et al. (",AG11,")")</f>
        <v>Cui et al. (2024)</v>
      </c>
      <c r="AN11" s="73" t="s">
        <v>418</v>
      </c>
      <c r="AO11" s="10" t="s">
        <v>420</v>
      </c>
      <c r="AP11" s="10" t="s">
        <v>451</v>
      </c>
    </row>
    <row r="12" spans="1:42" s="2" customFormat="1" ht="15.6" x14ac:dyDescent="0.3">
      <c r="A12" s="11">
        <v>1.5510735198438499</v>
      </c>
      <c r="B12" s="11">
        <v>5.6497175141243998</v>
      </c>
      <c r="C12" s="10" t="s">
        <v>34</v>
      </c>
      <c r="D12" s="10" t="s">
        <v>394</v>
      </c>
      <c r="E12" s="10" t="s">
        <v>387</v>
      </c>
      <c r="F12" s="10" t="s">
        <v>34</v>
      </c>
      <c r="G12" s="10" t="s">
        <v>34</v>
      </c>
      <c r="H12" s="10" t="s">
        <v>34</v>
      </c>
      <c r="I12" s="10" t="s">
        <v>34</v>
      </c>
      <c r="J12" s="10" t="s">
        <v>34</v>
      </c>
      <c r="K12" s="10" t="s">
        <v>34</v>
      </c>
      <c r="L12" s="10">
        <v>0</v>
      </c>
      <c r="M12" s="10">
        <v>34.1</v>
      </c>
      <c r="N12" s="10">
        <v>1400.49</v>
      </c>
      <c r="O12" s="10">
        <v>1.143</v>
      </c>
      <c r="P12" s="10">
        <v>0.84099999999999997</v>
      </c>
      <c r="Q12" s="10">
        <v>36.4</v>
      </c>
      <c r="R12" s="10">
        <v>2.8570000000000002</v>
      </c>
      <c r="S12" s="10" t="s">
        <v>34</v>
      </c>
      <c r="T12" s="10" t="s">
        <v>49</v>
      </c>
      <c r="U12" s="10" t="s">
        <v>362</v>
      </c>
      <c r="V12" s="10" t="s">
        <v>38</v>
      </c>
      <c r="W12" s="10" t="s">
        <v>43</v>
      </c>
      <c r="X12" s="10">
        <v>0.5</v>
      </c>
      <c r="Y12" s="10">
        <v>1</v>
      </c>
      <c r="Z12" s="10" t="s">
        <v>339</v>
      </c>
      <c r="AA12" s="10">
        <v>0.47339999999999999</v>
      </c>
      <c r="AB12" s="10" t="s">
        <v>34</v>
      </c>
      <c r="AC12" s="10" t="s">
        <v>391</v>
      </c>
      <c r="AD12" s="10" t="s">
        <v>277</v>
      </c>
      <c r="AE12" s="10">
        <v>0.86780000000000002</v>
      </c>
      <c r="AF12" s="10" t="s">
        <v>395</v>
      </c>
      <c r="AG12" s="10">
        <v>2024</v>
      </c>
      <c r="AH12" s="10" t="s">
        <v>396</v>
      </c>
      <c r="AI12" s="2">
        <v>50</v>
      </c>
      <c r="AJ12" s="2">
        <v>2</v>
      </c>
      <c r="AK12" s="2" t="s">
        <v>34</v>
      </c>
      <c r="AL12" s="2" t="str">
        <f t="shared" si="0"/>
        <v>Cui et al. (2024)</v>
      </c>
      <c r="AN12" s="73" t="s">
        <v>425</v>
      </c>
      <c r="AO12" s="10" t="s">
        <v>452</v>
      </c>
      <c r="AP12" s="10" t="s">
        <v>453</v>
      </c>
    </row>
    <row r="13" spans="1:42" s="2" customFormat="1" ht="15.6" x14ac:dyDescent="0.3">
      <c r="A13" s="11">
        <v>2.6441119063109899</v>
      </c>
      <c r="B13" s="11">
        <v>16.9491525423729</v>
      </c>
      <c r="C13" s="10" t="s">
        <v>34</v>
      </c>
      <c r="D13" s="10" t="s">
        <v>394</v>
      </c>
      <c r="E13" s="10" t="s">
        <v>387</v>
      </c>
      <c r="F13" s="10" t="s">
        <v>34</v>
      </c>
      <c r="G13" s="10" t="s">
        <v>34</v>
      </c>
      <c r="H13" s="10" t="s">
        <v>34</v>
      </c>
      <c r="I13" s="10" t="s">
        <v>34</v>
      </c>
      <c r="J13" s="10" t="s">
        <v>34</v>
      </c>
      <c r="K13" s="10" t="s">
        <v>34</v>
      </c>
      <c r="L13" s="10">
        <v>0</v>
      </c>
      <c r="M13" s="10">
        <v>34.1</v>
      </c>
      <c r="N13" s="10">
        <v>1400.49</v>
      </c>
      <c r="O13" s="10">
        <v>1.143</v>
      </c>
      <c r="P13" s="10">
        <v>0.84099999999999997</v>
      </c>
      <c r="Q13" s="10">
        <v>36.4</v>
      </c>
      <c r="R13" s="10">
        <v>2.8570000000000002</v>
      </c>
      <c r="S13" s="10" t="s">
        <v>34</v>
      </c>
      <c r="T13" s="10" t="s">
        <v>49</v>
      </c>
      <c r="U13" s="10" t="s">
        <v>362</v>
      </c>
      <c r="V13" s="10" t="s">
        <v>38</v>
      </c>
      <c r="W13" s="10" t="s">
        <v>43</v>
      </c>
      <c r="X13" s="10">
        <v>0.5</v>
      </c>
      <c r="Y13" s="10">
        <v>1</v>
      </c>
      <c r="Z13" s="10" t="s">
        <v>339</v>
      </c>
      <c r="AA13" s="10">
        <v>0.47339999999999999</v>
      </c>
      <c r="AB13" s="10" t="s">
        <v>34</v>
      </c>
      <c r="AC13" s="10" t="s">
        <v>391</v>
      </c>
      <c r="AD13" s="10" t="s">
        <v>277</v>
      </c>
      <c r="AE13" s="10">
        <v>0.86780000000000002</v>
      </c>
      <c r="AF13" s="10" t="s">
        <v>395</v>
      </c>
      <c r="AG13" s="10">
        <v>2024</v>
      </c>
      <c r="AH13" s="10" t="s">
        <v>396</v>
      </c>
      <c r="AI13" s="2">
        <v>50</v>
      </c>
      <c r="AJ13" s="2">
        <v>2</v>
      </c>
      <c r="AK13" s="2" t="s">
        <v>34</v>
      </c>
      <c r="AL13" s="2" t="str">
        <f t="shared" si="0"/>
        <v>Cui et al. (2024)</v>
      </c>
      <c r="AN13" s="73" t="s">
        <v>4</v>
      </c>
      <c r="AO13" s="10" t="s">
        <v>170</v>
      </c>
      <c r="AP13" s="10" t="s">
        <v>387</v>
      </c>
    </row>
    <row r="14" spans="1:42" s="2" customFormat="1" ht="15.6" x14ac:dyDescent="0.3">
      <c r="A14" s="11">
        <v>3.38321405335068</v>
      </c>
      <c r="B14" s="11">
        <v>21.791767554479499</v>
      </c>
      <c r="C14" s="10" t="s">
        <v>34</v>
      </c>
      <c r="D14" s="10" t="s">
        <v>394</v>
      </c>
      <c r="E14" s="10" t="s">
        <v>387</v>
      </c>
      <c r="F14" s="10" t="s">
        <v>34</v>
      </c>
      <c r="G14" s="10" t="s">
        <v>34</v>
      </c>
      <c r="H14" s="10" t="s">
        <v>34</v>
      </c>
      <c r="I14" s="10" t="s">
        <v>34</v>
      </c>
      <c r="J14" s="10" t="s">
        <v>34</v>
      </c>
      <c r="K14" s="10" t="s">
        <v>34</v>
      </c>
      <c r="L14" s="10">
        <v>0</v>
      </c>
      <c r="M14" s="10">
        <v>34.1</v>
      </c>
      <c r="N14" s="10">
        <v>1400.49</v>
      </c>
      <c r="O14" s="10">
        <v>1.143</v>
      </c>
      <c r="P14" s="10">
        <v>0.84099999999999997</v>
      </c>
      <c r="Q14" s="10">
        <v>36.4</v>
      </c>
      <c r="R14" s="10">
        <v>2.8570000000000002</v>
      </c>
      <c r="S14" s="10" t="s">
        <v>34</v>
      </c>
      <c r="T14" s="10" t="s">
        <v>49</v>
      </c>
      <c r="U14" s="10" t="s">
        <v>362</v>
      </c>
      <c r="V14" s="10" t="s">
        <v>38</v>
      </c>
      <c r="W14" s="10" t="s">
        <v>43</v>
      </c>
      <c r="X14" s="10">
        <v>0.5</v>
      </c>
      <c r="Y14" s="10">
        <v>1</v>
      </c>
      <c r="Z14" s="10" t="s">
        <v>339</v>
      </c>
      <c r="AA14" s="10">
        <v>0.47339999999999999</v>
      </c>
      <c r="AB14" s="10" t="s">
        <v>34</v>
      </c>
      <c r="AC14" s="10" t="s">
        <v>391</v>
      </c>
      <c r="AD14" s="10" t="s">
        <v>277</v>
      </c>
      <c r="AE14" s="10">
        <v>0.86780000000000002</v>
      </c>
      <c r="AF14" s="10" t="s">
        <v>395</v>
      </c>
      <c r="AG14" s="10">
        <v>2024</v>
      </c>
      <c r="AH14" s="10" t="s">
        <v>396</v>
      </c>
      <c r="AI14" s="2">
        <v>50</v>
      </c>
      <c r="AJ14" s="2">
        <v>2</v>
      </c>
      <c r="AK14" s="2" t="s">
        <v>34</v>
      </c>
      <c r="AL14" s="2" t="str">
        <f t="shared" si="0"/>
        <v>Cui et al. (2024)</v>
      </c>
      <c r="AN14" s="73" t="s">
        <v>454</v>
      </c>
      <c r="AO14" s="107">
        <v>0.76</v>
      </c>
      <c r="AP14" s="107">
        <v>0.34</v>
      </c>
    </row>
    <row r="15" spans="1:42" s="2" customFormat="1" ht="15.6" x14ac:dyDescent="0.3">
      <c r="A15" s="11">
        <v>4.5178919973975296</v>
      </c>
      <c r="B15" s="11">
        <v>27.4414850686039</v>
      </c>
      <c r="C15" s="10" t="s">
        <v>34</v>
      </c>
      <c r="D15" s="10" t="s">
        <v>394</v>
      </c>
      <c r="E15" s="10" t="s">
        <v>387</v>
      </c>
      <c r="F15" s="10" t="s">
        <v>34</v>
      </c>
      <c r="G15" s="10" t="s">
        <v>34</v>
      </c>
      <c r="H15" s="10" t="s">
        <v>34</v>
      </c>
      <c r="I15" s="10" t="s">
        <v>34</v>
      </c>
      <c r="J15" s="10" t="s">
        <v>34</v>
      </c>
      <c r="K15" s="10" t="s">
        <v>34</v>
      </c>
      <c r="L15" s="10">
        <v>0</v>
      </c>
      <c r="M15" s="10">
        <v>34.1</v>
      </c>
      <c r="N15" s="10">
        <v>1400.49</v>
      </c>
      <c r="O15" s="10">
        <v>1.143</v>
      </c>
      <c r="P15" s="10">
        <v>0.84099999999999997</v>
      </c>
      <c r="Q15" s="10">
        <v>36.4</v>
      </c>
      <c r="R15" s="10">
        <v>2.8570000000000002</v>
      </c>
      <c r="S15" s="10" t="s">
        <v>34</v>
      </c>
      <c r="T15" s="10" t="s">
        <v>49</v>
      </c>
      <c r="U15" s="10" t="s">
        <v>362</v>
      </c>
      <c r="V15" s="10" t="s">
        <v>38</v>
      </c>
      <c r="W15" s="10" t="s">
        <v>43</v>
      </c>
      <c r="X15" s="10">
        <v>0.5</v>
      </c>
      <c r="Y15" s="10">
        <v>1</v>
      </c>
      <c r="Z15" s="10" t="s">
        <v>339</v>
      </c>
      <c r="AA15" s="10">
        <v>0.47339999999999999</v>
      </c>
      <c r="AB15" s="10" t="s">
        <v>34</v>
      </c>
      <c r="AC15" s="10" t="s">
        <v>391</v>
      </c>
      <c r="AD15" s="10" t="s">
        <v>277</v>
      </c>
      <c r="AE15" s="10">
        <v>0.86780000000000002</v>
      </c>
      <c r="AF15" s="10" t="s">
        <v>395</v>
      </c>
      <c r="AG15" s="10">
        <v>2024</v>
      </c>
      <c r="AH15" s="10" t="s">
        <v>396</v>
      </c>
      <c r="AI15" s="2">
        <v>50</v>
      </c>
      <c r="AJ15" s="2">
        <v>2</v>
      </c>
      <c r="AK15" s="2" t="s">
        <v>34</v>
      </c>
      <c r="AL15" s="2" t="str">
        <f t="shared" si="0"/>
        <v>Cui et al. (2024)</v>
      </c>
      <c r="AN15" s="73" t="s">
        <v>19</v>
      </c>
      <c r="AO15" s="10" t="s">
        <v>455</v>
      </c>
      <c r="AP15" s="10" t="s">
        <v>456</v>
      </c>
    </row>
    <row r="16" spans="1:42" s="2" customFormat="1" ht="31.2" x14ac:dyDescent="0.3">
      <c r="A16" s="11">
        <v>5.17371502927781</v>
      </c>
      <c r="B16" s="11">
        <v>38.7409200968522</v>
      </c>
      <c r="C16" s="10" t="s">
        <v>34</v>
      </c>
      <c r="D16" s="10" t="s">
        <v>394</v>
      </c>
      <c r="E16" s="10" t="s">
        <v>387</v>
      </c>
      <c r="F16" s="10" t="s">
        <v>34</v>
      </c>
      <c r="G16" s="10" t="s">
        <v>34</v>
      </c>
      <c r="H16" s="10" t="s">
        <v>34</v>
      </c>
      <c r="I16" s="10" t="s">
        <v>34</v>
      </c>
      <c r="J16" s="10" t="s">
        <v>34</v>
      </c>
      <c r="K16" s="10" t="s">
        <v>34</v>
      </c>
      <c r="L16" s="10">
        <v>0</v>
      </c>
      <c r="M16" s="10">
        <v>34.1</v>
      </c>
      <c r="N16" s="10">
        <v>1400.49</v>
      </c>
      <c r="O16" s="10">
        <v>1.143</v>
      </c>
      <c r="P16" s="10">
        <v>0.84099999999999997</v>
      </c>
      <c r="Q16" s="10">
        <v>36.4</v>
      </c>
      <c r="R16" s="10">
        <v>2.8570000000000002</v>
      </c>
      <c r="S16" s="10" t="s">
        <v>34</v>
      </c>
      <c r="T16" s="10" t="s">
        <v>49</v>
      </c>
      <c r="U16" s="10" t="s">
        <v>362</v>
      </c>
      <c r="V16" s="10" t="s">
        <v>38</v>
      </c>
      <c r="W16" s="10" t="s">
        <v>43</v>
      </c>
      <c r="X16" s="10">
        <v>0.5</v>
      </c>
      <c r="Y16" s="10">
        <v>1</v>
      </c>
      <c r="Z16" s="10" t="s">
        <v>339</v>
      </c>
      <c r="AA16" s="10">
        <v>0.47339999999999999</v>
      </c>
      <c r="AB16" s="10" t="s">
        <v>34</v>
      </c>
      <c r="AC16" s="10" t="s">
        <v>391</v>
      </c>
      <c r="AD16" s="10" t="s">
        <v>277</v>
      </c>
      <c r="AE16" s="10">
        <v>0.86780000000000002</v>
      </c>
      <c r="AF16" s="10" t="s">
        <v>395</v>
      </c>
      <c r="AG16" s="10">
        <v>2024</v>
      </c>
      <c r="AH16" s="10" t="s">
        <v>396</v>
      </c>
      <c r="AI16" s="2">
        <v>50</v>
      </c>
      <c r="AJ16" s="2">
        <v>2</v>
      </c>
      <c r="AK16" s="2" t="s">
        <v>34</v>
      </c>
      <c r="AL16" s="2" t="str">
        <f t="shared" si="0"/>
        <v>Cui et al. (2024)</v>
      </c>
      <c r="AN16" s="73" t="s">
        <v>457</v>
      </c>
      <c r="AO16" s="10" t="s">
        <v>458</v>
      </c>
      <c r="AP16" s="10" t="s">
        <v>459</v>
      </c>
    </row>
    <row r="17" spans="1:42" s="2" customFormat="1" ht="46.8" x14ac:dyDescent="0.3">
      <c r="A17" s="11">
        <v>5.8295380611581002</v>
      </c>
      <c r="B17" s="11">
        <v>58.111380145278503</v>
      </c>
      <c r="C17" s="10" t="s">
        <v>34</v>
      </c>
      <c r="D17" s="10" t="s">
        <v>394</v>
      </c>
      <c r="E17" s="10" t="s">
        <v>387</v>
      </c>
      <c r="F17" s="10" t="s">
        <v>34</v>
      </c>
      <c r="G17" s="10" t="s">
        <v>34</v>
      </c>
      <c r="H17" s="10" t="s">
        <v>34</v>
      </c>
      <c r="I17" s="10" t="s">
        <v>34</v>
      </c>
      <c r="J17" s="10" t="s">
        <v>34</v>
      </c>
      <c r="K17" s="10" t="s">
        <v>34</v>
      </c>
      <c r="L17" s="10">
        <v>0</v>
      </c>
      <c r="M17" s="10">
        <v>34.1</v>
      </c>
      <c r="N17" s="10">
        <v>1400.49</v>
      </c>
      <c r="O17" s="10">
        <v>1.143</v>
      </c>
      <c r="P17" s="10">
        <v>0.84099999999999997</v>
      </c>
      <c r="Q17" s="10">
        <v>36.4</v>
      </c>
      <c r="R17" s="10">
        <v>2.8570000000000002</v>
      </c>
      <c r="S17" s="10" t="s">
        <v>34</v>
      </c>
      <c r="T17" s="10" t="s">
        <v>49</v>
      </c>
      <c r="U17" s="10" t="s">
        <v>362</v>
      </c>
      <c r="V17" s="10" t="s">
        <v>38</v>
      </c>
      <c r="W17" s="10" t="s">
        <v>43</v>
      </c>
      <c r="X17" s="10">
        <v>0.5</v>
      </c>
      <c r="Y17" s="10">
        <v>1</v>
      </c>
      <c r="Z17" s="10" t="s">
        <v>339</v>
      </c>
      <c r="AA17" s="10">
        <v>0.47339999999999999</v>
      </c>
      <c r="AB17" s="10" t="s">
        <v>34</v>
      </c>
      <c r="AC17" s="10" t="s">
        <v>391</v>
      </c>
      <c r="AD17" s="10" t="s">
        <v>277</v>
      </c>
      <c r="AE17" s="10">
        <v>0.86780000000000002</v>
      </c>
      <c r="AF17" s="10" t="s">
        <v>395</v>
      </c>
      <c r="AG17" s="10">
        <v>2024</v>
      </c>
      <c r="AH17" s="10" t="s">
        <v>396</v>
      </c>
      <c r="AI17" s="2">
        <v>50</v>
      </c>
      <c r="AJ17" s="2">
        <v>2</v>
      </c>
      <c r="AK17" s="2" t="s">
        <v>34</v>
      </c>
      <c r="AL17" s="2" t="str">
        <f t="shared" si="0"/>
        <v>Cui et al. (2024)</v>
      </c>
      <c r="AN17" s="73" t="s">
        <v>460</v>
      </c>
      <c r="AO17" s="73" t="s">
        <v>461</v>
      </c>
      <c r="AP17" s="73" t="s">
        <v>462</v>
      </c>
    </row>
    <row r="18" spans="1:42" s="2" customFormat="1" ht="15.6" x14ac:dyDescent="0.3">
      <c r="A18" s="11">
        <v>6.91216655823031</v>
      </c>
      <c r="B18" s="11">
        <v>30.669895076674901</v>
      </c>
      <c r="C18" s="10" t="s">
        <v>34</v>
      </c>
      <c r="D18" s="10" t="s">
        <v>394</v>
      </c>
      <c r="E18" s="10" t="s">
        <v>387</v>
      </c>
      <c r="F18" s="10" t="s">
        <v>34</v>
      </c>
      <c r="G18" s="10" t="s">
        <v>34</v>
      </c>
      <c r="H18" s="10" t="s">
        <v>34</v>
      </c>
      <c r="I18" s="10" t="s">
        <v>34</v>
      </c>
      <c r="J18" s="10" t="s">
        <v>34</v>
      </c>
      <c r="K18" s="10" t="s">
        <v>34</v>
      </c>
      <c r="L18" s="10">
        <v>0</v>
      </c>
      <c r="M18" s="10">
        <v>34.1</v>
      </c>
      <c r="N18" s="10">
        <v>1400.49</v>
      </c>
      <c r="O18" s="10">
        <v>1.143</v>
      </c>
      <c r="P18" s="10">
        <v>0.84099999999999997</v>
      </c>
      <c r="Q18" s="10">
        <v>36.4</v>
      </c>
      <c r="R18" s="10">
        <v>2.8570000000000002</v>
      </c>
      <c r="S18" s="10" t="s">
        <v>34</v>
      </c>
      <c r="T18" s="10" t="s">
        <v>49</v>
      </c>
      <c r="U18" s="10" t="s">
        <v>362</v>
      </c>
      <c r="V18" s="10" t="s">
        <v>38</v>
      </c>
      <c r="W18" s="10" t="s">
        <v>43</v>
      </c>
      <c r="X18" s="10">
        <v>0.5</v>
      </c>
      <c r="Y18" s="10">
        <v>1</v>
      </c>
      <c r="Z18" s="10" t="s">
        <v>339</v>
      </c>
      <c r="AA18" s="10">
        <v>0.47339999999999999</v>
      </c>
      <c r="AB18" s="10" t="s">
        <v>34</v>
      </c>
      <c r="AC18" s="10" t="s">
        <v>391</v>
      </c>
      <c r="AD18" s="10" t="s">
        <v>277</v>
      </c>
      <c r="AE18" s="10">
        <v>0.86780000000000002</v>
      </c>
      <c r="AF18" s="10" t="s">
        <v>395</v>
      </c>
      <c r="AG18" s="10">
        <v>2024</v>
      </c>
      <c r="AH18" s="10" t="s">
        <v>396</v>
      </c>
      <c r="AI18" s="2">
        <v>50</v>
      </c>
      <c r="AJ18" s="2">
        <v>2</v>
      </c>
      <c r="AK18" s="2" t="s">
        <v>34</v>
      </c>
      <c r="AL18" s="2" t="str">
        <f t="shared" si="0"/>
        <v>Cui et al. (2024)</v>
      </c>
    </row>
    <row r="19" spans="1:42" s="2" customFormat="1" ht="15.6" x14ac:dyDescent="0.3">
      <c r="A19" s="11">
        <v>6.6206896551724101</v>
      </c>
      <c r="B19" s="11">
        <v>45.197740112994502</v>
      </c>
      <c r="C19" s="10" t="s">
        <v>34</v>
      </c>
      <c r="D19" s="10" t="s">
        <v>394</v>
      </c>
      <c r="E19" s="10" t="s">
        <v>387</v>
      </c>
      <c r="F19" s="10" t="s">
        <v>34</v>
      </c>
      <c r="G19" s="10" t="s">
        <v>34</v>
      </c>
      <c r="H19" s="10" t="s">
        <v>34</v>
      </c>
      <c r="I19" s="10" t="s">
        <v>34</v>
      </c>
      <c r="J19" s="10" t="s">
        <v>34</v>
      </c>
      <c r="K19" s="10" t="s">
        <v>34</v>
      </c>
      <c r="L19" s="10">
        <v>0</v>
      </c>
      <c r="M19" s="10">
        <v>34.1</v>
      </c>
      <c r="N19" s="10">
        <v>1400.49</v>
      </c>
      <c r="O19" s="10">
        <v>1.143</v>
      </c>
      <c r="P19" s="10">
        <v>0.84099999999999997</v>
      </c>
      <c r="Q19" s="10">
        <v>36.4</v>
      </c>
      <c r="R19" s="10">
        <v>2.8570000000000002</v>
      </c>
      <c r="S19" s="10" t="s">
        <v>34</v>
      </c>
      <c r="T19" s="10" t="s">
        <v>49</v>
      </c>
      <c r="U19" s="10" t="s">
        <v>362</v>
      </c>
      <c r="V19" s="10" t="s">
        <v>38</v>
      </c>
      <c r="W19" s="10" t="s">
        <v>43</v>
      </c>
      <c r="X19" s="10">
        <v>0.5</v>
      </c>
      <c r="Y19" s="10">
        <v>1</v>
      </c>
      <c r="Z19" s="10" t="s">
        <v>339</v>
      </c>
      <c r="AA19" s="10">
        <v>0.47339999999999999</v>
      </c>
      <c r="AB19" s="10" t="s">
        <v>34</v>
      </c>
      <c r="AC19" s="10" t="s">
        <v>391</v>
      </c>
      <c r="AD19" s="10" t="s">
        <v>277</v>
      </c>
      <c r="AE19" s="10">
        <v>0.86780000000000002</v>
      </c>
      <c r="AF19" s="10" t="s">
        <v>395</v>
      </c>
      <c r="AG19" s="10">
        <v>2024</v>
      </c>
      <c r="AH19" s="10" t="s">
        <v>396</v>
      </c>
      <c r="AI19" s="2">
        <v>50</v>
      </c>
      <c r="AJ19" s="2">
        <v>2</v>
      </c>
      <c r="AK19" s="2" t="s">
        <v>34</v>
      </c>
      <c r="AL19" s="2" t="str">
        <f t="shared" si="0"/>
        <v>Cui et al. (2024)</v>
      </c>
    </row>
    <row r="20" spans="1:42" s="2" customFormat="1" ht="15.6" x14ac:dyDescent="0.3">
      <c r="A20" s="11">
        <v>6.5270006506180804</v>
      </c>
      <c r="B20" s="11">
        <v>58.111380145278503</v>
      </c>
      <c r="C20" s="10" t="s">
        <v>34</v>
      </c>
      <c r="D20" s="10" t="s">
        <v>394</v>
      </c>
      <c r="E20" s="10" t="s">
        <v>387</v>
      </c>
      <c r="F20" s="10" t="s">
        <v>34</v>
      </c>
      <c r="G20" s="10" t="s">
        <v>34</v>
      </c>
      <c r="H20" s="10" t="s">
        <v>34</v>
      </c>
      <c r="I20" s="10" t="s">
        <v>34</v>
      </c>
      <c r="J20" s="10" t="s">
        <v>34</v>
      </c>
      <c r="K20" s="10" t="s">
        <v>34</v>
      </c>
      <c r="L20" s="10">
        <v>0</v>
      </c>
      <c r="M20" s="10">
        <v>34.1</v>
      </c>
      <c r="N20" s="10">
        <v>1400.49</v>
      </c>
      <c r="O20" s="10">
        <v>1.143</v>
      </c>
      <c r="P20" s="10">
        <v>0.84099999999999997</v>
      </c>
      <c r="Q20" s="10">
        <v>36.4</v>
      </c>
      <c r="R20" s="10">
        <v>2.8570000000000002</v>
      </c>
      <c r="S20" s="10" t="s">
        <v>34</v>
      </c>
      <c r="T20" s="10" t="s">
        <v>49</v>
      </c>
      <c r="U20" s="10" t="s">
        <v>362</v>
      </c>
      <c r="V20" s="10" t="s">
        <v>38</v>
      </c>
      <c r="W20" s="10" t="s">
        <v>43</v>
      </c>
      <c r="X20" s="10">
        <v>0.5</v>
      </c>
      <c r="Y20" s="10">
        <v>1</v>
      </c>
      <c r="Z20" s="10" t="s">
        <v>339</v>
      </c>
      <c r="AA20" s="10">
        <v>0.47339999999999999</v>
      </c>
      <c r="AB20" s="10" t="s">
        <v>34</v>
      </c>
      <c r="AC20" s="10" t="s">
        <v>391</v>
      </c>
      <c r="AD20" s="10" t="s">
        <v>277</v>
      </c>
      <c r="AE20" s="10">
        <v>0.86780000000000002</v>
      </c>
      <c r="AF20" s="10" t="s">
        <v>395</v>
      </c>
      <c r="AG20" s="10">
        <v>2024</v>
      </c>
      <c r="AH20" s="10" t="s">
        <v>396</v>
      </c>
      <c r="AI20" s="2">
        <v>50</v>
      </c>
      <c r="AJ20" s="2">
        <v>2</v>
      </c>
      <c r="AK20" s="2" t="s">
        <v>34</v>
      </c>
      <c r="AL20" s="2" t="str">
        <f t="shared" si="0"/>
        <v>Cui et al. (2024)</v>
      </c>
    </row>
    <row r="21" spans="1:42" s="2" customFormat="1" ht="15.6" x14ac:dyDescent="0.3">
      <c r="A21" s="11">
        <v>6.46454131424853</v>
      </c>
      <c r="B21" s="11">
        <v>92.009685230024104</v>
      </c>
      <c r="C21" s="10" t="s">
        <v>34</v>
      </c>
      <c r="D21" s="10" t="s">
        <v>394</v>
      </c>
      <c r="E21" s="10" t="s">
        <v>387</v>
      </c>
      <c r="F21" s="10" t="s">
        <v>34</v>
      </c>
      <c r="G21" s="10" t="s">
        <v>34</v>
      </c>
      <c r="H21" s="10" t="s">
        <v>34</v>
      </c>
      <c r="I21" s="10" t="s">
        <v>34</v>
      </c>
      <c r="J21" s="10" t="s">
        <v>34</v>
      </c>
      <c r="K21" s="10" t="s">
        <v>34</v>
      </c>
      <c r="L21" s="10">
        <v>0</v>
      </c>
      <c r="M21" s="10">
        <v>34.1</v>
      </c>
      <c r="N21" s="10">
        <v>1400.49</v>
      </c>
      <c r="O21" s="10">
        <v>1.143</v>
      </c>
      <c r="P21" s="10">
        <v>0.84099999999999997</v>
      </c>
      <c r="Q21" s="10">
        <v>36.4</v>
      </c>
      <c r="R21" s="10">
        <v>2.8570000000000002</v>
      </c>
      <c r="S21" s="10" t="s">
        <v>34</v>
      </c>
      <c r="T21" s="10" t="s">
        <v>49</v>
      </c>
      <c r="U21" s="10" t="s">
        <v>362</v>
      </c>
      <c r="V21" s="10" t="s">
        <v>38</v>
      </c>
      <c r="W21" s="10" t="s">
        <v>43</v>
      </c>
      <c r="X21" s="10">
        <v>0.5</v>
      </c>
      <c r="Y21" s="10">
        <v>1</v>
      </c>
      <c r="Z21" s="10" t="s">
        <v>339</v>
      </c>
      <c r="AA21" s="10">
        <v>0.47339999999999999</v>
      </c>
      <c r="AB21" s="10" t="s">
        <v>34</v>
      </c>
      <c r="AC21" s="10" t="s">
        <v>391</v>
      </c>
      <c r="AD21" s="10" t="s">
        <v>277</v>
      </c>
      <c r="AE21" s="10">
        <v>0.86780000000000002</v>
      </c>
      <c r="AF21" s="10" t="s">
        <v>395</v>
      </c>
      <c r="AG21" s="10">
        <v>2024</v>
      </c>
      <c r="AH21" s="10" t="s">
        <v>396</v>
      </c>
      <c r="AI21" s="2">
        <v>50</v>
      </c>
      <c r="AJ21" s="2">
        <v>2</v>
      </c>
      <c r="AK21" s="2" t="s">
        <v>34</v>
      </c>
      <c r="AL21" s="2" t="str">
        <f t="shared" si="0"/>
        <v>Cui et al. (2024)</v>
      </c>
    </row>
    <row r="22" spans="1:42" s="2" customFormat="1" ht="15.6" x14ac:dyDescent="0.3">
      <c r="A22" s="11">
        <v>7.2036434612882196</v>
      </c>
      <c r="B22" s="11">
        <v>77.481840193704599</v>
      </c>
      <c r="C22" s="10" t="s">
        <v>34</v>
      </c>
      <c r="D22" s="10" t="s">
        <v>394</v>
      </c>
      <c r="E22" s="10" t="s">
        <v>387</v>
      </c>
      <c r="F22" s="10" t="s">
        <v>34</v>
      </c>
      <c r="G22" s="10" t="s">
        <v>34</v>
      </c>
      <c r="H22" s="10" t="s">
        <v>34</v>
      </c>
      <c r="I22" s="10" t="s">
        <v>34</v>
      </c>
      <c r="J22" s="10" t="s">
        <v>34</v>
      </c>
      <c r="K22" s="10" t="s">
        <v>34</v>
      </c>
      <c r="L22" s="10">
        <v>0</v>
      </c>
      <c r="M22" s="10">
        <v>34.1</v>
      </c>
      <c r="N22" s="10">
        <v>1400.49</v>
      </c>
      <c r="O22" s="10">
        <v>1.143</v>
      </c>
      <c r="P22" s="10">
        <v>0.84099999999999997</v>
      </c>
      <c r="Q22" s="10">
        <v>36.4</v>
      </c>
      <c r="R22" s="10">
        <v>2.8570000000000002</v>
      </c>
      <c r="S22" s="10" t="s">
        <v>34</v>
      </c>
      <c r="T22" s="10" t="s">
        <v>49</v>
      </c>
      <c r="U22" s="10" t="s">
        <v>362</v>
      </c>
      <c r="V22" s="10" t="s">
        <v>38</v>
      </c>
      <c r="W22" s="10" t="s">
        <v>43</v>
      </c>
      <c r="X22" s="10">
        <v>0.5</v>
      </c>
      <c r="Y22" s="10">
        <v>1</v>
      </c>
      <c r="Z22" s="10" t="s">
        <v>339</v>
      </c>
      <c r="AA22" s="10">
        <v>0.47339999999999999</v>
      </c>
      <c r="AB22" s="10" t="s">
        <v>34</v>
      </c>
      <c r="AC22" s="10" t="s">
        <v>391</v>
      </c>
      <c r="AD22" s="10" t="s">
        <v>277</v>
      </c>
      <c r="AE22" s="10">
        <v>0.86780000000000002</v>
      </c>
      <c r="AF22" s="10" t="s">
        <v>395</v>
      </c>
      <c r="AG22" s="10">
        <v>2024</v>
      </c>
      <c r="AH22" s="10" t="s">
        <v>396</v>
      </c>
      <c r="AI22" s="2">
        <v>50</v>
      </c>
      <c r="AJ22" s="2">
        <v>2</v>
      </c>
      <c r="AK22" s="2" t="s">
        <v>34</v>
      </c>
      <c r="AL22" s="2" t="str">
        <f t="shared" si="0"/>
        <v>Cui et al. (2024)</v>
      </c>
    </row>
    <row r="23" spans="1:42" s="2" customFormat="1" ht="15.6" x14ac:dyDescent="0.3">
      <c r="A23" s="11">
        <v>3.82042940793754</v>
      </c>
      <c r="B23" s="11">
        <v>118.64406779661</v>
      </c>
      <c r="C23" s="10" t="s">
        <v>34</v>
      </c>
      <c r="D23" s="10" t="s">
        <v>394</v>
      </c>
      <c r="E23" s="10" t="s">
        <v>387</v>
      </c>
      <c r="F23" s="10" t="s">
        <v>34</v>
      </c>
      <c r="G23" s="10" t="s">
        <v>34</v>
      </c>
      <c r="H23" s="10" t="s">
        <v>34</v>
      </c>
      <c r="I23" s="10" t="s">
        <v>34</v>
      </c>
      <c r="J23" s="10" t="s">
        <v>34</v>
      </c>
      <c r="K23" s="10" t="s">
        <v>34</v>
      </c>
      <c r="L23" s="10">
        <v>0</v>
      </c>
      <c r="M23" s="10">
        <v>34.1</v>
      </c>
      <c r="N23" s="10">
        <v>1400.49</v>
      </c>
      <c r="O23" s="10">
        <v>1.143</v>
      </c>
      <c r="P23" s="10">
        <v>0.84099999999999997</v>
      </c>
      <c r="Q23" s="10">
        <v>36.4</v>
      </c>
      <c r="R23" s="10">
        <v>2.8570000000000002</v>
      </c>
      <c r="S23" s="10" t="s">
        <v>34</v>
      </c>
      <c r="T23" s="10" t="s">
        <v>49</v>
      </c>
      <c r="U23" s="10" t="s">
        <v>362</v>
      </c>
      <c r="V23" s="10" t="s">
        <v>38</v>
      </c>
      <c r="W23" s="10" t="s">
        <v>43</v>
      </c>
      <c r="X23" s="10">
        <v>0.5</v>
      </c>
      <c r="Y23" s="10">
        <v>1</v>
      </c>
      <c r="Z23" s="10" t="s">
        <v>339</v>
      </c>
      <c r="AA23" s="10">
        <v>0.31900000000000001</v>
      </c>
      <c r="AB23" s="10" t="s">
        <v>34</v>
      </c>
      <c r="AC23" s="10" t="s">
        <v>397</v>
      </c>
      <c r="AD23" s="10" t="s">
        <v>277</v>
      </c>
      <c r="AE23" s="10">
        <v>0.86780000000000002</v>
      </c>
      <c r="AF23" s="10" t="s">
        <v>395</v>
      </c>
      <c r="AG23" s="10">
        <v>2024</v>
      </c>
      <c r="AH23" s="10" t="s">
        <v>396</v>
      </c>
      <c r="AI23" s="2">
        <v>50</v>
      </c>
      <c r="AJ23" s="2">
        <v>2</v>
      </c>
      <c r="AK23" s="2" t="s">
        <v>34</v>
      </c>
      <c r="AL23" s="2" t="str">
        <f t="shared" si="0"/>
        <v>Cui et al. (2024)</v>
      </c>
    </row>
    <row r="24" spans="1:42" s="2" customFormat="1" ht="15.6" x14ac:dyDescent="0.3">
      <c r="A24" s="11">
        <v>4.1431359791802196</v>
      </c>
      <c r="B24" s="11">
        <v>127.522195318805</v>
      </c>
      <c r="C24" s="10" t="s">
        <v>34</v>
      </c>
      <c r="D24" s="10" t="s">
        <v>394</v>
      </c>
      <c r="E24" s="10" t="s">
        <v>387</v>
      </c>
      <c r="F24" s="10" t="s">
        <v>34</v>
      </c>
      <c r="G24" s="10" t="s">
        <v>34</v>
      </c>
      <c r="H24" s="10" t="s">
        <v>34</v>
      </c>
      <c r="I24" s="10" t="s">
        <v>34</v>
      </c>
      <c r="J24" s="10" t="s">
        <v>34</v>
      </c>
      <c r="K24" s="10" t="s">
        <v>34</v>
      </c>
      <c r="L24" s="10">
        <v>0</v>
      </c>
      <c r="M24" s="10">
        <v>34.1</v>
      </c>
      <c r="N24" s="10">
        <v>1400.49</v>
      </c>
      <c r="O24" s="10">
        <v>1.143</v>
      </c>
      <c r="P24" s="10">
        <v>0.84099999999999997</v>
      </c>
      <c r="Q24" s="10">
        <v>36.4</v>
      </c>
      <c r="R24" s="10">
        <v>2.8570000000000002</v>
      </c>
      <c r="S24" s="10" t="s">
        <v>34</v>
      </c>
      <c r="T24" s="10" t="s">
        <v>49</v>
      </c>
      <c r="U24" s="10" t="s">
        <v>362</v>
      </c>
      <c r="V24" s="10" t="s">
        <v>38</v>
      </c>
      <c r="W24" s="10" t="s">
        <v>43</v>
      </c>
      <c r="X24" s="10">
        <v>0.5</v>
      </c>
      <c r="Y24" s="10">
        <v>1</v>
      </c>
      <c r="Z24" s="10" t="s">
        <v>339</v>
      </c>
      <c r="AA24" s="10">
        <v>0.31900000000000001</v>
      </c>
      <c r="AB24" s="10" t="s">
        <v>34</v>
      </c>
      <c r="AC24" s="10" t="s">
        <v>397</v>
      </c>
      <c r="AD24" s="10" t="s">
        <v>277</v>
      </c>
      <c r="AE24" s="10">
        <v>0.86780000000000002</v>
      </c>
      <c r="AF24" s="10" t="s">
        <v>395</v>
      </c>
      <c r="AG24" s="10">
        <v>2024</v>
      </c>
      <c r="AH24" s="10" t="s">
        <v>396</v>
      </c>
      <c r="AI24" s="2">
        <v>50</v>
      </c>
      <c r="AJ24" s="2">
        <v>2</v>
      </c>
      <c r="AK24" s="2" t="s">
        <v>34</v>
      </c>
      <c r="AL24" s="2" t="str">
        <f t="shared" si="0"/>
        <v>Cui et al. (2024)</v>
      </c>
    </row>
    <row r="25" spans="1:42" s="2" customFormat="1" ht="15.6" x14ac:dyDescent="0.3">
      <c r="A25" s="11">
        <v>4.90305790500976</v>
      </c>
      <c r="B25" s="11">
        <v>121.872477804681</v>
      </c>
      <c r="C25" s="10" t="s">
        <v>34</v>
      </c>
      <c r="D25" s="10" t="s">
        <v>394</v>
      </c>
      <c r="E25" s="10" t="s">
        <v>387</v>
      </c>
      <c r="F25" s="10" t="s">
        <v>34</v>
      </c>
      <c r="G25" s="10" t="s">
        <v>34</v>
      </c>
      <c r="H25" s="10" t="s">
        <v>34</v>
      </c>
      <c r="I25" s="10" t="s">
        <v>34</v>
      </c>
      <c r="J25" s="10" t="s">
        <v>34</v>
      </c>
      <c r="K25" s="10" t="s">
        <v>34</v>
      </c>
      <c r="L25" s="10">
        <v>0</v>
      </c>
      <c r="M25" s="10">
        <v>34.1</v>
      </c>
      <c r="N25" s="10">
        <v>1400.49</v>
      </c>
      <c r="O25" s="10">
        <v>1.143</v>
      </c>
      <c r="P25" s="10">
        <v>0.84099999999999997</v>
      </c>
      <c r="Q25" s="10">
        <v>36.4</v>
      </c>
      <c r="R25" s="10">
        <v>2.8570000000000002</v>
      </c>
      <c r="S25" s="10" t="s">
        <v>34</v>
      </c>
      <c r="T25" s="10" t="s">
        <v>49</v>
      </c>
      <c r="U25" s="10" t="s">
        <v>362</v>
      </c>
      <c r="V25" s="10" t="s">
        <v>38</v>
      </c>
      <c r="W25" s="10" t="s">
        <v>43</v>
      </c>
      <c r="X25" s="10">
        <v>0.5</v>
      </c>
      <c r="Y25" s="10">
        <v>1</v>
      </c>
      <c r="Z25" s="10" t="s">
        <v>339</v>
      </c>
      <c r="AA25" s="10">
        <v>0.31900000000000001</v>
      </c>
      <c r="AB25" s="10" t="s">
        <v>34</v>
      </c>
      <c r="AC25" s="10" t="s">
        <v>397</v>
      </c>
      <c r="AD25" s="10" t="s">
        <v>277</v>
      </c>
      <c r="AE25" s="10">
        <v>0.86780000000000002</v>
      </c>
      <c r="AF25" s="10" t="s">
        <v>395</v>
      </c>
      <c r="AG25" s="10">
        <v>2024</v>
      </c>
      <c r="AH25" s="10" t="s">
        <v>396</v>
      </c>
      <c r="AI25" s="2">
        <v>50</v>
      </c>
      <c r="AJ25" s="2">
        <v>2</v>
      </c>
      <c r="AK25" s="2" t="s">
        <v>34</v>
      </c>
      <c r="AL25" s="2" t="str">
        <f t="shared" si="0"/>
        <v>Cui et al. (2024)</v>
      </c>
    </row>
    <row r="26" spans="1:42" s="2" customFormat="1" ht="15.6" x14ac:dyDescent="0.3">
      <c r="A26" s="11">
        <v>7.5679895901106002</v>
      </c>
      <c r="B26" s="11">
        <v>238.902340597256</v>
      </c>
      <c r="C26" s="10" t="s">
        <v>34</v>
      </c>
      <c r="D26" s="10" t="s">
        <v>394</v>
      </c>
      <c r="E26" s="10" t="s">
        <v>387</v>
      </c>
      <c r="F26" s="10" t="s">
        <v>34</v>
      </c>
      <c r="G26" s="10" t="s">
        <v>34</v>
      </c>
      <c r="H26" s="10" t="s">
        <v>34</v>
      </c>
      <c r="I26" s="10" t="s">
        <v>34</v>
      </c>
      <c r="J26" s="10" t="s">
        <v>34</v>
      </c>
      <c r="K26" s="10" t="s">
        <v>34</v>
      </c>
      <c r="L26" s="10">
        <v>0</v>
      </c>
      <c r="M26" s="10">
        <v>34.1</v>
      </c>
      <c r="N26" s="10">
        <v>1400.49</v>
      </c>
      <c r="O26" s="10">
        <v>1.143</v>
      </c>
      <c r="P26" s="10">
        <v>0.84099999999999997</v>
      </c>
      <c r="Q26" s="10">
        <v>36.4</v>
      </c>
      <c r="R26" s="10">
        <v>2.8570000000000002</v>
      </c>
      <c r="S26" s="10" t="s">
        <v>34</v>
      </c>
      <c r="T26" s="10" t="s">
        <v>49</v>
      </c>
      <c r="U26" s="10" t="s">
        <v>362</v>
      </c>
      <c r="V26" s="10" t="s">
        <v>38</v>
      </c>
      <c r="W26" s="10" t="s">
        <v>43</v>
      </c>
      <c r="X26" s="10">
        <v>0.5</v>
      </c>
      <c r="Y26" s="10">
        <v>1</v>
      </c>
      <c r="Z26" s="10" t="s">
        <v>339</v>
      </c>
      <c r="AA26" s="10">
        <v>0.31900000000000001</v>
      </c>
      <c r="AB26" s="10" t="s">
        <v>34</v>
      </c>
      <c r="AC26" s="10" t="s">
        <v>397</v>
      </c>
      <c r="AD26" s="10" t="s">
        <v>277</v>
      </c>
      <c r="AE26" s="10">
        <v>0.86780000000000002</v>
      </c>
      <c r="AF26" s="10" t="s">
        <v>395</v>
      </c>
      <c r="AG26" s="10">
        <v>2024</v>
      </c>
      <c r="AH26" s="10" t="s">
        <v>396</v>
      </c>
      <c r="AI26" s="2">
        <v>50</v>
      </c>
      <c r="AJ26" s="2">
        <v>2</v>
      </c>
      <c r="AK26" s="2" t="s">
        <v>34</v>
      </c>
      <c r="AL26" s="2" t="str">
        <f t="shared" si="0"/>
        <v>Cui et al. (2024)</v>
      </c>
    </row>
    <row r="27" spans="1:42" s="2" customFormat="1" ht="15.6" x14ac:dyDescent="0.3">
      <c r="A27" s="11">
        <v>7.5783994795055296</v>
      </c>
      <c r="B27" s="11">
        <v>207.42534301856301</v>
      </c>
      <c r="C27" s="10" t="s">
        <v>34</v>
      </c>
      <c r="D27" s="10" t="s">
        <v>394</v>
      </c>
      <c r="E27" s="10" t="s">
        <v>387</v>
      </c>
      <c r="F27" s="10" t="s">
        <v>34</v>
      </c>
      <c r="G27" s="10" t="s">
        <v>34</v>
      </c>
      <c r="H27" s="10" t="s">
        <v>34</v>
      </c>
      <c r="I27" s="10" t="s">
        <v>34</v>
      </c>
      <c r="J27" s="10" t="s">
        <v>34</v>
      </c>
      <c r="K27" s="10" t="s">
        <v>34</v>
      </c>
      <c r="L27" s="10">
        <v>0</v>
      </c>
      <c r="M27" s="10">
        <v>34.1</v>
      </c>
      <c r="N27" s="10">
        <v>1400.49</v>
      </c>
      <c r="O27" s="10">
        <v>1.143</v>
      </c>
      <c r="P27" s="10">
        <v>0.84099999999999997</v>
      </c>
      <c r="Q27" s="10">
        <v>36.4</v>
      </c>
      <c r="R27" s="10">
        <v>2.8570000000000002</v>
      </c>
      <c r="S27" s="10" t="s">
        <v>34</v>
      </c>
      <c r="T27" s="10" t="s">
        <v>49</v>
      </c>
      <c r="U27" s="10" t="s">
        <v>362</v>
      </c>
      <c r="V27" s="10" t="s">
        <v>38</v>
      </c>
      <c r="W27" s="10" t="s">
        <v>43</v>
      </c>
      <c r="X27" s="10">
        <v>0.5</v>
      </c>
      <c r="Y27" s="10">
        <v>1</v>
      </c>
      <c r="Z27" s="10" t="s">
        <v>339</v>
      </c>
      <c r="AA27" s="10">
        <v>0.31900000000000001</v>
      </c>
      <c r="AB27" s="10" t="s">
        <v>34</v>
      </c>
      <c r="AC27" s="10" t="s">
        <v>397</v>
      </c>
      <c r="AD27" s="10" t="s">
        <v>277</v>
      </c>
      <c r="AE27" s="10">
        <v>0.86780000000000002</v>
      </c>
      <c r="AF27" s="10" t="s">
        <v>395</v>
      </c>
      <c r="AG27" s="10">
        <v>2024</v>
      </c>
      <c r="AH27" s="10" t="s">
        <v>396</v>
      </c>
      <c r="AI27" s="2">
        <v>50</v>
      </c>
      <c r="AJ27" s="2">
        <v>2</v>
      </c>
      <c r="AK27" s="2" t="s">
        <v>34</v>
      </c>
      <c r="AL27" s="2" t="str">
        <f t="shared" si="0"/>
        <v>Cui et al. (2024)</v>
      </c>
    </row>
    <row r="28" spans="1:42" s="2" customFormat="1" ht="15.6" x14ac:dyDescent="0.3">
      <c r="A28" s="11">
        <v>9.8789850357839892</v>
      </c>
      <c r="B28" s="11">
        <v>305.08474576271101</v>
      </c>
      <c r="C28" s="10" t="s">
        <v>34</v>
      </c>
      <c r="D28" s="10" t="s">
        <v>394</v>
      </c>
      <c r="E28" s="10" t="s">
        <v>387</v>
      </c>
      <c r="F28" s="10" t="s">
        <v>34</v>
      </c>
      <c r="G28" s="10" t="s">
        <v>34</v>
      </c>
      <c r="H28" s="10" t="s">
        <v>34</v>
      </c>
      <c r="I28" s="10" t="s">
        <v>34</v>
      </c>
      <c r="J28" s="10" t="s">
        <v>34</v>
      </c>
      <c r="K28" s="10" t="s">
        <v>34</v>
      </c>
      <c r="L28" s="10">
        <v>0</v>
      </c>
      <c r="M28" s="10">
        <v>34.1</v>
      </c>
      <c r="N28" s="10">
        <v>1400.49</v>
      </c>
      <c r="O28" s="10">
        <v>1.143</v>
      </c>
      <c r="P28" s="10">
        <v>0.84099999999999997</v>
      </c>
      <c r="Q28" s="10">
        <v>36.4</v>
      </c>
      <c r="R28" s="10">
        <v>2.8570000000000002</v>
      </c>
      <c r="S28" s="10" t="s">
        <v>34</v>
      </c>
      <c r="T28" s="10" t="s">
        <v>49</v>
      </c>
      <c r="U28" s="10" t="s">
        <v>362</v>
      </c>
      <c r="V28" s="10" t="s">
        <v>38</v>
      </c>
      <c r="W28" s="10" t="s">
        <v>43</v>
      </c>
      <c r="X28" s="10">
        <v>0.5</v>
      </c>
      <c r="Y28" s="10">
        <v>1</v>
      </c>
      <c r="Z28" s="10" t="s">
        <v>339</v>
      </c>
      <c r="AA28" s="10">
        <v>0.31900000000000001</v>
      </c>
      <c r="AB28" s="10" t="s">
        <v>34</v>
      </c>
      <c r="AC28" s="10" t="s">
        <v>397</v>
      </c>
      <c r="AD28" s="10" t="s">
        <v>277</v>
      </c>
      <c r="AE28" s="10">
        <v>0.86780000000000002</v>
      </c>
      <c r="AF28" s="10" t="s">
        <v>395</v>
      </c>
      <c r="AG28" s="10">
        <v>2024</v>
      </c>
      <c r="AH28" s="10" t="s">
        <v>396</v>
      </c>
      <c r="AI28" s="2">
        <v>50</v>
      </c>
      <c r="AJ28" s="2">
        <v>2</v>
      </c>
      <c r="AK28" s="2" t="s">
        <v>34</v>
      </c>
      <c r="AL28" s="2" t="str">
        <f t="shared" si="0"/>
        <v>Cui et al. (2024)</v>
      </c>
    </row>
    <row r="29" spans="1:42" s="2" customFormat="1" ht="15.6" x14ac:dyDescent="0.3">
      <c r="A29" s="11">
        <v>10.1808718282368</v>
      </c>
      <c r="B29" s="11">
        <v>322.84100080710198</v>
      </c>
      <c r="C29" s="10" t="s">
        <v>34</v>
      </c>
      <c r="D29" s="10" t="s">
        <v>394</v>
      </c>
      <c r="E29" s="10" t="s">
        <v>387</v>
      </c>
      <c r="F29" s="10" t="s">
        <v>34</v>
      </c>
      <c r="G29" s="10" t="s">
        <v>34</v>
      </c>
      <c r="H29" s="10" t="s">
        <v>34</v>
      </c>
      <c r="I29" s="10" t="s">
        <v>34</v>
      </c>
      <c r="J29" s="10" t="s">
        <v>34</v>
      </c>
      <c r="K29" s="10" t="s">
        <v>34</v>
      </c>
      <c r="L29" s="10">
        <v>0</v>
      </c>
      <c r="M29" s="10">
        <v>34.1</v>
      </c>
      <c r="N29" s="10">
        <v>1400.49</v>
      </c>
      <c r="O29" s="10">
        <v>1.143</v>
      </c>
      <c r="P29" s="10">
        <v>0.84099999999999997</v>
      </c>
      <c r="Q29" s="10">
        <v>36.4</v>
      </c>
      <c r="R29" s="10">
        <v>2.8570000000000002</v>
      </c>
      <c r="S29" s="10" t="s">
        <v>34</v>
      </c>
      <c r="T29" s="10" t="s">
        <v>49</v>
      </c>
      <c r="U29" s="10" t="s">
        <v>362</v>
      </c>
      <c r="V29" s="10" t="s">
        <v>38</v>
      </c>
      <c r="W29" s="10" t="s">
        <v>43</v>
      </c>
      <c r="X29" s="10">
        <v>0.5</v>
      </c>
      <c r="Y29" s="10">
        <v>1</v>
      </c>
      <c r="Z29" s="10" t="s">
        <v>339</v>
      </c>
      <c r="AA29" s="10">
        <v>0.31900000000000001</v>
      </c>
      <c r="AB29" s="10" t="s">
        <v>34</v>
      </c>
      <c r="AC29" s="10" t="s">
        <v>397</v>
      </c>
      <c r="AD29" s="10" t="s">
        <v>277</v>
      </c>
      <c r="AE29" s="10">
        <v>0.86780000000000002</v>
      </c>
      <c r="AF29" s="10" t="s">
        <v>395</v>
      </c>
      <c r="AG29" s="10">
        <v>2024</v>
      </c>
      <c r="AH29" s="10" t="s">
        <v>396</v>
      </c>
      <c r="AI29" s="2">
        <v>50</v>
      </c>
      <c r="AJ29" s="2">
        <v>2</v>
      </c>
      <c r="AK29" s="2" t="s">
        <v>34</v>
      </c>
      <c r="AL29" s="2" t="str">
        <f t="shared" si="0"/>
        <v>Cui et al. (2024)</v>
      </c>
    </row>
    <row r="30" spans="1:42" s="2" customFormat="1" ht="15.6" x14ac:dyDescent="0.3">
      <c r="A30" s="11">
        <v>9.9726740403383207</v>
      </c>
      <c r="B30" s="11">
        <v>393.05891848264702</v>
      </c>
      <c r="C30" s="10" t="s">
        <v>34</v>
      </c>
      <c r="D30" s="10" t="s">
        <v>394</v>
      </c>
      <c r="E30" s="10" t="s">
        <v>387</v>
      </c>
      <c r="F30" s="10" t="s">
        <v>34</v>
      </c>
      <c r="G30" s="10" t="s">
        <v>34</v>
      </c>
      <c r="H30" s="10" t="s">
        <v>34</v>
      </c>
      <c r="I30" s="10" t="s">
        <v>34</v>
      </c>
      <c r="J30" s="10" t="s">
        <v>34</v>
      </c>
      <c r="K30" s="10" t="s">
        <v>34</v>
      </c>
      <c r="L30" s="10">
        <v>0</v>
      </c>
      <c r="M30" s="10">
        <v>34.1</v>
      </c>
      <c r="N30" s="10">
        <v>1400.49</v>
      </c>
      <c r="O30" s="10">
        <v>1.143</v>
      </c>
      <c r="P30" s="10">
        <v>0.84099999999999997</v>
      </c>
      <c r="Q30" s="10">
        <v>36.4</v>
      </c>
      <c r="R30" s="10">
        <v>2.8570000000000002</v>
      </c>
      <c r="S30" s="10" t="s">
        <v>34</v>
      </c>
      <c r="T30" s="10" t="s">
        <v>49</v>
      </c>
      <c r="U30" s="10" t="s">
        <v>362</v>
      </c>
      <c r="V30" s="10" t="s">
        <v>38</v>
      </c>
      <c r="W30" s="10" t="s">
        <v>43</v>
      </c>
      <c r="X30" s="10">
        <v>0.5</v>
      </c>
      <c r="Y30" s="10">
        <v>1</v>
      </c>
      <c r="Z30" s="10" t="s">
        <v>339</v>
      </c>
      <c r="AA30" s="10">
        <v>0.31900000000000001</v>
      </c>
      <c r="AB30" s="10" t="s">
        <v>34</v>
      </c>
      <c r="AC30" s="10" t="s">
        <v>397</v>
      </c>
      <c r="AD30" s="10" t="s">
        <v>277</v>
      </c>
      <c r="AE30" s="10">
        <v>0.86780000000000002</v>
      </c>
      <c r="AF30" s="10" t="s">
        <v>395</v>
      </c>
      <c r="AG30" s="10">
        <v>2024</v>
      </c>
      <c r="AH30" s="10" t="s">
        <v>396</v>
      </c>
      <c r="AI30" s="2">
        <v>50</v>
      </c>
      <c r="AJ30" s="2">
        <v>2</v>
      </c>
      <c r="AK30" s="2" t="s">
        <v>34</v>
      </c>
      <c r="AL30" s="2" t="str">
        <f t="shared" si="0"/>
        <v>Cui et al. (2024)</v>
      </c>
    </row>
    <row r="31" spans="1:42" s="2" customFormat="1" ht="15.6" x14ac:dyDescent="0.3">
      <c r="A31" s="11">
        <v>11.9713728041639</v>
      </c>
      <c r="B31" s="11">
        <v>516.54560129136405</v>
      </c>
      <c r="C31" s="10" t="s">
        <v>34</v>
      </c>
      <c r="D31" s="10" t="s">
        <v>394</v>
      </c>
      <c r="E31" s="10" t="s">
        <v>387</v>
      </c>
      <c r="F31" s="10" t="s">
        <v>34</v>
      </c>
      <c r="G31" s="10" t="s">
        <v>34</v>
      </c>
      <c r="H31" s="10" t="s">
        <v>34</v>
      </c>
      <c r="I31" s="10" t="s">
        <v>34</v>
      </c>
      <c r="J31" s="10" t="s">
        <v>34</v>
      </c>
      <c r="K31" s="10" t="s">
        <v>34</v>
      </c>
      <c r="L31" s="10">
        <v>0</v>
      </c>
      <c r="M31" s="10">
        <v>34.1</v>
      </c>
      <c r="N31" s="10">
        <v>1400.49</v>
      </c>
      <c r="O31" s="10">
        <v>1.143</v>
      </c>
      <c r="P31" s="10">
        <v>0.84099999999999997</v>
      </c>
      <c r="Q31" s="10">
        <v>36.4</v>
      </c>
      <c r="R31" s="10">
        <v>2.8570000000000002</v>
      </c>
      <c r="S31" s="10" t="s">
        <v>34</v>
      </c>
      <c r="T31" s="10" t="s">
        <v>49</v>
      </c>
      <c r="U31" s="10" t="s">
        <v>362</v>
      </c>
      <c r="V31" s="10" t="s">
        <v>38</v>
      </c>
      <c r="W31" s="10" t="s">
        <v>43</v>
      </c>
      <c r="X31" s="10">
        <v>0.5</v>
      </c>
      <c r="Y31" s="10">
        <v>1</v>
      </c>
      <c r="Z31" s="10" t="s">
        <v>339</v>
      </c>
      <c r="AA31" s="10">
        <v>0.31900000000000001</v>
      </c>
      <c r="AB31" s="10" t="s">
        <v>34</v>
      </c>
      <c r="AC31" s="10" t="s">
        <v>397</v>
      </c>
      <c r="AD31" s="10" t="s">
        <v>277</v>
      </c>
      <c r="AE31" s="10">
        <v>0.86780000000000002</v>
      </c>
      <c r="AF31" s="10" t="s">
        <v>395</v>
      </c>
      <c r="AG31" s="10">
        <v>2024</v>
      </c>
      <c r="AH31" s="10" t="s">
        <v>396</v>
      </c>
      <c r="AI31" s="2">
        <v>50</v>
      </c>
      <c r="AJ31" s="2">
        <v>2</v>
      </c>
      <c r="AK31" s="2" t="s">
        <v>34</v>
      </c>
      <c r="AL31" s="2" t="str">
        <f t="shared" si="0"/>
        <v>Cui et al. (2024)</v>
      </c>
    </row>
    <row r="32" spans="1:42" s="2" customFormat="1" ht="15.6" x14ac:dyDescent="0.3">
      <c r="A32" s="11">
        <v>11.638256343526299</v>
      </c>
      <c r="B32" s="11">
        <v>480.22598870056498</v>
      </c>
      <c r="C32" s="10" t="s">
        <v>34</v>
      </c>
      <c r="D32" s="10" t="s">
        <v>394</v>
      </c>
      <c r="E32" s="10" t="s">
        <v>387</v>
      </c>
      <c r="F32" s="10" t="s">
        <v>34</v>
      </c>
      <c r="G32" s="10" t="s">
        <v>34</v>
      </c>
      <c r="H32" s="10" t="s">
        <v>34</v>
      </c>
      <c r="I32" s="10" t="s">
        <v>34</v>
      </c>
      <c r="J32" s="10" t="s">
        <v>34</v>
      </c>
      <c r="K32" s="10" t="s">
        <v>34</v>
      </c>
      <c r="L32" s="10">
        <v>0</v>
      </c>
      <c r="M32" s="10">
        <v>34.1</v>
      </c>
      <c r="N32" s="10">
        <v>1400.49</v>
      </c>
      <c r="O32" s="10">
        <v>1.143</v>
      </c>
      <c r="P32" s="10">
        <v>0.84099999999999997</v>
      </c>
      <c r="Q32" s="10">
        <v>36.4</v>
      </c>
      <c r="R32" s="10">
        <v>2.8570000000000002</v>
      </c>
      <c r="S32" s="10" t="s">
        <v>34</v>
      </c>
      <c r="T32" s="10" t="s">
        <v>49</v>
      </c>
      <c r="U32" s="10" t="s">
        <v>362</v>
      </c>
      <c r="V32" s="10" t="s">
        <v>38</v>
      </c>
      <c r="W32" s="10" t="s">
        <v>43</v>
      </c>
      <c r="X32" s="10">
        <v>0.5</v>
      </c>
      <c r="Y32" s="10">
        <v>1</v>
      </c>
      <c r="Z32" s="10" t="s">
        <v>339</v>
      </c>
      <c r="AA32" s="10">
        <v>0.31900000000000001</v>
      </c>
      <c r="AB32" s="10" t="s">
        <v>34</v>
      </c>
      <c r="AC32" s="10" t="s">
        <v>397</v>
      </c>
      <c r="AD32" s="10" t="s">
        <v>277</v>
      </c>
      <c r="AE32" s="10">
        <v>0.86780000000000002</v>
      </c>
      <c r="AF32" s="10" t="s">
        <v>395</v>
      </c>
      <c r="AG32" s="10">
        <v>2024</v>
      </c>
      <c r="AH32" s="10" t="s">
        <v>396</v>
      </c>
      <c r="AI32" s="2">
        <v>50</v>
      </c>
      <c r="AJ32" s="2">
        <v>2</v>
      </c>
      <c r="AK32" s="2" t="s">
        <v>34</v>
      </c>
      <c r="AL32" s="2" t="str">
        <f t="shared" si="0"/>
        <v>Cui et al. (2024)</v>
      </c>
    </row>
    <row r="33" spans="1:38" s="2" customFormat="1" ht="15.6" x14ac:dyDescent="0.3">
      <c r="A33" s="11">
        <v>13.220559531554899</v>
      </c>
      <c r="B33" s="11">
        <v>519.77401129943496</v>
      </c>
      <c r="C33" s="10" t="s">
        <v>34</v>
      </c>
      <c r="D33" s="10" t="s">
        <v>394</v>
      </c>
      <c r="E33" s="10" t="s">
        <v>387</v>
      </c>
      <c r="F33" s="10" t="s">
        <v>34</v>
      </c>
      <c r="G33" s="10" t="s">
        <v>34</v>
      </c>
      <c r="H33" s="10" t="s">
        <v>34</v>
      </c>
      <c r="I33" s="10" t="s">
        <v>34</v>
      </c>
      <c r="J33" s="10" t="s">
        <v>34</v>
      </c>
      <c r="K33" s="10" t="s">
        <v>34</v>
      </c>
      <c r="L33" s="10">
        <v>0</v>
      </c>
      <c r="M33" s="10">
        <v>34.1</v>
      </c>
      <c r="N33" s="10">
        <v>1400.49</v>
      </c>
      <c r="O33" s="10">
        <v>1.143</v>
      </c>
      <c r="P33" s="10">
        <v>0.84099999999999997</v>
      </c>
      <c r="Q33" s="10">
        <v>36.4</v>
      </c>
      <c r="R33" s="10">
        <v>2.8570000000000002</v>
      </c>
      <c r="S33" s="10" t="s">
        <v>34</v>
      </c>
      <c r="T33" s="10" t="s">
        <v>49</v>
      </c>
      <c r="U33" s="10" t="s">
        <v>362</v>
      </c>
      <c r="V33" s="10" t="s">
        <v>38</v>
      </c>
      <c r="W33" s="10" t="s">
        <v>43</v>
      </c>
      <c r="X33" s="10">
        <v>0.5</v>
      </c>
      <c r="Y33" s="10">
        <v>1</v>
      </c>
      <c r="Z33" s="10" t="s">
        <v>339</v>
      </c>
      <c r="AA33" s="10">
        <v>0.31900000000000001</v>
      </c>
      <c r="AB33" s="10" t="s">
        <v>34</v>
      </c>
      <c r="AC33" s="10" t="s">
        <v>397</v>
      </c>
      <c r="AD33" s="10" t="s">
        <v>277</v>
      </c>
      <c r="AE33" s="10">
        <v>0.86780000000000002</v>
      </c>
      <c r="AF33" s="10" t="s">
        <v>395</v>
      </c>
      <c r="AG33" s="10">
        <v>2024</v>
      </c>
      <c r="AH33" s="10" t="s">
        <v>396</v>
      </c>
      <c r="AI33" s="2">
        <v>50</v>
      </c>
      <c r="AJ33" s="2">
        <v>2</v>
      </c>
      <c r="AK33" s="2" t="s">
        <v>34</v>
      </c>
      <c r="AL33" s="2" t="str">
        <f t="shared" si="0"/>
        <v>Cui et al. (2024)</v>
      </c>
    </row>
    <row r="34" spans="1:38" s="2" customFormat="1" ht="15.6" x14ac:dyDescent="0.3">
      <c r="A34" s="11">
        <v>12.6271958360442</v>
      </c>
      <c r="B34" s="11">
        <v>429.37853107344603</v>
      </c>
      <c r="C34" s="10" t="s">
        <v>34</v>
      </c>
      <c r="D34" s="10" t="s">
        <v>394</v>
      </c>
      <c r="E34" s="10" t="s">
        <v>387</v>
      </c>
      <c r="F34" s="10" t="s">
        <v>34</v>
      </c>
      <c r="G34" s="10" t="s">
        <v>34</v>
      </c>
      <c r="H34" s="10" t="s">
        <v>34</v>
      </c>
      <c r="I34" s="10" t="s">
        <v>34</v>
      </c>
      <c r="J34" s="10" t="s">
        <v>34</v>
      </c>
      <c r="K34" s="10" t="s">
        <v>34</v>
      </c>
      <c r="L34" s="10">
        <v>0</v>
      </c>
      <c r="M34" s="10">
        <v>34.1</v>
      </c>
      <c r="N34" s="10">
        <v>1400.49</v>
      </c>
      <c r="O34" s="10">
        <v>1.143</v>
      </c>
      <c r="P34" s="10">
        <v>0.84099999999999997</v>
      </c>
      <c r="Q34" s="10">
        <v>36.4</v>
      </c>
      <c r="R34" s="10">
        <v>2.8570000000000002</v>
      </c>
      <c r="S34" s="10" t="s">
        <v>34</v>
      </c>
      <c r="T34" s="10" t="s">
        <v>49</v>
      </c>
      <c r="U34" s="10" t="s">
        <v>362</v>
      </c>
      <c r="V34" s="10" t="s">
        <v>38</v>
      </c>
      <c r="W34" s="10" t="s">
        <v>43</v>
      </c>
      <c r="X34" s="10">
        <v>0.5</v>
      </c>
      <c r="Y34" s="10">
        <v>1</v>
      </c>
      <c r="Z34" s="10" t="s">
        <v>339</v>
      </c>
      <c r="AA34" s="10">
        <v>0.31900000000000001</v>
      </c>
      <c r="AB34" s="10" t="s">
        <v>34</v>
      </c>
      <c r="AC34" s="10" t="s">
        <v>397</v>
      </c>
      <c r="AD34" s="10" t="s">
        <v>277</v>
      </c>
      <c r="AE34" s="10">
        <v>0.86780000000000002</v>
      </c>
      <c r="AF34" s="10" t="s">
        <v>395</v>
      </c>
      <c r="AG34" s="10">
        <v>2024</v>
      </c>
      <c r="AH34" s="10" t="s">
        <v>396</v>
      </c>
      <c r="AI34" s="2">
        <v>50</v>
      </c>
      <c r="AJ34" s="2">
        <v>2</v>
      </c>
      <c r="AK34" s="2" t="s">
        <v>34</v>
      </c>
      <c r="AL34" s="2" t="str">
        <f t="shared" si="0"/>
        <v>Cui et al. (2024)</v>
      </c>
    </row>
    <row r="35" spans="1:38" s="2" customFormat="1" ht="15.6" x14ac:dyDescent="0.3">
      <c r="A35" s="11">
        <v>12.9394925178919</v>
      </c>
      <c r="B35" s="11">
        <v>727.19935431799797</v>
      </c>
      <c r="C35" s="10" t="s">
        <v>34</v>
      </c>
      <c r="D35" s="10" t="s">
        <v>394</v>
      </c>
      <c r="E35" s="10" t="s">
        <v>387</v>
      </c>
      <c r="F35" s="10" t="s">
        <v>34</v>
      </c>
      <c r="G35" s="10" t="s">
        <v>34</v>
      </c>
      <c r="H35" s="10" t="s">
        <v>34</v>
      </c>
      <c r="I35" s="10" t="s">
        <v>34</v>
      </c>
      <c r="J35" s="10" t="s">
        <v>34</v>
      </c>
      <c r="K35" s="10" t="s">
        <v>34</v>
      </c>
      <c r="L35" s="10">
        <v>0</v>
      </c>
      <c r="M35" s="10">
        <v>34.1</v>
      </c>
      <c r="N35" s="10">
        <v>1400.49</v>
      </c>
      <c r="O35" s="10">
        <v>1.143</v>
      </c>
      <c r="P35" s="10">
        <v>0.84099999999999997</v>
      </c>
      <c r="Q35" s="10">
        <v>36.4</v>
      </c>
      <c r="R35" s="10">
        <v>2.8570000000000002</v>
      </c>
      <c r="S35" s="10" t="s">
        <v>34</v>
      </c>
      <c r="T35" s="10" t="s">
        <v>49</v>
      </c>
      <c r="U35" s="10" t="s">
        <v>362</v>
      </c>
      <c r="V35" s="10" t="s">
        <v>38</v>
      </c>
      <c r="W35" s="10" t="s">
        <v>43</v>
      </c>
      <c r="X35" s="10">
        <v>0.5</v>
      </c>
      <c r="Y35" s="10">
        <v>1</v>
      </c>
      <c r="Z35" s="10" t="s">
        <v>339</v>
      </c>
      <c r="AA35" s="10">
        <v>0.31900000000000001</v>
      </c>
      <c r="AB35" s="10" t="s">
        <v>34</v>
      </c>
      <c r="AC35" s="10" t="s">
        <v>397</v>
      </c>
      <c r="AD35" s="10" t="s">
        <v>277</v>
      </c>
      <c r="AE35" s="10">
        <v>0.86780000000000002</v>
      </c>
      <c r="AF35" s="10" t="s">
        <v>395</v>
      </c>
      <c r="AG35" s="10">
        <v>2024</v>
      </c>
      <c r="AH35" s="10" t="s">
        <v>396</v>
      </c>
      <c r="AI35" s="2">
        <v>50</v>
      </c>
      <c r="AJ35" s="2">
        <v>2</v>
      </c>
      <c r="AK35" s="2" t="s">
        <v>34</v>
      </c>
      <c r="AL35" s="2" t="str">
        <f t="shared" si="0"/>
        <v>Cui et al. (2024)</v>
      </c>
    </row>
    <row r="36" spans="1:38" s="2" customFormat="1" ht="15.6" x14ac:dyDescent="0.3">
      <c r="A36" s="11">
        <v>13.459986987638199</v>
      </c>
      <c r="B36" s="11">
        <v>870.05649717514098</v>
      </c>
      <c r="C36" s="10" t="s">
        <v>34</v>
      </c>
      <c r="D36" s="10" t="s">
        <v>394</v>
      </c>
      <c r="E36" s="10" t="s">
        <v>387</v>
      </c>
      <c r="F36" s="10" t="s">
        <v>34</v>
      </c>
      <c r="G36" s="10" t="s">
        <v>34</v>
      </c>
      <c r="H36" s="10" t="s">
        <v>34</v>
      </c>
      <c r="I36" s="10" t="s">
        <v>34</v>
      </c>
      <c r="J36" s="10" t="s">
        <v>34</v>
      </c>
      <c r="K36" s="10" t="s">
        <v>34</v>
      </c>
      <c r="L36" s="10">
        <v>0</v>
      </c>
      <c r="M36" s="10">
        <v>34.1</v>
      </c>
      <c r="N36" s="10">
        <v>1400.49</v>
      </c>
      <c r="O36" s="10">
        <v>1.143</v>
      </c>
      <c r="P36" s="10">
        <v>0.84099999999999997</v>
      </c>
      <c r="Q36" s="10">
        <v>36.4</v>
      </c>
      <c r="R36" s="10">
        <v>2.8570000000000002</v>
      </c>
      <c r="S36" s="10" t="s">
        <v>34</v>
      </c>
      <c r="T36" s="10" t="s">
        <v>49</v>
      </c>
      <c r="U36" s="10" t="s">
        <v>362</v>
      </c>
      <c r="V36" s="10" t="s">
        <v>38</v>
      </c>
      <c r="W36" s="10" t="s">
        <v>43</v>
      </c>
      <c r="X36" s="10">
        <v>0.5</v>
      </c>
      <c r="Y36" s="10">
        <v>1</v>
      </c>
      <c r="Z36" s="10" t="s">
        <v>339</v>
      </c>
      <c r="AA36" s="10">
        <v>0.31900000000000001</v>
      </c>
      <c r="AB36" s="10" t="s">
        <v>34</v>
      </c>
      <c r="AC36" s="10" t="s">
        <v>397</v>
      </c>
      <c r="AD36" s="10" t="s">
        <v>277</v>
      </c>
      <c r="AE36" s="10">
        <v>0.86780000000000002</v>
      </c>
      <c r="AF36" s="10" t="s">
        <v>395</v>
      </c>
      <c r="AG36" s="10">
        <v>2024</v>
      </c>
      <c r="AH36" s="10" t="s">
        <v>396</v>
      </c>
      <c r="AI36" s="2">
        <v>50</v>
      </c>
      <c r="AJ36" s="2">
        <v>2</v>
      </c>
      <c r="AK36" s="2" t="s">
        <v>34</v>
      </c>
      <c r="AL36" s="2" t="str">
        <f t="shared" si="0"/>
        <v>Cui et al. (2024)</v>
      </c>
    </row>
    <row r="37" spans="1:38" s="2" customFormat="1" ht="15.6" x14ac:dyDescent="0.3">
      <c r="A37" s="11">
        <v>8.0676642810670103</v>
      </c>
      <c r="B37" s="11">
        <v>154.963680387409</v>
      </c>
      <c r="C37" s="10" t="s">
        <v>34</v>
      </c>
      <c r="D37" s="10" t="s">
        <v>394</v>
      </c>
      <c r="E37" s="10" t="s">
        <v>387</v>
      </c>
      <c r="F37" s="10" t="s">
        <v>34</v>
      </c>
      <c r="G37" s="10" t="s">
        <v>34</v>
      </c>
      <c r="H37" s="10" t="s">
        <v>34</v>
      </c>
      <c r="I37" s="10" t="s">
        <v>34</v>
      </c>
      <c r="J37" s="10" t="s">
        <v>34</v>
      </c>
      <c r="K37" s="10" t="s">
        <v>34</v>
      </c>
      <c r="L37" s="10">
        <v>0</v>
      </c>
      <c r="M37" s="10">
        <v>34.1</v>
      </c>
      <c r="N37" s="10">
        <v>1400.49</v>
      </c>
      <c r="O37" s="10">
        <v>1.143</v>
      </c>
      <c r="P37" s="10">
        <v>0.84099999999999997</v>
      </c>
      <c r="Q37" s="10">
        <v>36.4</v>
      </c>
      <c r="R37" s="10">
        <v>2.8570000000000002</v>
      </c>
      <c r="S37" s="10" t="s">
        <v>34</v>
      </c>
      <c r="T37" s="10" t="s">
        <v>49</v>
      </c>
      <c r="U37" s="10" t="s">
        <v>362</v>
      </c>
      <c r="V37" s="10" t="s">
        <v>38</v>
      </c>
      <c r="W37" s="10" t="s">
        <v>43</v>
      </c>
      <c r="X37" s="10">
        <v>0.5</v>
      </c>
      <c r="Y37" s="10">
        <v>1</v>
      </c>
      <c r="Z37" s="10" t="s">
        <v>339</v>
      </c>
      <c r="AA37" s="10">
        <v>0.36699999999999999</v>
      </c>
      <c r="AB37" s="10" t="s">
        <v>34</v>
      </c>
      <c r="AC37" s="10" t="s">
        <v>398</v>
      </c>
      <c r="AD37" s="10" t="s">
        <v>277</v>
      </c>
      <c r="AE37" s="10">
        <v>0.86780000000000002</v>
      </c>
      <c r="AF37" s="10" t="s">
        <v>395</v>
      </c>
      <c r="AG37" s="10">
        <v>2024</v>
      </c>
      <c r="AH37" s="10" t="s">
        <v>396</v>
      </c>
      <c r="AI37" s="2">
        <v>50</v>
      </c>
      <c r="AJ37" s="2">
        <v>2</v>
      </c>
      <c r="AK37" s="2" t="s">
        <v>34</v>
      </c>
      <c r="AL37" s="2" t="str">
        <f t="shared" si="0"/>
        <v>Cui et al. (2024)</v>
      </c>
    </row>
    <row r="38" spans="1:38" s="2" customFormat="1" ht="15.6" x14ac:dyDescent="0.3">
      <c r="A38" s="11">
        <v>7.78659726740403</v>
      </c>
      <c r="B38" s="11">
        <v>191.28329297820801</v>
      </c>
      <c r="C38" s="10" t="s">
        <v>34</v>
      </c>
      <c r="D38" s="10" t="s">
        <v>394</v>
      </c>
      <c r="E38" s="10" t="s">
        <v>387</v>
      </c>
      <c r="F38" s="10" t="s">
        <v>34</v>
      </c>
      <c r="G38" s="10" t="s">
        <v>34</v>
      </c>
      <c r="H38" s="10" t="s">
        <v>34</v>
      </c>
      <c r="I38" s="10" t="s">
        <v>34</v>
      </c>
      <c r="J38" s="10" t="s">
        <v>34</v>
      </c>
      <c r="K38" s="10" t="s">
        <v>34</v>
      </c>
      <c r="L38" s="10">
        <v>0</v>
      </c>
      <c r="M38" s="10">
        <v>34.1</v>
      </c>
      <c r="N38" s="10">
        <v>1400.49</v>
      </c>
      <c r="O38" s="10">
        <v>1.143</v>
      </c>
      <c r="P38" s="10">
        <v>0.84099999999999997</v>
      </c>
      <c r="Q38" s="10">
        <v>36.4</v>
      </c>
      <c r="R38" s="10">
        <v>2.8570000000000002</v>
      </c>
      <c r="S38" s="10" t="s">
        <v>34</v>
      </c>
      <c r="T38" s="10" t="s">
        <v>49</v>
      </c>
      <c r="U38" s="10" t="s">
        <v>362</v>
      </c>
      <c r="V38" s="10" t="s">
        <v>38</v>
      </c>
      <c r="W38" s="10" t="s">
        <v>43</v>
      </c>
      <c r="X38" s="10">
        <v>0.5</v>
      </c>
      <c r="Y38" s="10">
        <v>1</v>
      </c>
      <c r="Z38" s="10" t="s">
        <v>339</v>
      </c>
      <c r="AA38" s="10">
        <v>0.36699999999999999</v>
      </c>
      <c r="AB38" s="10" t="s">
        <v>34</v>
      </c>
      <c r="AC38" s="10" t="s">
        <v>398</v>
      </c>
      <c r="AD38" s="10" t="s">
        <v>277</v>
      </c>
      <c r="AE38" s="10">
        <v>0.86780000000000002</v>
      </c>
      <c r="AF38" s="10" t="s">
        <v>395</v>
      </c>
      <c r="AG38" s="10">
        <v>2024</v>
      </c>
      <c r="AH38" s="10" t="s">
        <v>396</v>
      </c>
      <c r="AI38" s="2">
        <v>50</v>
      </c>
      <c r="AJ38" s="2">
        <v>2</v>
      </c>
      <c r="AK38" s="2" t="s">
        <v>34</v>
      </c>
      <c r="AL38" s="2" t="str">
        <f t="shared" si="0"/>
        <v>Cui et al. (2024)</v>
      </c>
    </row>
    <row r="39" spans="1:38" s="2" customFormat="1" ht="15.6" x14ac:dyDescent="0.3">
      <c r="A39" s="11">
        <v>7.8074170461938799</v>
      </c>
      <c r="B39" s="11">
        <v>247.780468119451</v>
      </c>
      <c r="C39" s="10" t="s">
        <v>34</v>
      </c>
      <c r="D39" s="10" t="s">
        <v>394</v>
      </c>
      <c r="E39" s="10" t="s">
        <v>387</v>
      </c>
      <c r="F39" s="10" t="s">
        <v>34</v>
      </c>
      <c r="G39" s="10" t="s">
        <v>34</v>
      </c>
      <c r="H39" s="10" t="s">
        <v>34</v>
      </c>
      <c r="I39" s="10" t="s">
        <v>34</v>
      </c>
      <c r="J39" s="10" t="s">
        <v>34</v>
      </c>
      <c r="K39" s="10" t="s">
        <v>34</v>
      </c>
      <c r="L39" s="10">
        <v>0</v>
      </c>
      <c r="M39" s="10">
        <v>34.1</v>
      </c>
      <c r="N39" s="10">
        <v>1400.49</v>
      </c>
      <c r="O39" s="10">
        <v>1.143</v>
      </c>
      <c r="P39" s="10">
        <v>0.84099999999999997</v>
      </c>
      <c r="Q39" s="10">
        <v>36.4</v>
      </c>
      <c r="R39" s="10">
        <v>2.8570000000000002</v>
      </c>
      <c r="S39" s="10" t="s">
        <v>34</v>
      </c>
      <c r="T39" s="10" t="s">
        <v>49</v>
      </c>
      <c r="U39" s="10" t="s">
        <v>362</v>
      </c>
      <c r="V39" s="10" t="s">
        <v>38</v>
      </c>
      <c r="W39" s="10" t="s">
        <v>43</v>
      </c>
      <c r="X39" s="10">
        <v>0.5</v>
      </c>
      <c r="Y39" s="10">
        <v>1</v>
      </c>
      <c r="Z39" s="10" t="s">
        <v>339</v>
      </c>
      <c r="AA39" s="10">
        <v>0.36699999999999999</v>
      </c>
      <c r="AB39" s="10" t="s">
        <v>34</v>
      </c>
      <c r="AC39" s="10" t="s">
        <v>398</v>
      </c>
      <c r="AD39" s="10" t="s">
        <v>277</v>
      </c>
      <c r="AE39" s="10">
        <v>0.86780000000000002</v>
      </c>
      <c r="AF39" s="10" t="s">
        <v>395</v>
      </c>
      <c r="AG39" s="10">
        <v>2024</v>
      </c>
      <c r="AH39" s="10" t="s">
        <v>396</v>
      </c>
      <c r="AI39" s="2">
        <v>50</v>
      </c>
      <c r="AJ39" s="2">
        <v>2</v>
      </c>
      <c r="AK39" s="2" t="s">
        <v>34</v>
      </c>
      <c r="AL39" s="2" t="str">
        <f t="shared" si="0"/>
        <v>Cui et al. (2024)</v>
      </c>
    </row>
    <row r="40" spans="1:38" s="2" customFormat="1" ht="15.6" x14ac:dyDescent="0.3">
      <c r="A40" s="11">
        <v>10.1912817176317</v>
      </c>
      <c r="B40" s="11">
        <v>333.33333333333297</v>
      </c>
      <c r="C40" s="10" t="s">
        <v>34</v>
      </c>
      <c r="D40" s="10" t="s">
        <v>394</v>
      </c>
      <c r="E40" s="10" t="s">
        <v>387</v>
      </c>
      <c r="F40" s="10" t="s">
        <v>34</v>
      </c>
      <c r="G40" s="10" t="s">
        <v>34</v>
      </c>
      <c r="H40" s="10" t="s">
        <v>34</v>
      </c>
      <c r="I40" s="10" t="s">
        <v>34</v>
      </c>
      <c r="J40" s="10" t="s">
        <v>34</v>
      </c>
      <c r="K40" s="10" t="s">
        <v>34</v>
      </c>
      <c r="L40" s="10">
        <v>0</v>
      </c>
      <c r="M40" s="10">
        <v>34.1</v>
      </c>
      <c r="N40" s="10">
        <v>1400.49</v>
      </c>
      <c r="O40" s="10">
        <v>1.143</v>
      </c>
      <c r="P40" s="10">
        <v>0.84099999999999997</v>
      </c>
      <c r="Q40" s="10">
        <v>36.4</v>
      </c>
      <c r="R40" s="10">
        <v>2.8570000000000002</v>
      </c>
      <c r="S40" s="10" t="s">
        <v>34</v>
      </c>
      <c r="T40" s="10" t="s">
        <v>49</v>
      </c>
      <c r="U40" s="10" t="s">
        <v>362</v>
      </c>
      <c r="V40" s="10" t="s">
        <v>38</v>
      </c>
      <c r="W40" s="10" t="s">
        <v>43</v>
      </c>
      <c r="X40" s="10">
        <v>0.5</v>
      </c>
      <c r="Y40" s="10">
        <v>1</v>
      </c>
      <c r="Z40" s="10" t="s">
        <v>339</v>
      </c>
      <c r="AA40" s="10">
        <v>0.36699999999999999</v>
      </c>
      <c r="AB40" s="10" t="s">
        <v>34</v>
      </c>
      <c r="AC40" s="10" t="s">
        <v>398</v>
      </c>
      <c r="AD40" s="10" t="s">
        <v>277</v>
      </c>
      <c r="AE40" s="10">
        <v>0.86780000000000002</v>
      </c>
      <c r="AF40" s="10" t="s">
        <v>395</v>
      </c>
      <c r="AG40" s="10">
        <v>2024</v>
      </c>
      <c r="AH40" s="10" t="s">
        <v>396</v>
      </c>
      <c r="AI40" s="2">
        <v>50</v>
      </c>
      <c r="AJ40" s="2">
        <v>2</v>
      </c>
      <c r="AK40" s="2" t="s">
        <v>34</v>
      </c>
      <c r="AL40" s="2" t="str">
        <f t="shared" si="0"/>
        <v>Cui et al. (2024)</v>
      </c>
    </row>
    <row r="41" spans="1:38" s="2" customFormat="1" ht="15.6" x14ac:dyDescent="0.3">
      <c r="A41" s="11">
        <v>9.9518542615484709</v>
      </c>
      <c r="B41" s="11">
        <v>364.81033091202499</v>
      </c>
      <c r="C41" s="10" t="s">
        <v>34</v>
      </c>
      <c r="D41" s="10" t="s">
        <v>394</v>
      </c>
      <c r="E41" s="10" t="s">
        <v>387</v>
      </c>
      <c r="F41" s="10" t="s">
        <v>34</v>
      </c>
      <c r="G41" s="10" t="s">
        <v>34</v>
      </c>
      <c r="H41" s="10" t="s">
        <v>34</v>
      </c>
      <c r="I41" s="10" t="s">
        <v>34</v>
      </c>
      <c r="J41" s="10" t="s">
        <v>34</v>
      </c>
      <c r="K41" s="10" t="s">
        <v>34</v>
      </c>
      <c r="L41" s="10">
        <v>0</v>
      </c>
      <c r="M41" s="10">
        <v>34.1</v>
      </c>
      <c r="N41" s="10">
        <v>1400.49</v>
      </c>
      <c r="O41" s="10">
        <v>1.143</v>
      </c>
      <c r="P41" s="10">
        <v>0.84099999999999997</v>
      </c>
      <c r="Q41" s="10">
        <v>36.4</v>
      </c>
      <c r="R41" s="10">
        <v>2.8570000000000002</v>
      </c>
      <c r="S41" s="10" t="s">
        <v>34</v>
      </c>
      <c r="T41" s="10" t="s">
        <v>49</v>
      </c>
      <c r="U41" s="10" t="s">
        <v>362</v>
      </c>
      <c r="V41" s="10" t="s">
        <v>38</v>
      </c>
      <c r="W41" s="10" t="s">
        <v>43</v>
      </c>
      <c r="X41" s="10">
        <v>0.5</v>
      </c>
      <c r="Y41" s="10">
        <v>1</v>
      </c>
      <c r="Z41" s="10" t="s">
        <v>339</v>
      </c>
      <c r="AA41" s="10">
        <v>0.36699999999999999</v>
      </c>
      <c r="AB41" s="10" t="s">
        <v>34</v>
      </c>
      <c r="AC41" s="10" t="s">
        <v>398</v>
      </c>
      <c r="AD41" s="10" t="s">
        <v>277</v>
      </c>
      <c r="AE41" s="10">
        <v>0.86780000000000002</v>
      </c>
      <c r="AF41" s="10" t="s">
        <v>395</v>
      </c>
      <c r="AG41" s="10">
        <v>2024</v>
      </c>
      <c r="AH41" s="10" t="s">
        <v>396</v>
      </c>
      <c r="AI41" s="2">
        <v>50</v>
      </c>
      <c r="AJ41" s="2">
        <v>2</v>
      </c>
      <c r="AK41" s="2" t="s">
        <v>34</v>
      </c>
      <c r="AL41" s="2" t="str">
        <f t="shared" si="0"/>
        <v>Cui et al. (2024)</v>
      </c>
    </row>
    <row r="42" spans="1:38" s="2" customFormat="1" ht="15.6" x14ac:dyDescent="0.3">
      <c r="A42" s="11">
        <v>9.9934938191281706</v>
      </c>
      <c r="B42" s="11">
        <v>478.61178369652902</v>
      </c>
      <c r="C42" s="10" t="s">
        <v>34</v>
      </c>
      <c r="D42" s="10" t="s">
        <v>394</v>
      </c>
      <c r="E42" s="10" t="s">
        <v>387</v>
      </c>
      <c r="F42" s="10" t="s">
        <v>34</v>
      </c>
      <c r="G42" s="10" t="s">
        <v>34</v>
      </c>
      <c r="H42" s="10" t="s">
        <v>34</v>
      </c>
      <c r="I42" s="10" t="s">
        <v>34</v>
      </c>
      <c r="J42" s="10" t="s">
        <v>34</v>
      </c>
      <c r="K42" s="10" t="s">
        <v>34</v>
      </c>
      <c r="L42" s="10">
        <v>0</v>
      </c>
      <c r="M42" s="10">
        <v>34.1</v>
      </c>
      <c r="N42" s="10">
        <v>1400.49</v>
      </c>
      <c r="O42" s="10">
        <v>1.143</v>
      </c>
      <c r="P42" s="10">
        <v>0.84099999999999997</v>
      </c>
      <c r="Q42" s="10">
        <v>36.4</v>
      </c>
      <c r="R42" s="10">
        <v>2.8570000000000002</v>
      </c>
      <c r="S42" s="10" t="s">
        <v>34</v>
      </c>
      <c r="T42" s="10" t="s">
        <v>49</v>
      </c>
      <c r="U42" s="10" t="s">
        <v>362</v>
      </c>
      <c r="V42" s="10" t="s">
        <v>38</v>
      </c>
      <c r="W42" s="10" t="s">
        <v>43</v>
      </c>
      <c r="X42" s="10">
        <v>0.5</v>
      </c>
      <c r="Y42" s="10">
        <v>1</v>
      </c>
      <c r="Z42" s="10" t="s">
        <v>339</v>
      </c>
      <c r="AA42" s="10">
        <v>0.36699999999999999</v>
      </c>
      <c r="AB42" s="10" t="s">
        <v>34</v>
      </c>
      <c r="AC42" s="10" t="s">
        <v>398</v>
      </c>
      <c r="AD42" s="10" t="s">
        <v>277</v>
      </c>
      <c r="AE42" s="10">
        <v>0.86780000000000002</v>
      </c>
      <c r="AF42" s="10" t="s">
        <v>395</v>
      </c>
      <c r="AG42" s="10">
        <v>2024</v>
      </c>
      <c r="AH42" s="10" t="s">
        <v>396</v>
      </c>
      <c r="AI42" s="2">
        <v>50</v>
      </c>
      <c r="AJ42" s="2">
        <v>2</v>
      </c>
      <c r="AK42" s="2" t="s">
        <v>34</v>
      </c>
      <c r="AL42" s="2" t="str">
        <f t="shared" si="0"/>
        <v>Cui et al. (2024)</v>
      </c>
    </row>
    <row r="43" spans="1:38" s="2" customFormat="1" ht="15.6" x14ac:dyDescent="0.3">
      <c r="A43" s="11">
        <v>12.2524398178269</v>
      </c>
      <c r="B43" s="11">
        <v>660.20984665052401</v>
      </c>
      <c r="C43" s="10" t="s">
        <v>34</v>
      </c>
      <c r="D43" s="10" t="s">
        <v>394</v>
      </c>
      <c r="E43" s="10" t="s">
        <v>387</v>
      </c>
      <c r="F43" s="10" t="s">
        <v>34</v>
      </c>
      <c r="G43" s="10" t="s">
        <v>34</v>
      </c>
      <c r="H43" s="10" t="s">
        <v>34</v>
      </c>
      <c r="I43" s="10" t="s">
        <v>34</v>
      </c>
      <c r="J43" s="10" t="s">
        <v>34</v>
      </c>
      <c r="K43" s="10" t="s">
        <v>34</v>
      </c>
      <c r="L43" s="10">
        <v>0</v>
      </c>
      <c r="M43" s="10">
        <v>34.1</v>
      </c>
      <c r="N43" s="10">
        <v>1400.49</v>
      </c>
      <c r="O43" s="10">
        <v>1.143</v>
      </c>
      <c r="P43" s="10">
        <v>0.84099999999999997</v>
      </c>
      <c r="Q43" s="10">
        <v>36.4</v>
      </c>
      <c r="R43" s="10">
        <v>2.8570000000000002</v>
      </c>
      <c r="S43" s="10" t="s">
        <v>34</v>
      </c>
      <c r="T43" s="10" t="s">
        <v>49</v>
      </c>
      <c r="U43" s="10" t="s">
        <v>362</v>
      </c>
      <c r="V43" s="10" t="s">
        <v>38</v>
      </c>
      <c r="W43" s="10" t="s">
        <v>43</v>
      </c>
      <c r="X43" s="10">
        <v>0.5</v>
      </c>
      <c r="Y43" s="10">
        <v>1</v>
      </c>
      <c r="Z43" s="10" t="s">
        <v>339</v>
      </c>
      <c r="AA43" s="10">
        <v>0.36699999999999999</v>
      </c>
      <c r="AB43" s="10" t="s">
        <v>34</v>
      </c>
      <c r="AC43" s="10" t="s">
        <v>398</v>
      </c>
      <c r="AD43" s="10" t="s">
        <v>277</v>
      </c>
      <c r="AE43" s="10">
        <v>0.86780000000000002</v>
      </c>
      <c r="AF43" s="10" t="s">
        <v>395</v>
      </c>
      <c r="AG43" s="10">
        <v>2024</v>
      </c>
      <c r="AH43" s="10" t="s">
        <v>396</v>
      </c>
      <c r="AI43" s="2">
        <v>50</v>
      </c>
      <c r="AJ43" s="2">
        <v>2</v>
      </c>
      <c r="AK43" s="2" t="s">
        <v>34</v>
      </c>
      <c r="AL43" s="2" t="str">
        <f t="shared" si="0"/>
        <v>Cui et al. (2024)</v>
      </c>
    </row>
    <row r="44" spans="1:38" s="2" customFormat="1" ht="15.6" x14ac:dyDescent="0.3">
      <c r="A44" s="11">
        <v>12.0130123617436</v>
      </c>
      <c r="B44" s="11">
        <v>721.54963680387402</v>
      </c>
      <c r="C44" s="10" t="s">
        <v>34</v>
      </c>
      <c r="D44" s="10" t="s">
        <v>394</v>
      </c>
      <c r="E44" s="10" t="s">
        <v>387</v>
      </c>
      <c r="F44" s="10" t="s">
        <v>34</v>
      </c>
      <c r="G44" s="10" t="s">
        <v>34</v>
      </c>
      <c r="H44" s="10" t="s">
        <v>34</v>
      </c>
      <c r="I44" s="10" t="s">
        <v>34</v>
      </c>
      <c r="J44" s="10" t="s">
        <v>34</v>
      </c>
      <c r="K44" s="10" t="s">
        <v>34</v>
      </c>
      <c r="L44" s="10">
        <v>0</v>
      </c>
      <c r="M44" s="10">
        <v>34.1</v>
      </c>
      <c r="N44" s="10">
        <v>1400.49</v>
      </c>
      <c r="O44" s="10">
        <v>1.143</v>
      </c>
      <c r="P44" s="10">
        <v>0.84099999999999997</v>
      </c>
      <c r="Q44" s="10">
        <v>36.4</v>
      </c>
      <c r="R44" s="10">
        <v>2.8570000000000002</v>
      </c>
      <c r="S44" s="10" t="s">
        <v>34</v>
      </c>
      <c r="T44" s="10" t="s">
        <v>49</v>
      </c>
      <c r="U44" s="10" t="s">
        <v>362</v>
      </c>
      <c r="V44" s="10" t="s">
        <v>38</v>
      </c>
      <c r="W44" s="10" t="s">
        <v>43</v>
      </c>
      <c r="X44" s="10">
        <v>0.5</v>
      </c>
      <c r="Y44" s="10">
        <v>1</v>
      </c>
      <c r="Z44" s="10" t="s">
        <v>339</v>
      </c>
      <c r="AA44" s="10">
        <v>0.36699999999999999</v>
      </c>
      <c r="AB44" s="10" t="s">
        <v>34</v>
      </c>
      <c r="AC44" s="10" t="s">
        <v>398</v>
      </c>
      <c r="AD44" s="10" t="s">
        <v>277</v>
      </c>
      <c r="AE44" s="10">
        <v>0.86780000000000002</v>
      </c>
      <c r="AF44" s="10" t="s">
        <v>395</v>
      </c>
      <c r="AG44" s="10">
        <v>2024</v>
      </c>
      <c r="AH44" s="10" t="s">
        <v>396</v>
      </c>
      <c r="AI44" s="2">
        <v>50</v>
      </c>
      <c r="AJ44" s="2">
        <v>2</v>
      </c>
      <c r="AK44" s="2" t="s">
        <v>34</v>
      </c>
      <c r="AL44" s="2" t="str">
        <f t="shared" si="0"/>
        <v>Cui et al. (2024)</v>
      </c>
    </row>
    <row r="45" spans="1:38" s="2" customFormat="1" ht="15.6" x14ac:dyDescent="0.3">
      <c r="A45" s="11">
        <v>12.2940793754066</v>
      </c>
      <c r="B45" s="11">
        <v>854.72154963680396</v>
      </c>
      <c r="C45" s="10" t="s">
        <v>34</v>
      </c>
      <c r="D45" s="10" t="s">
        <v>394</v>
      </c>
      <c r="E45" s="10" t="s">
        <v>387</v>
      </c>
      <c r="F45" s="10" t="s">
        <v>34</v>
      </c>
      <c r="G45" s="10" t="s">
        <v>34</v>
      </c>
      <c r="H45" s="10" t="s">
        <v>34</v>
      </c>
      <c r="I45" s="10" t="s">
        <v>34</v>
      </c>
      <c r="J45" s="10" t="s">
        <v>34</v>
      </c>
      <c r="K45" s="10" t="s">
        <v>34</v>
      </c>
      <c r="L45" s="10">
        <v>0</v>
      </c>
      <c r="M45" s="10">
        <v>34.1</v>
      </c>
      <c r="N45" s="10">
        <v>1400.49</v>
      </c>
      <c r="O45" s="10">
        <v>1.143</v>
      </c>
      <c r="P45" s="10">
        <v>0.84099999999999997</v>
      </c>
      <c r="Q45" s="10">
        <v>36.4</v>
      </c>
      <c r="R45" s="10">
        <v>2.8570000000000002</v>
      </c>
      <c r="S45" s="10" t="s">
        <v>34</v>
      </c>
      <c r="T45" s="10" t="s">
        <v>49</v>
      </c>
      <c r="U45" s="10" t="s">
        <v>362</v>
      </c>
      <c r="V45" s="10" t="s">
        <v>38</v>
      </c>
      <c r="W45" s="10" t="s">
        <v>43</v>
      </c>
      <c r="X45" s="10">
        <v>0.5</v>
      </c>
      <c r="Y45" s="10">
        <v>1</v>
      </c>
      <c r="Z45" s="10" t="s">
        <v>339</v>
      </c>
      <c r="AA45" s="10">
        <v>0.36699999999999999</v>
      </c>
      <c r="AB45" s="10" t="s">
        <v>34</v>
      </c>
      <c r="AC45" s="10" t="s">
        <v>398</v>
      </c>
      <c r="AD45" s="10" t="s">
        <v>277</v>
      </c>
      <c r="AE45" s="10">
        <v>0.86780000000000002</v>
      </c>
      <c r="AF45" s="10" t="s">
        <v>395</v>
      </c>
      <c r="AG45" s="10">
        <v>2024</v>
      </c>
      <c r="AH45" s="10" t="s">
        <v>396</v>
      </c>
      <c r="AI45" s="2">
        <v>50</v>
      </c>
      <c r="AJ45" s="2">
        <v>2</v>
      </c>
      <c r="AK45" s="2" t="s">
        <v>34</v>
      </c>
      <c r="AL45" s="2" t="str">
        <f t="shared" si="0"/>
        <v>Cui et al. (2024)</v>
      </c>
    </row>
    <row r="46" spans="1:38" s="2" customFormat="1" ht="15.6" x14ac:dyDescent="0.3">
      <c r="A46" s="11">
        <v>7.8698763825634304</v>
      </c>
      <c r="B46" s="11">
        <v>129.13640032284101</v>
      </c>
      <c r="C46" s="10" t="s">
        <v>34</v>
      </c>
      <c r="D46" s="10" t="s">
        <v>394</v>
      </c>
      <c r="E46" s="10" t="s">
        <v>387</v>
      </c>
      <c r="F46" s="10" t="s">
        <v>34</v>
      </c>
      <c r="G46" s="10" t="s">
        <v>34</v>
      </c>
      <c r="H46" s="10" t="s">
        <v>34</v>
      </c>
      <c r="I46" s="10" t="s">
        <v>34</v>
      </c>
      <c r="J46" s="10" t="s">
        <v>34</v>
      </c>
      <c r="K46" s="10" t="s">
        <v>34</v>
      </c>
      <c r="L46" s="10">
        <v>0</v>
      </c>
      <c r="M46" s="10">
        <v>34.1</v>
      </c>
      <c r="N46" s="10">
        <v>1400.49</v>
      </c>
      <c r="O46" s="10">
        <v>1.143</v>
      </c>
      <c r="P46" s="10">
        <v>0.84099999999999997</v>
      </c>
      <c r="Q46" s="10">
        <v>36.4</v>
      </c>
      <c r="R46" s="10">
        <v>2.8570000000000002</v>
      </c>
      <c r="S46" s="10" t="s">
        <v>34</v>
      </c>
      <c r="T46" s="10" t="s">
        <v>49</v>
      </c>
      <c r="U46" s="10" t="s">
        <v>362</v>
      </c>
      <c r="V46" s="10" t="s">
        <v>38</v>
      </c>
      <c r="W46" s="10" t="s">
        <v>43</v>
      </c>
      <c r="X46" s="10">
        <v>0.5</v>
      </c>
      <c r="Y46" s="10">
        <v>1</v>
      </c>
      <c r="Z46" s="10" t="s">
        <v>339</v>
      </c>
      <c r="AA46" s="10">
        <v>0.38600000000000001</v>
      </c>
      <c r="AB46" s="10" t="s">
        <v>34</v>
      </c>
      <c r="AC46" s="10" t="s">
        <v>399</v>
      </c>
      <c r="AD46" s="10" t="s">
        <v>277</v>
      </c>
      <c r="AE46" s="10">
        <v>0.86780000000000002</v>
      </c>
      <c r="AF46" s="10" t="s">
        <v>395</v>
      </c>
      <c r="AG46" s="10">
        <v>2024</v>
      </c>
      <c r="AH46" s="10" t="s">
        <v>396</v>
      </c>
      <c r="AI46" s="2">
        <v>50</v>
      </c>
      <c r="AJ46" s="2">
        <v>2</v>
      </c>
      <c r="AK46" s="2" t="s">
        <v>34</v>
      </c>
      <c r="AL46" s="2" t="str">
        <f t="shared" si="0"/>
        <v>Cui et al. (2024)</v>
      </c>
    </row>
    <row r="47" spans="1:38" s="2" customFormat="1" ht="15.6" x14ac:dyDescent="0.3">
      <c r="A47" s="11">
        <v>7.7033181522446297</v>
      </c>
      <c r="B47" s="11">
        <v>150.92816787731999</v>
      </c>
      <c r="C47" s="10" t="s">
        <v>34</v>
      </c>
      <c r="D47" s="10" t="s">
        <v>394</v>
      </c>
      <c r="E47" s="10" t="s">
        <v>387</v>
      </c>
      <c r="F47" s="10" t="s">
        <v>34</v>
      </c>
      <c r="G47" s="10" t="s">
        <v>34</v>
      </c>
      <c r="H47" s="10" t="s">
        <v>34</v>
      </c>
      <c r="I47" s="10" t="s">
        <v>34</v>
      </c>
      <c r="J47" s="10" t="s">
        <v>34</v>
      </c>
      <c r="K47" s="10" t="s">
        <v>34</v>
      </c>
      <c r="L47" s="10">
        <v>0</v>
      </c>
      <c r="M47" s="10">
        <v>34.1</v>
      </c>
      <c r="N47" s="10">
        <v>1400.49</v>
      </c>
      <c r="O47" s="10">
        <v>1.143</v>
      </c>
      <c r="P47" s="10">
        <v>0.84099999999999997</v>
      </c>
      <c r="Q47" s="10">
        <v>36.4</v>
      </c>
      <c r="R47" s="10">
        <v>2.8570000000000002</v>
      </c>
      <c r="S47" s="10" t="s">
        <v>34</v>
      </c>
      <c r="T47" s="10" t="s">
        <v>49</v>
      </c>
      <c r="U47" s="10" t="s">
        <v>362</v>
      </c>
      <c r="V47" s="10" t="s">
        <v>38</v>
      </c>
      <c r="W47" s="10" t="s">
        <v>43</v>
      </c>
      <c r="X47" s="10">
        <v>0.5</v>
      </c>
      <c r="Y47" s="10">
        <v>1</v>
      </c>
      <c r="Z47" s="10" t="s">
        <v>339</v>
      </c>
      <c r="AA47" s="10">
        <v>0.38600000000000001</v>
      </c>
      <c r="AB47" s="10" t="s">
        <v>34</v>
      </c>
      <c r="AC47" s="10" t="s">
        <v>399</v>
      </c>
      <c r="AD47" s="10" t="s">
        <v>277</v>
      </c>
      <c r="AE47" s="10">
        <v>0.86780000000000002</v>
      </c>
      <c r="AF47" s="10" t="s">
        <v>395</v>
      </c>
      <c r="AG47" s="10">
        <v>2024</v>
      </c>
      <c r="AH47" s="10" t="s">
        <v>396</v>
      </c>
      <c r="AI47" s="2">
        <v>50</v>
      </c>
      <c r="AJ47" s="2">
        <v>2</v>
      </c>
      <c r="AK47" s="2" t="s">
        <v>34</v>
      </c>
      <c r="AL47" s="2" t="str">
        <f t="shared" si="0"/>
        <v>Cui et al. (2024)</v>
      </c>
    </row>
    <row r="48" spans="1:38" s="2" customFormat="1" ht="15.6" x14ac:dyDescent="0.3">
      <c r="A48" s="11">
        <v>8.16135328562134</v>
      </c>
      <c r="B48" s="11">
        <v>213.882163034705</v>
      </c>
      <c r="C48" s="10" t="s">
        <v>34</v>
      </c>
      <c r="D48" s="10" t="s">
        <v>394</v>
      </c>
      <c r="E48" s="10" t="s">
        <v>387</v>
      </c>
      <c r="F48" s="10" t="s">
        <v>34</v>
      </c>
      <c r="G48" s="10" t="s">
        <v>34</v>
      </c>
      <c r="H48" s="10" t="s">
        <v>34</v>
      </c>
      <c r="I48" s="10" t="s">
        <v>34</v>
      </c>
      <c r="J48" s="10" t="s">
        <v>34</v>
      </c>
      <c r="K48" s="10" t="s">
        <v>34</v>
      </c>
      <c r="L48" s="10">
        <v>0</v>
      </c>
      <c r="M48" s="10">
        <v>34.1</v>
      </c>
      <c r="N48" s="10">
        <v>1400.49</v>
      </c>
      <c r="O48" s="10">
        <v>1.143</v>
      </c>
      <c r="P48" s="10">
        <v>0.84099999999999997</v>
      </c>
      <c r="Q48" s="10">
        <v>36.4</v>
      </c>
      <c r="R48" s="10">
        <v>2.8570000000000002</v>
      </c>
      <c r="S48" s="10" t="s">
        <v>34</v>
      </c>
      <c r="T48" s="10" t="s">
        <v>49</v>
      </c>
      <c r="U48" s="10" t="s">
        <v>362</v>
      </c>
      <c r="V48" s="10" t="s">
        <v>38</v>
      </c>
      <c r="W48" s="10" t="s">
        <v>43</v>
      </c>
      <c r="X48" s="10">
        <v>0.5</v>
      </c>
      <c r="Y48" s="10">
        <v>1</v>
      </c>
      <c r="Z48" s="10" t="s">
        <v>339</v>
      </c>
      <c r="AA48" s="10">
        <v>0.38600000000000001</v>
      </c>
      <c r="AB48" s="10" t="s">
        <v>34</v>
      </c>
      <c r="AC48" s="10" t="s">
        <v>399</v>
      </c>
      <c r="AD48" s="10" t="s">
        <v>277</v>
      </c>
      <c r="AE48" s="10">
        <v>0.86780000000000002</v>
      </c>
      <c r="AF48" s="10" t="s">
        <v>395</v>
      </c>
      <c r="AG48" s="10">
        <v>2024</v>
      </c>
      <c r="AH48" s="10" t="s">
        <v>396</v>
      </c>
      <c r="AI48" s="2">
        <v>50</v>
      </c>
      <c r="AJ48" s="2">
        <v>2</v>
      </c>
      <c r="AK48" s="2" t="s">
        <v>34</v>
      </c>
      <c r="AL48" s="2" t="str">
        <f t="shared" si="0"/>
        <v>Cui et al. (2024)</v>
      </c>
    </row>
    <row r="49" spans="1:38" s="2" customFormat="1" ht="15.6" x14ac:dyDescent="0.3">
      <c r="A49" s="11">
        <v>9.7124268054651903</v>
      </c>
      <c r="B49" s="11">
        <v>309.927360774818</v>
      </c>
      <c r="C49" s="10" t="s">
        <v>34</v>
      </c>
      <c r="D49" s="10" t="s">
        <v>394</v>
      </c>
      <c r="E49" s="10" t="s">
        <v>387</v>
      </c>
      <c r="F49" s="10" t="s">
        <v>34</v>
      </c>
      <c r="G49" s="10" t="s">
        <v>34</v>
      </c>
      <c r="H49" s="10" t="s">
        <v>34</v>
      </c>
      <c r="I49" s="10" t="s">
        <v>34</v>
      </c>
      <c r="J49" s="10" t="s">
        <v>34</v>
      </c>
      <c r="K49" s="10" t="s">
        <v>34</v>
      </c>
      <c r="L49" s="10">
        <v>0</v>
      </c>
      <c r="M49" s="10">
        <v>34.1</v>
      </c>
      <c r="N49" s="10">
        <v>1400.49</v>
      </c>
      <c r="O49" s="10">
        <v>1.143</v>
      </c>
      <c r="P49" s="10">
        <v>0.84099999999999997</v>
      </c>
      <c r="Q49" s="10">
        <v>36.4</v>
      </c>
      <c r="R49" s="10">
        <v>2.8570000000000002</v>
      </c>
      <c r="S49" s="10" t="s">
        <v>34</v>
      </c>
      <c r="T49" s="10" t="s">
        <v>49</v>
      </c>
      <c r="U49" s="10" t="s">
        <v>362</v>
      </c>
      <c r="V49" s="10" t="s">
        <v>38</v>
      </c>
      <c r="W49" s="10" t="s">
        <v>43</v>
      </c>
      <c r="X49" s="10">
        <v>0.5</v>
      </c>
      <c r="Y49" s="10">
        <v>1</v>
      </c>
      <c r="Z49" s="10" t="s">
        <v>339</v>
      </c>
      <c r="AA49" s="10">
        <v>0.38600000000000001</v>
      </c>
      <c r="AB49" s="10" t="s">
        <v>34</v>
      </c>
      <c r="AC49" s="10" t="s">
        <v>399</v>
      </c>
      <c r="AD49" s="10" t="s">
        <v>277</v>
      </c>
      <c r="AE49" s="10">
        <v>0.86780000000000002</v>
      </c>
      <c r="AF49" s="10" t="s">
        <v>395</v>
      </c>
      <c r="AG49" s="10">
        <v>2024</v>
      </c>
      <c r="AH49" s="10" t="s">
        <v>396</v>
      </c>
      <c r="AI49" s="2">
        <v>50</v>
      </c>
      <c r="AJ49" s="2">
        <v>2</v>
      </c>
      <c r="AK49" s="2" t="s">
        <v>34</v>
      </c>
      <c r="AL49" s="2" t="str">
        <f t="shared" si="0"/>
        <v>Cui et al. (2024)</v>
      </c>
    </row>
    <row r="50" spans="1:38" s="2" customFormat="1" ht="15.6" x14ac:dyDescent="0.3">
      <c r="A50" s="11">
        <v>10.1080026024723</v>
      </c>
      <c r="B50" s="11">
        <v>318.80548829701303</v>
      </c>
      <c r="C50" s="10" t="s">
        <v>34</v>
      </c>
      <c r="D50" s="10" t="s">
        <v>394</v>
      </c>
      <c r="E50" s="10" t="s">
        <v>387</v>
      </c>
      <c r="F50" s="10" t="s">
        <v>34</v>
      </c>
      <c r="G50" s="10" t="s">
        <v>34</v>
      </c>
      <c r="H50" s="10" t="s">
        <v>34</v>
      </c>
      <c r="I50" s="10" t="s">
        <v>34</v>
      </c>
      <c r="J50" s="10" t="s">
        <v>34</v>
      </c>
      <c r="K50" s="10" t="s">
        <v>34</v>
      </c>
      <c r="L50" s="10">
        <v>0</v>
      </c>
      <c r="M50" s="10">
        <v>34.1</v>
      </c>
      <c r="N50" s="10">
        <v>1400.49</v>
      </c>
      <c r="O50" s="10">
        <v>1.143</v>
      </c>
      <c r="P50" s="10">
        <v>0.84099999999999997</v>
      </c>
      <c r="Q50" s="10">
        <v>36.4</v>
      </c>
      <c r="R50" s="10">
        <v>2.8570000000000002</v>
      </c>
      <c r="S50" s="10" t="s">
        <v>34</v>
      </c>
      <c r="T50" s="10" t="s">
        <v>49</v>
      </c>
      <c r="U50" s="10" t="s">
        <v>362</v>
      </c>
      <c r="V50" s="10" t="s">
        <v>38</v>
      </c>
      <c r="W50" s="10" t="s">
        <v>43</v>
      </c>
      <c r="X50" s="10">
        <v>0.5</v>
      </c>
      <c r="Y50" s="10">
        <v>1</v>
      </c>
      <c r="Z50" s="10" t="s">
        <v>339</v>
      </c>
      <c r="AA50" s="10">
        <v>0.38600000000000001</v>
      </c>
      <c r="AB50" s="10" t="s">
        <v>34</v>
      </c>
      <c r="AC50" s="10" t="s">
        <v>399</v>
      </c>
      <c r="AD50" s="10" t="s">
        <v>277</v>
      </c>
      <c r="AE50" s="10">
        <v>0.86780000000000002</v>
      </c>
      <c r="AF50" s="10" t="s">
        <v>395</v>
      </c>
      <c r="AG50" s="10">
        <v>2024</v>
      </c>
      <c r="AH50" s="10" t="s">
        <v>396</v>
      </c>
      <c r="AI50" s="2">
        <v>50</v>
      </c>
      <c r="AJ50" s="2">
        <v>2</v>
      </c>
      <c r="AK50" s="2" t="s">
        <v>34</v>
      </c>
      <c r="AL50" s="2" t="str">
        <f t="shared" si="0"/>
        <v>Cui et al. (2024)</v>
      </c>
    </row>
    <row r="51" spans="1:38" s="2" customFormat="1" ht="15.6" x14ac:dyDescent="0.3">
      <c r="A51" s="11">
        <v>11.929733246584201</v>
      </c>
      <c r="B51" s="11">
        <v>482.64729620661802</v>
      </c>
      <c r="C51" s="10" t="s">
        <v>34</v>
      </c>
      <c r="D51" s="10" t="s">
        <v>394</v>
      </c>
      <c r="E51" s="10" t="s">
        <v>387</v>
      </c>
      <c r="F51" s="10" t="s">
        <v>34</v>
      </c>
      <c r="G51" s="10" t="s">
        <v>34</v>
      </c>
      <c r="H51" s="10" t="s">
        <v>34</v>
      </c>
      <c r="I51" s="10" t="s">
        <v>34</v>
      </c>
      <c r="J51" s="10" t="s">
        <v>34</v>
      </c>
      <c r="K51" s="10" t="s">
        <v>34</v>
      </c>
      <c r="L51" s="10">
        <v>0</v>
      </c>
      <c r="M51" s="10">
        <v>34.1</v>
      </c>
      <c r="N51" s="10">
        <v>1400.49</v>
      </c>
      <c r="O51" s="10">
        <v>1.143</v>
      </c>
      <c r="P51" s="10">
        <v>0.84099999999999997</v>
      </c>
      <c r="Q51" s="10">
        <v>36.4</v>
      </c>
      <c r="R51" s="10">
        <v>2.8570000000000002</v>
      </c>
      <c r="S51" s="10" t="s">
        <v>34</v>
      </c>
      <c r="T51" s="10" t="s">
        <v>49</v>
      </c>
      <c r="U51" s="10" t="s">
        <v>362</v>
      </c>
      <c r="V51" s="10" t="s">
        <v>38</v>
      </c>
      <c r="W51" s="10" t="s">
        <v>43</v>
      </c>
      <c r="X51" s="10">
        <v>0.5</v>
      </c>
      <c r="Y51" s="10">
        <v>1</v>
      </c>
      <c r="Z51" s="10" t="s">
        <v>339</v>
      </c>
      <c r="AA51" s="10">
        <v>0.38600000000000001</v>
      </c>
      <c r="AB51" s="10" t="s">
        <v>34</v>
      </c>
      <c r="AC51" s="10" t="s">
        <v>399</v>
      </c>
      <c r="AD51" s="10" t="s">
        <v>277</v>
      </c>
      <c r="AE51" s="10">
        <v>0.86780000000000002</v>
      </c>
      <c r="AF51" s="10" t="s">
        <v>395</v>
      </c>
      <c r="AG51" s="10">
        <v>2024</v>
      </c>
      <c r="AH51" s="10" t="s">
        <v>396</v>
      </c>
      <c r="AI51" s="2">
        <v>50</v>
      </c>
      <c r="AJ51" s="2">
        <v>2</v>
      </c>
      <c r="AK51" s="2" t="s">
        <v>34</v>
      </c>
      <c r="AL51" s="2" t="str">
        <f t="shared" si="0"/>
        <v>Cui et al. (2024)</v>
      </c>
    </row>
    <row r="52" spans="1:38" s="2" customFormat="1" ht="15.6" x14ac:dyDescent="0.3">
      <c r="A52" s="11">
        <v>12.2836694860117</v>
      </c>
      <c r="B52" s="11">
        <v>728.00645682001596</v>
      </c>
      <c r="C52" s="10" t="s">
        <v>34</v>
      </c>
      <c r="D52" s="10" t="s">
        <v>394</v>
      </c>
      <c r="E52" s="10" t="s">
        <v>387</v>
      </c>
      <c r="F52" s="10" t="s">
        <v>34</v>
      </c>
      <c r="G52" s="10" t="s">
        <v>34</v>
      </c>
      <c r="H52" s="10" t="s">
        <v>34</v>
      </c>
      <c r="I52" s="10" t="s">
        <v>34</v>
      </c>
      <c r="J52" s="10" t="s">
        <v>34</v>
      </c>
      <c r="K52" s="10" t="s">
        <v>34</v>
      </c>
      <c r="L52" s="10">
        <v>0</v>
      </c>
      <c r="M52" s="10">
        <v>34.1</v>
      </c>
      <c r="N52" s="10">
        <v>1400.49</v>
      </c>
      <c r="O52" s="10">
        <v>1.143</v>
      </c>
      <c r="P52" s="10">
        <v>0.84099999999999997</v>
      </c>
      <c r="Q52" s="10">
        <v>36.4</v>
      </c>
      <c r="R52" s="10">
        <v>2.8570000000000002</v>
      </c>
      <c r="S52" s="10" t="s">
        <v>34</v>
      </c>
      <c r="T52" s="10" t="s">
        <v>49</v>
      </c>
      <c r="U52" s="10" t="s">
        <v>362</v>
      </c>
      <c r="V52" s="10" t="s">
        <v>38</v>
      </c>
      <c r="W52" s="10" t="s">
        <v>43</v>
      </c>
      <c r="X52" s="10">
        <v>0.5</v>
      </c>
      <c r="Y52" s="10">
        <v>1</v>
      </c>
      <c r="Z52" s="10" t="s">
        <v>339</v>
      </c>
      <c r="AA52" s="10">
        <v>0.38600000000000001</v>
      </c>
      <c r="AB52" s="10" t="s">
        <v>34</v>
      </c>
      <c r="AC52" s="10" t="s">
        <v>399</v>
      </c>
      <c r="AD52" s="10" t="s">
        <v>277</v>
      </c>
      <c r="AE52" s="10">
        <v>0.86780000000000002</v>
      </c>
      <c r="AF52" s="10" t="s">
        <v>395</v>
      </c>
      <c r="AG52" s="10">
        <v>2024</v>
      </c>
      <c r="AH52" s="10" t="s">
        <v>396</v>
      </c>
      <c r="AI52" s="2">
        <v>50</v>
      </c>
      <c r="AJ52" s="2">
        <v>2</v>
      </c>
      <c r="AK52" s="2" t="s">
        <v>34</v>
      </c>
      <c r="AL52" s="2" t="str">
        <f t="shared" si="0"/>
        <v>Cui et al. (2024)</v>
      </c>
    </row>
    <row r="53" spans="1:38" s="2" customFormat="1" ht="16.2" thickBot="1" x14ac:dyDescent="0.35">
      <c r="A53" s="17">
        <v>11.81522446324</v>
      </c>
      <c r="B53" s="17">
        <v>900.72639225181604</v>
      </c>
      <c r="C53" s="14" t="s">
        <v>34</v>
      </c>
      <c r="D53" s="14" t="s">
        <v>394</v>
      </c>
      <c r="E53" s="14" t="s">
        <v>387</v>
      </c>
      <c r="F53" s="14" t="s">
        <v>34</v>
      </c>
      <c r="G53" s="14" t="s">
        <v>34</v>
      </c>
      <c r="H53" s="14" t="s">
        <v>34</v>
      </c>
      <c r="I53" s="14" t="s">
        <v>34</v>
      </c>
      <c r="J53" s="14" t="s">
        <v>34</v>
      </c>
      <c r="K53" s="14" t="s">
        <v>34</v>
      </c>
      <c r="L53" s="14">
        <v>0</v>
      </c>
      <c r="M53" s="14">
        <v>34.1</v>
      </c>
      <c r="N53" s="14">
        <v>1400.49</v>
      </c>
      <c r="O53" s="14">
        <v>1.143</v>
      </c>
      <c r="P53" s="14">
        <v>0.84099999999999997</v>
      </c>
      <c r="Q53" s="14">
        <v>36.4</v>
      </c>
      <c r="R53" s="14">
        <v>2.8570000000000002</v>
      </c>
      <c r="S53" s="14" t="s">
        <v>34</v>
      </c>
      <c r="T53" s="14" t="s">
        <v>49</v>
      </c>
      <c r="U53" s="14" t="s">
        <v>362</v>
      </c>
      <c r="V53" s="14" t="s">
        <v>38</v>
      </c>
      <c r="W53" s="14" t="s">
        <v>43</v>
      </c>
      <c r="X53" s="14">
        <v>0.5</v>
      </c>
      <c r="Y53" s="14">
        <v>1</v>
      </c>
      <c r="Z53" s="14" t="s">
        <v>339</v>
      </c>
      <c r="AA53" s="14">
        <v>0.38600000000000001</v>
      </c>
      <c r="AB53" s="14" t="s">
        <v>34</v>
      </c>
      <c r="AC53" s="14" t="s">
        <v>399</v>
      </c>
      <c r="AD53" s="14" t="s">
        <v>277</v>
      </c>
      <c r="AE53" s="14">
        <v>0.86780000000000002</v>
      </c>
      <c r="AF53" s="14" t="s">
        <v>395</v>
      </c>
      <c r="AG53" s="14">
        <v>2024</v>
      </c>
      <c r="AH53" s="14" t="s">
        <v>396</v>
      </c>
      <c r="AI53" s="15">
        <v>50</v>
      </c>
      <c r="AJ53" s="15">
        <v>2</v>
      </c>
      <c r="AK53" s="15" t="s">
        <v>34</v>
      </c>
      <c r="AL53" s="2" t="str">
        <f t="shared" si="0"/>
        <v>Cui et al. (2024)</v>
      </c>
    </row>
    <row r="59" spans="1:38" x14ac:dyDescent="0.25">
      <c r="A59" s="92" t="s">
        <v>400</v>
      </c>
      <c r="B59" s="92" t="s">
        <v>421</v>
      </c>
      <c r="C59" s="92" t="s">
        <v>422</v>
      </c>
    </row>
    <row r="60" spans="1:38" x14ac:dyDescent="0.25">
      <c r="A60" s="92" t="s">
        <v>423</v>
      </c>
      <c r="B60" s="92" t="s">
        <v>170</v>
      </c>
      <c r="C60" s="92" t="s">
        <v>387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6A652-7693-4C5D-85EA-858CAFA79F24}">
  <dimension ref="A1:BT83"/>
  <sheetViews>
    <sheetView topLeftCell="AH1" workbookViewId="0">
      <pane ySplit="1" topLeftCell="A2" activePane="bottomLeft" state="frozen"/>
      <selection pane="bottomLeft" activeCell="T7" sqref="T7"/>
    </sheetView>
  </sheetViews>
  <sheetFormatPr defaultRowHeight="14.4" x14ac:dyDescent="0.3"/>
  <sheetData>
    <row r="1" spans="1:72" s="1" customFormat="1" ht="93.6" x14ac:dyDescent="0.3">
      <c r="A1" s="16" t="s">
        <v>0</v>
      </c>
      <c r="B1" s="16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416</v>
      </c>
      <c r="O1" s="3" t="s">
        <v>14</v>
      </c>
      <c r="P1" s="3" t="s">
        <v>15</v>
      </c>
      <c r="Q1" s="3" t="s">
        <v>44</v>
      </c>
      <c r="R1" s="3" t="s">
        <v>30</v>
      </c>
      <c r="S1" s="3" t="s">
        <v>417</v>
      </c>
      <c r="T1" s="4" t="s">
        <v>17</v>
      </c>
      <c r="U1" s="4" t="s">
        <v>18</v>
      </c>
      <c r="V1" s="4" t="s">
        <v>19</v>
      </c>
      <c r="W1" s="4" t="s">
        <v>20</v>
      </c>
      <c r="X1" s="5" t="s">
        <v>21</v>
      </c>
      <c r="Y1" s="5" t="s">
        <v>22</v>
      </c>
      <c r="Z1" s="5" t="s">
        <v>23</v>
      </c>
      <c r="AA1" s="5" t="s">
        <v>415</v>
      </c>
      <c r="AB1" s="5" t="s">
        <v>52</v>
      </c>
      <c r="AC1" s="6" t="s">
        <v>26</v>
      </c>
      <c r="AD1" s="7" t="s">
        <v>31</v>
      </c>
      <c r="AE1" s="8" t="s">
        <v>25</v>
      </c>
      <c r="AF1" s="9" t="s">
        <v>27</v>
      </c>
      <c r="AG1" s="9" t="s">
        <v>28</v>
      </c>
      <c r="AH1" s="9" t="s">
        <v>29</v>
      </c>
      <c r="AI1" s="58" t="s">
        <v>376</v>
      </c>
      <c r="AJ1" s="58" t="s">
        <v>377</v>
      </c>
      <c r="AK1" s="58" t="s">
        <v>378</v>
      </c>
      <c r="AL1" s="1" t="s">
        <v>418</v>
      </c>
    </row>
    <row r="2" spans="1:72" s="2" customFormat="1" ht="15.6" x14ac:dyDescent="0.3">
      <c r="A2" s="11">
        <v>12.6</v>
      </c>
      <c r="B2" s="11">
        <v>700</v>
      </c>
      <c r="C2" s="10" t="s">
        <v>33</v>
      </c>
      <c r="D2" s="10" t="s">
        <v>35</v>
      </c>
      <c r="E2" s="10" t="s">
        <v>170</v>
      </c>
      <c r="F2" s="10" t="s">
        <v>34</v>
      </c>
      <c r="G2" s="20">
        <v>0.16600000000000001</v>
      </c>
      <c r="H2" s="10" t="s">
        <v>34</v>
      </c>
      <c r="I2" s="10" t="s">
        <v>34</v>
      </c>
      <c r="J2" s="10">
        <v>1.64</v>
      </c>
      <c r="K2" s="10" t="s">
        <v>34</v>
      </c>
      <c r="L2" s="10" t="s">
        <v>34</v>
      </c>
      <c r="M2" s="10" t="s">
        <v>34</v>
      </c>
      <c r="N2" s="20">
        <v>1560</v>
      </c>
      <c r="O2" s="10" t="s">
        <v>34</v>
      </c>
      <c r="P2" s="10" t="s">
        <v>34</v>
      </c>
      <c r="Q2" s="10" t="s">
        <v>34</v>
      </c>
      <c r="R2" s="10" t="s">
        <v>34</v>
      </c>
      <c r="S2" s="10" t="s">
        <v>34</v>
      </c>
      <c r="T2" s="10" t="s">
        <v>36</v>
      </c>
      <c r="U2" s="20" t="s">
        <v>37</v>
      </c>
      <c r="V2" s="20" t="s">
        <v>38</v>
      </c>
      <c r="W2" s="10">
        <v>10</v>
      </c>
      <c r="X2" s="10">
        <v>1</v>
      </c>
      <c r="Y2" s="10">
        <v>1</v>
      </c>
      <c r="Z2" s="10" t="s">
        <v>39</v>
      </c>
      <c r="AA2" s="10">
        <v>1.1000000000000001</v>
      </c>
      <c r="AB2" s="10"/>
      <c r="AC2" s="10" t="s">
        <v>40</v>
      </c>
      <c r="AD2" s="10" t="s">
        <v>32</v>
      </c>
      <c r="AE2" s="20">
        <f>0.5776</f>
        <v>0.5776</v>
      </c>
      <c r="AF2" s="10" t="s">
        <v>41</v>
      </c>
      <c r="AG2" s="10">
        <v>2010</v>
      </c>
      <c r="AH2" s="21" t="s">
        <v>42</v>
      </c>
      <c r="AI2" s="2">
        <v>49.33</v>
      </c>
      <c r="AJ2" s="2">
        <v>2.19</v>
      </c>
      <c r="AK2" s="2">
        <v>0.1</v>
      </c>
      <c r="AL2" s="2" t="str">
        <f>CONCATENATE(AF2, " et al. (",AG2,")")</f>
        <v>Paassen et al. (2010)</v>
      </c>
    </row>
    <row r="3" spans="1:72" s="2" customFormat="1" ht="15.6" x14ac:dyDescent="0.3">
      <c r="A3" s="11">
        <v>13.2</v>
      </c>
      <c r="B3" s="11">
        <v>900</v>
      </c>
      <c r="C3" s="10" t="s">
        <v>33</v>
      </c>
      <c r="D3" s="10" t="s">
        <v>35</v>
      </c>
      <c r="E3" s="10" t="s">
        <v>170</v>
      </c>
      <c r="F3" s="10" t="s">
        <v>34</v>
      </c>
      <c r="G3" s="20">
        <v>0.16600000000000001</v>
      </c>
      <c r="H3" s="10" t="s">
        <v>34</v>
      </c>
      <c r="I3" s="10" t="s">
        <v>34</v>
      </c>
      <c r="J3" s="10">
        <v>1.64</v>
      </c>
      <c r="K3" s="10" t="s">
        <v>34</v>
      </c>
      <c r="L3" s="10" t="s">
        <v>34</v>
      </c>
      <c r="M3" s="10" t="s">
        <v>34</v>
      </c>
      <c r="N3" s="20">
        <v>1560</v>
      </c>
      <c r="O3" s="10" t="s">
        <v>34</v>
      </c>
      <c r="P3" s="10" t="s">
        <v>34</v>
      </c>
      <c r="Q3" s="10" t="s">
        <v>34</v>
      </c>
      <c r="R3" s="10" t="s">
        <v>34</v>
      </c>
      <c r="S3" s="10" t="s">
        <v>34</v>
      </c>
      <c r="T3" s="10" t="s">
        <v>36</v>
      </c>
      <c r="U3" s="20" t="s">
        <v>37</v>
      </c>
      <c r="V3" s="20" t="s">
        <v>38</v>
      </c>
      <c r="W3" s="10">
        <v>10</v>
      </c>
      <c r="X3" s="10">
        <v>1</v>
      </c>
      <c r="Y3" s="10">
        <v>1</v>
      </c>
      <c r="Z3" s="10" t="s">
        <v>39</v>
      </c>
      <c r="AA3" s="10">
        <v>1.1000000000000001</v>
      </c>
      <c r="AB3" s="10"/>
      <c r="AC3" s="10" t="s">
        <v>40</v>
      </c>
      <c r="AD3" s="10" t="s">
        <v>32</v>
      </c>
      <c r="AE3" s="20">
        <f t="shared" ref="AE3:AE40" si="0">0.5776</f>
        <v>0.5776</v>
      </c>
      <c r="AF3" s="10" t="s">
        <v>41</v>
      </c>
      <c r="AG3" s="10">
        <v>2010</v>
      </c>
      <c r="AH3" s="21" t="s">
        <v>42</v>
      </c>
      <c r="AI3" s="2">
        <v>49.33</v>
      </c>
      <c r="AJ3" s="2">
        <v>2.19</v>
      </c>
      <c r="AK3" s="2">
        <v>0.1</v>
      </c>
      <c r="AL3" s="2" t="str">
        <f t="shared" ref="AL3:AL40" si="1">CONCATENATE(AF3, " et al. (",AG3,")")</f>
        <v>Paassen et al. (2010)</v>
      </c>
      <c r="AQ3" s="91"/>
    </row>
    <row r="4" spans="1:72" s="2" customFormat="1" ht="15.6" x14ac:dyDescent="0.3">
      <c r="A4" s="11">
        <v>13.8</v>
      </c>
      <c r="B4" s="11">
        <v>2100</v>
      </c>
      <c r="C4" s="10" t="s">
        <v>33</v>
      </c>
      <c r="D4" s="10" t="s">
        <v>35</v>
      </c>
      <c r="E4" s="10" t="s">
        <v>170</v>
      </c>
      <c r="F4" s="10" t="s">
        <v>34</v>
      </c>
      <c r="G4" s="20">
        <v>0.16600000000000001</v>
      </c>
      <c r="H4" s="10" t="s">
        <v>34</v>
      </c>
      <c r="I4" s="10" t="s">
        <v>34</v>
      </c>
      <c r="J4" s="10">
        <v>1.64</v>
      </c>
      <c r="K4" s="10" t="s">
        <v>34</v>
      </c>
      <c r="L4" s="10" t="s">
        <v>34</v>
      </c>
      <c r="M4" s="10" t="s">
        <v>34</v>
      </c>
      <c r="N4" s="20">
        <v>1560</v>
      </c>
      <c r="O4" s="10" t="s">
        <v>34</v>
      </c>
      <c r="P4" s="10" t="s">
        <v>34</v>
      </c>
      <c r="Q4" s="10" t="s">
        <v>34</v>
      </c>
      <c r="R4" s="10" t="s">
        <v>34</v>
      </c>
      <c r="S4" s="10" t="s">
        <v>34</v>
      </c>
      <c r="T4" s="10" t="s">
        <v>36</v>
      </c>
      <c r="U4" s="20" t="s">
        <v>37</v>
      </c>
      <c r="V4" s="20" t="s">
        <v>38</v>
      </c>
      <c r="W4" s="10">
        <v>10</v>
      </c>
      <c r="X4" s="10">
        <v>1</v>
      </c>
      <c r="Y4" s="10">
        <v>1</v>
      </c>
      <c r="Z4" s="10" t="s">
        <v>39</v>
      </c>
      <c r="AA4" s="10">
        <v>1.1000000000000001</v>
      </c>
      <c r="AB4" s="10"/>
      <c r="AC4" s="10" t="s">
        <v>40</v>
      </c>
      <c r="AD4" s="10" t="s">
        <v>32</v>
      </c>
      <c r="AE4" s="20">
        <f t="shared" si="0"/>
        <v>0.5776</v>
      </c>
      <c r="AF4" s="10" t="s">
        <v>41</v>
      </c>
      <c r="AG4" s="10">
        <v>2010</v>
      </c>
      <c r="AH4" s="21" t="s">
        <v>42</v>
      </c>
      <c r="AI4" s="2">
        <v>49.33</v>
      </c>
      <c r="AJ4" s="2">
        <v>2.19</v>
      </c>
      <c r="AK4" s="2">
        <v>0.1</v>
      </c>
      <c r="AL4" s="2" t="str">
        <f t="shared" si="1"/>
        <v>Paassen et al. (2010)</v>
      </c>
      <c r="AQ4" s="91"/>
    </row>
    <row r="5" spans="1:72" s="2" customFormat="1" ht="15.6" x14ac:dyDescent="0.3">
      <c r="A5" s="11">
        <v>14</v>
      </c>
      <c r="B5" s="11">
        <v>1200</v>
      </c>
      <c r="C5" s="10" t="s">
        <v>33</v>
      </c>
      <c r="D5" s="10" t="s">
        <v>35</v>
      </c>
      <c r="E5" s="10" t="s">
        <v>170</v>
      </c>
      <c r="F5" s="10" t="s">
        <v>34</v>
      </c>
      <c r="G5" s="20">
        <v>0.16600000000000001</v>
      </c>
      <c r="H5" s="10" t="s">
        <v>34</v>
      </c>
      <c r="I5" s="10" t="s">
        <v>34</v>
      </c>
      <c r="J5" s="10">
        <v>1.64</v>
      </c>
      <c r="K5" s="10" t="s">
        <v>34</v>
      </c>
      <c r="L5" s="10" t="s">
        <v>34</v>
      </c>
      <c r="M5" s="10" t="s">
        <v>34</v>
      </c>
      <c r="N5" s="20">
        <v>1560</v>
      </c>
      <c r="O5" s="10" t="s">
        <v>34</v>
      </c>
      <c r="P5" s="10" t="s">
        <v>34</v>
      </c>
      <c r="Q5" s="10" t="s">
        <v>34</v>
      </c>
      <c r="R5" s="10" t="s">
        <v>34</v>
      </c>
      <c r="S5" s="10" t="s">
        <v>34</v>
      </c>
      <c r="T5" s="10" t="s">
        <v>36</v>
      </c>
      <c r="U5" s="20" t="s">
        <v>37</v>
      </c>
      <c r="V5" s="20" t="s">
        <v>38</v>
      </c>
      <c r="W5" s="10">
        <v>10</v>
      </c>
      <c r="X5" s="10">
        <v>1</v>
      </c>
      <c r="Y5" s="10">
        <v>1</v>
      </c>
      <c r="Z5" s="10" t="s">
        <v>39</v>
      </c>
      <c r="AA5" s="10">
        <v>1.1000000000000001</v>
      </c>
      <c r="AB5" s="10"/>
      <c r="AC5" s="10" t="s">
        <v>40</v>
      </c>
      <c r="AD5" s="10" t="s">
        <v>32</v>
      </c>
      <c r="AE5" s="20">
        <f t="shared" si="0"/>
        <v>0.5776</v>
      </c>
      <c r="AF5" s="10" t="s">
        <v>41</v>
      </c>
      <c r="AG5" s="10">
        <v>2010</v>
      </c>
      <c r="AH5" s="21" t="s">
        <v>42</v>
      </c>
      <c r="AI5" s="2">
        <v>49.33</v>
      </c>
      <c r="AJ5" s="2">
        <v>2.19</v>
      </c>
      <c r="AK5" s="2">
        <v>0.1</v>
      </c>
      <c r="AL5" s="2" t="str">
        <f t="shared" si="1"/>
        <v>Paassen et al. (2010)</v>
      </c>
      <c r="AQ5" s="91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</row>
    <row r="6" spans="1:72" s="2" customFormat="1" ht="15.6" x14ac:dyDescent="0.3">
      <c r="A6" s="11">
        <v>14.6</v>
      </c>
      <c r="B6" s="11">
        <v>1500</v>
      </c>
      <c r="C6" s="10" t="s">
        <v>33</v>
      </c>
      <c r="D6" s="10" t="s">
        <v>35</v>
      </c>
      <c r="E6" s="10" t="s">
        <v>170</v>
      </c>
      <c r="F6" s="10" t="s">
        <v>34</v>
      </c>
      <c r="G6" s="20">
        <v>0.16600000000000001</v>
      </c>
      <c r="H6" s="10" t="s">
        <v>34</v>
      </c>
      <c r="I6" s="10" t="s">
        <v>34</v>
      </c>
      <c r="J6" s="10">
        <v>1.64</v>
      </c>
      <c r="K6" s="10" t="s">
        <v>34</v>
      </c>
      <c r="L6" s="10" t="s">
        <v>34</v>
      </c>
      <c r="M6" s="10" t="s">
        <v>34</v>
      </c>
      <c r="N6" s="20">
        <v>1560</v>
      </c>
      <c r="O6" s="10" t="s">
        <v>34</v>
      </c>
      <c r="P6" s="10" t="s">
        <v>34</v>
      </c>
      <c r="Q6" s="10" t="s">
        <v>34</v>
      </c>
      <c r="R6" s="10" t="s">
        <v>34</v>
      </c>
      <c r="S6" s="10" t="s">
        <v>34</v>
      </c>
      <c r="T6" s="10" t="s">
        <v>36</v>
      </c>
      <c r="U6" s="20" t="s">
        <v>37</v>
      </c>
      <c r="V6" s="20" t="s">
        <v>38</v>
      </c>
      <c r="W6" s="10">
        <v>10</v>
      </c>
      <c r="X6" s="10">
        <v>1</v>
      </c>
      <c r="Y6" s="10">
        <v>1</v>
      </c>
      <c r="Z6" s="10" t="s">
        <v>39</v>
      </c>
      <c r="AA6" s="10">
        <v>1.1000000000000001</v>
      </c>
      <c r="AB6" s="10"/>
      <c r="AC6" s="10" t="s">
        <v>40</v>
      </c>
      <c r="AD6" s="10" t="s">
        <v>32</v>
      </c>
      <c r="AE6" s="20">
        <f t="shared" si="0"/>
        <v>0.5776</v>
      </c>
      <c r="AF6" s="10" t="s">
        <v>41</v>
      </c>
      <c r="AG6" s="10">
        <v>2010</v>
      </c>
      <c r="AH6" s="21" t="s">
        <v>42</v>
      </c>
      <c r="AI6" s="2">
        <v>49.33</v>
      </c>
      <c r="AJ6" s="2">
        <v>2.19</v>
      </c>
      <c r="AK6" s="2">
        <v>0.1</v>
      </c>
      <c r="AL6" s="2" t="str">
        <f t="shared" si="1"/>
        <v>Paassen et al. (2010)</v>
      </c>
      <c r="AQ6" s="91"/>
    </row>
    <row r="7" spans="1:72" s="2" customFormat="1" ht="15.6" x14ac:dyDescent="0.3">
      <c r="A7" s="11">
        <v>14</v>
      </c>
      <c r="B7" s="11">
        <v>1700</v>
      </c>
      <c r="C7" s="10" t="s">
        <v>33</v>
      </c>
      <c r="D7" s="10" t="s">
        <v>35</v>
      </c>
      <c r="E7" s="10" t="s">
        <v>170</v>
      </c>
      <c r="F7" s="10" t="s">
        <v>34</v>
      </c>
      <c r="G7" s="20">
        <v>0.16600000000000001</v>
      </c>
      <c r="H7" s="10" t="s">
        <v>34</v>
      </c>
      <c r="I7" s="10" t="s">
        <v>34</v>
      </c>
      <c r="J7" s="10">
        <v>1.64</v>
      </c>
      <c r="K7" s="10" t="s">
        <v>34</v>
      </c>
      <c r="L7" s="10" t="s">
        <v>34</v>
      </c>
      <c r="M7" s="10" t="s">
        <v>34</v>
      </c>
      <c r="N7" s="20">
        <v>1560</v>
      </c>
      <c r="O7" s="10" t="s">
        <v>34</v>
      </c>
      <c r="P7" s="10" t="s">
        <v>34</v>
      </c>
      <c r="Q7" s="10" t="s">
        <v>34</v>
      </c>
      <c r="R7" s="10" t="s">
        <v>34</v>
      </c>
      <c r="S7" s="10" t="s">
        <v>34</v>
      </c>
      <c r="T7" s="10" t="s">
        <v>36</v>
      </c>
      <c r="U7" s="20" t="s">
        <v>37</v>
      </c>
      <c r="V7" s="20" t="s">
        <v>38</v>
      </c>
      <c r="W7" s="10">
        <v>10</v>
      </c>
      <c r="X7" s="10">
        <v>1</v>
      </c>
      <c r="Y7" s="10">
        <v>1</v>
      </c>
      <c r="Z7" s="10" t="s">
        <v>39</v>
      </c>
      <c r="AA7" s="10">
        <v>1.1000000000000001</v>
      </c>
      <c r="AB7" s="10"/>
      <c r="AC7" s="10" t="s">
        <v>40</v>
      </c>
      <c r="AD7" s="10" t="s">
        <v>32</v>
      </c>
      <c r="AE7" s="20">
        <f t="shared" si="0"/>
        <v>0.5776</v>
      </c>
      <c r="AF7" s="10" t="s">
        <v>41</v>
      </c>
      <c r="AG7" s="10">
        <v>2010</v>
      </c>
      <c r="AH7" s="21" t="s">
        <v>42</v>
      </c>
      <c r="AI7" s="2">
        <v>49.33</v>
      </c>
      <c r="AJ7" s="2">
        <v>2.19</v>
      </c>
      <c r="AK7" s="2">
        <v>0.1</v>
      </c>
      <c r="AL7" s="2" t="str">
        <f t="shared" si="1"/>
        <v>Paassen et al. (2010)</v>
      </c>
      <c r="AQ7" s="91"/>
    </row>
    <row r="8" spans="1:72" s="2" customFormat="1" ht="15.6" x14ac:dyDescent="0.3">
      <c r="A8" s="11">
        <v>14.5</v>
      </c>
      <c r="B8" s="11">
        <v>1000</v>
      </c>
      <c r="C8" s="10" t="s">
        <v>33</v>
      </c>
      <c r="D8" s="10" t="s">
        <v>35</v>
      </c>
      <c r="E8" s="10" t="s">
        <v>170</v>
      </c>
      <c r="F8" s="10" t="s">
        <v>34</v>
      </c>
      <c r="G8" s="20">
        <v>0.16600000000000001</v>
      </c>
      <c r="H8" s="10" t="s">
        <v>34</v>
      </c>
      <c r="I8" s="10" t="s">
        <v>34</v>
      </c>
      <c r="J8" s="10">
        <v>1.64</v>
      </c>
      <c r="K8" s="10" t="s">
        <v>34</v>
      </c>
      <c r="L8" s="10" t="s">
        <v>34</v>
      </c>
      <c r="M8" s="10" t="s">
        <v>34</v>
      </c>
      <c r="N8" s="20">
        <v>1560</v>
      </c>
      <c r="O8" s="10" t="s">
        <v>34</v>
      </c>
      <c r="P8" s="10" t="s">
        <v>34</v>
      </c>
      <c r="Q8" s="10" t="s">
        <v>34</v>
      </c>
      <c r="R8" s="10" t="s">
        <v>34</v>
      </c>
      <c r="S8" s="10" t="s">
        <v>34</v>
      </c>
      <c r="T8" s="10" t="s">
        <v>36</v>
      </c>
      <c r="U8" s="20" t="s">
        <v>37</v>
      </c>
      <c r="V8" s="20" t="s">
        <v>38</v>
      </c>
      <c r="W8" s="10">
        <v>10</v>
      </c>
      <c r="X8" s="10">
        <v>1</v>
      </c>
      <c r="Y8" s="10">
        <v>1</v>
      </c>
      <c r="Z8" s="10" t="s">
        <v>39</v>
      </c>
      <c r="AA8" s="10">
        <v>1.1000000000000001</v>
      </c>
      <c r="AB8" s="10"/>
      <c r="AC8" s="10" t="s">
        <v>40</v>
      </c>
      <c r="AD8" s="10" t="s">
        <v>32</v>
      </c>
      <c r="AE8" s="20">
        <f t="shared" si="0"/>
        <v>0.5776</v>
      </c>
      <c r="AF8" s="10" t="s">
        <v>41</v>
      </c>
      <c r="AG8" s="10">
        <v>2010</v>
      </c>
      <c r="AH8" s="21" t="s">
        <v>42</v>
      </c>
      <c r="AI8" s="2">
        <v>49.33</v>
      </c>
      <c r="AJ8" s="2">
        <v>2.19</v>
      </c>
      <c r="AK8" s="2">
        <v>0.1</v>
      </c>
      <c r="AL8" s="2" t="str">
        <f t="shared" si="1"/>
        <v>Paassen et al. (2010)</v>
      </c>
      <c r="AQ8" s="91"/>
    </row>
    <row r="9" spans="1:72" s="2" customFormat="1" ht="15.6" x14ac:dyDescent="0.3">
      <c r="A9" s="11">
        <v>14.5</v>
      </c>
      <c r="B9" s="11">
        <v>1300</v>
      </c>
      <c r="C9" s="10" t="s">
        <v>33</v>
      </c>
      <c r="D9" s="10" t="s">
        <v>35</v>
      </c>
      <c r="E9" s="10" t="s">
        <v>170</v>
      </c>
      <c r="F9" s="10" t="s">
        <v>34</v>
      </c>
      <c r="G9" s="20">
        <v>0.16600000000000001</v>
      </c>
      <c r="H9" s="10" t="s">
        <v>34</v>
      </c>
      <c r="I9" s="10" t="s">
        <v>34</v>
      </c>
      <c r="J9" s="10">
        <v>1.64</v>
      </c>
      <c r="K9" s="10" t="s">
        <v>34</v>
      </c>
      <c r="L9" s="10" t="s">
        <v>34</v>
      </c>
      <c r="M9" s="10" t="s">
        <v>34</v>
      </c>
      <c r="N9" s="20">
        <v>1560</v>
      </c>
      <c r="O9" s="10" t="s">
        <v>34</v>
      </c>
      <c r="P9" s="10" t="s">
        <v>34</v>
      </c>
      <c r="Q9" s="10" t="s">
        <v>34</v>
      </c>
      <c r="R9" s="10" t="s">
        <v>34</v>
      </c>
      <c r="S9" s="10" t="s">
        <v>34</v>
      </c>
      <c r="T9" s="10" t="s">
        <v>36</v>
      </c>
      <c r="U9" s="20" t="s">
        <v>37</v>
      </c>
      <c r="V9" s="20" t="s">
        <v>38</v>
      </c>
      <c r="W9" s="10">
        <v>10</v>
      </c>
      <c r="X9" s="10">
        <v>1</v>
      </c>
      <c r="Y9" s="10">
        <v>1</v>
      </c>
      <c r="Z9" s="10" t="s">
        <v>39</v>
      </c>
      <c r="AA9" s="10">
        <v>1.1000000000000001</v>
      </c>
      <c r="AB9" s="10"/>
      <c r="AC9" s="10" t="s">
        <v>40</v>
      </c>
      <c r="AD9" s="10" t="s">
        <v>32</v>
      </c>
      <c r="AE9" s="20">
        <f t="shared" si="0"/>
        <v>0.5776</v>
      </c>
      <c r="AF9" s="10" t="s">
        <v>41</v>
      </c>
      <c r="AG9" s="10">
        <v>2010</v>
      </c>
      <c r="AH9" s="21" t="s">
        <v>42</v>
      </c>
      <c r="AI9" s="2">
        <v>49.33</v>
      </c>
      <c r="AJ9" s="2">
        <v>2.19</v>
      </c>
      <c r="AK9" s="2">
        <v>0.1</v>
      </c>
      <c r="AL9" s="2" t="str">
        <f t="shared" si="1"/>
        <v>Paassen et al. (2010)</v>
      </c>
      <c r="AQ9" s="91"/>
    </row>
    <row r="10" spans="1:72" s="2" customFormat="1" ht="15.6" x14ac:dyDescent="0.3">
      <c r="A10" s="11">
        <v>14.5</v>
      </c>
      <c r="B10" s="11">
        <v>2200</v>
      </c>
      <c r="C10" s="10" t="s">
        <v>33</v>
      </c>
      <c r="D10" s="10" t="s">
        <v>35</v>
      </c>
      <c r="E10" s="10" t="s">
        <v>170</v>
      </c>
      <c r="F10" s="10" t="s">
        <v>34</v>
      </c>
      <c r="G10" s="20">
        <v>0.16600000000000001</v>
      </c>
      <c r="H10" s="10" t="s">
        <v>34</v>
      </c>
      <c r="I10" s="10" t="s">
        <v>34</v>
      </c>
      <c r="J10" s="10">
        <v>1.64</v>
      </c>
      <c r="K10" s="10" t="s">
        <v>34</v>
      </c>
      <c r="L10" s="10" t="s">
        <v>34</v>
      </c>
      <c r="M10" s="10" t="s">
        <v>34</v>
      </c>
      <c r="N10" s="20">
        <v>1560</v>
      </c>
      <c r="O10" s="10" t="s">
        <v>34</v>
      </c>
      <c r="P10" s="10" t="s">
        <v>34</v>
      </c>
      <c r="Q10" s="10" t="s">
        <v>34</v>
      </c>
      <c r="R10" s="10" t="s">
        <v>34</v>
      </c>
      <c r="S10" s="10" t="s">
        <v>34</v>
      </c>
      <c r="T10" s="10" t="s">
        <v>36</v>
      </c>
      <c r="U10" s="20" t="s">
        <v>37</v>
      </c>
      <c r="V10" s="20" t="s">
        <v>38</v>
      </c>
      <c r="W10" s="10">
        <v>10</v>
      </c>
      <c r="X10" s="10">
        <v>1</v>
      </c>
      <c r="Y10" s="10">
        <v>1</v>
      </c>
      <c r="Z10" s="10" t="s">
        <v>39</v>
      </c>
      <c r="AA10" s="10">
        <v>1.1000000000000001</v>
      </c>
      <c r="AB10" s="10"/>
      <c r="AC10" s="10" t="s">
        <v>40</v>
      </c>
      <c r="AD10" s="10" t="s">
        <v>32</v>
      </c>
      <c r="AE10" s="20">
        <f t="shared" si="0"/>
        <v>0.5776</v>
      </c>
      <c r="AF10" s="10" t="s">
        <v>41</v>
      </c>
      <c r="AG10" s="10">
        <v>2010</v>
      </c>
      <c r="AH10" s="21" t="s">
        <v>42</v>
      </c>
      <c r="AI10" s="2">
        <v>49.33</v>
      </c>
      <c r="AJ10" s="2">
        <v>2.19</v>
      </c>
      <c r="AK10" s="2">
        <v>0.1</v>
      </c>
      <c r="AL10" s="2" t="str">
        <f t="shared" si="1"/>
        <v>Paassen et al. (2010)</v>
      </c>
      <c r="AQ10" s="91"/>
    </row>
    <row r="11" spans="1:72" s="2" customFormat="1" ht="15.6" x14ac:dyDescent="0.3">
      <c r="A11" s="11">
        <v>14.8</v>
      </c>
      <c r="B11" s="11">
        <v>2300</v>
      </c>
      <c r="C11" s="10" t="s">
        <v>33</v>
      </c>
      <c r="D11" s="10" t="s">
        <v>35</v>
      </c>
      <c r="E11" s="10" t="s">
        <v>170</v>
      </c>
      <c r="F11" s="10" t="s">
        <v>34</v>
      </c>
      <c r="G11" s="20">
        <v>0.16600000000000001</v>
      </c>
      <c r="H11" s="10" t="s">
        <v>34</v>
      </c>
      <c r="I11" s="10" t="s">
        <v>34</v>
      </c>
      <c r="J11" s="10">
        <v>1.64</v>
      </c>
      <c r="K11" s="10" t="s">
        <v>34</v>
      </c>
      <c r="L11" s="10" t="s">
        <v>34</v>
      </c>
      <c r="M11" s="10" t="s">
        <v>34</v>
      </c>
      <c r="N11" s="20">
        <v>1560</v>
      </c>
      <c r="O11" s="10" t="s">
        <v>34</v>
      </c>
      <c r="P11" s="10" t="s">
        <v>34</v>
      </c>
      <c r="Q11" s="10" t="s">
        <v>34</v>
      </c>
      <c r="R11" s="10" t="s">
        <v>34</v>
      </c>
      <c r="S11" s="10" t="s">
        <v>34</v>
      </c>
      <c r="T11" s="10" t="s">
        <v>36</v>
      </c>
      <c r="U11" s="20" t="s">
        <v>37</v>
      </c>
      <c r="V11" s="20" t="s">
        <v>38</v>
      </c>
      <c r="W11" s="10">
        <v>10</v>
      </c>
      <c r="X11" s="10">
        <v>1</v>
      </c>
      <c r="Y11" s="10">
        <v>1</v>
      </c>
      <c r="Z11" s="10" t="s">
        <v>39</v>
      </c>
      <c r="AA11" s="10">
        <v>1.1000000000000001</v>
      </c>
      <c r="AB11" s="10"/>
      <c r="AC11" s="10" t="s">
        <v>40</v>
      </c>
      <c r="AD11" s="10" t="s">
        <v>32</v>
      </c>
      <c r="AE11" s="20">
        <f t="shared" si="0"/>
        <v>0.5776</v>
      </c>
      <c r="AF11" s="10" t="s">
        <v>41</v>
      </c>
      <c r="AG11" s="10">
        <v>2010</v>
      </c>
      <c r="AH11" s="21" t="s">
        <v>42</v>
      </c>
      <c r="AI11" s="2">
        <v>49.33</v>
      </c>
      <c r="AJ11" s="2">
        <v>2.19</v>
      </c>
      <c r="AK11" s="2">
        <v>0.1</v>
      </c>
      <c r="AL11" s="2" t="str">
        <f t="shared" si="1"/>
        <v>Paassen et al. (2010)</v>
      </c>
      <c r="AQ11" s="91"/>
    </row>
    <row r="12" spans="1:72" s="2" customFormat="1" ht="15.6" x14ac:dyDescent="0.3">
      <c r="A12" s="11">
        <v>15.5</v>
      </c>
      <c r="B12" s="11">
        <v>900</v>
      </c>
      <c r="C12" s="10" t="s">
        <v>33</v>
      </c>
      <c r="D12" s="10" t="s">
        <v>35</v>
      </c>
      <c r="E12" s="10" t="s">
        <v>170</v>
      </c>
      <c r="F12" s="10" t="s">
        <v>34</v>
      </c>
      <c r="G12" s="20">
        <v>0.16600000000000001</v>
      </c>
      <c r="H12" s="10" t="s">
        <v>34</v>
      </c>
      <c r="I12" s="10" t="s">
        <v>34</v>
      </c>
      <c r="J12" s="10">
        <v>1.64</v>
      </c>
      <c r="K12" s="10" t="s">
        <v>34</v>
      </c>
      <c r="L12" s="10" t="s">
        <v>34</v>
      </c>
      <c r="M12" s="10" t="s">
        <v>34</v>
      </c>
      <c r="N12" s="20">
        <v>1560</v>
      </c>
      <c r="O12" s="10" t="s">
        <v>34</v>
      </c>
      <c r="P12" s="10" t="s">
        <v>34</v>
      </c>
      <c r="Q12" s="10" t="s">
        <v>34</v>
      </c>
      <c r="R12" s="10" t="s">
        <v>34</v>
      </c>
      <c r="S12" s="10" t="s">
        <v>34</v>
      </c>
      <c r="T12" s="10" t="s">
        <v>36</v>
      </c>
      <c r="U12" s="20" t="s">
        <v>37</v>
      </c>
      <c r="V12" s="20" t="s">
        <v>38</v>
      </c>
      <c r="W12" s="10">
        <v>10</v>
      </c>
      <c r="X12" s="10">
        <v>1</v>
      </c>
      <c r="Y12" s="10">
        <v>1</v>
      </c>
      <c r="Z12" s="10" t="s">
        <v>39</v>
      </c>
      <c r="AA12" s="10">
        <v>1.1000000000000001</v>
      </c>
      <c r="AB12" s="10"/>
      <c r="AC12" s="10" t="s">
        <v>40</v>
      </c>
      <c r="AD12" s="10" t="s">
        <v>32</v>
      </c>
      <c r="AE12" s="20">
        <f t="shared" si="0"/>
        <v>0.5776</v>
      </c>
      <c r="AF12" s="10" t="s">
        <v>41</v>
      </c>
      <c r="AG12" s="10">
        <v>2010</v>
      </c>
      <c r="AH12" s="21" t="s">
        <v>42</v>
      </c>
      <c r="AI12" s="2">
        <v>49.33</v>
      </c>
      <c r="AJ12" s="2">
        <v>2.19</v>
      </c>
      <c r="AK12" s="2">
        <v>0.1</v>
      </c>
      <c r="AL12" s="2" t="str">
        <f t="shared" si="1"/>
        <v>Paassen et al. (2010)</v>
      </c>
      <c r="AQ12" s="91"/>
    </row>
    <row r="13" spans="1:72" s="2" customFormat="1" ht="15.6" x14ac:dyDescent="0.3">
      <c r="A13" s="11">
        <v>15.8</v>
      </c>
      <c r="B13" s="11">
        <v>1300</v>
      </c>
      <c r="C13" s="10" t="s">
        <v>33</v>
      </c>
      <c r="D13" s="10" t="s">
        <v>35</v>
      </c>
      <c r="E13" s="10" t="s">
        <v>170</v>
      </c>
      <c r="F13" s="10" t="s">
        <v>34</v>
      </c>
      <c r="G13" s="20">
        <v>0.16600000000000001</v>
      </c>
      <c r="H13" s="10" t="s">
        <v>34</v>
      </c>
      <c r="I13" s="10" t="s">
        <v>34</v>
      </c>
      <c r="J13" s="10">
        <v>1.64</v>
      </c>
      <c r="K13" s="10" t="s">
        <v>34</v>
      </c>
      <c r="L13" s="10" t="s">
        <v>34</v>
      </c>
      <c r="M13" s="10" t="s">
        <v>34</v>
      </c>
      <c r="N13" s="20">
        <v>1560</v>
      </c>
      <c r="O13" s="10" t="s">
        <v>34</v>
      </c>
      <c r="P13" s="10" t="s">
        <v>34</v>
      </c>
      <c r="Q13" s="10" t="s">
        <v>34</v>
      </c>
      <c r="R13" s="10" t="s">
        <v>34</v>
      </c>
      <c r="S13" s="10" t="s">
        <v>34</v>
      </c>
      <c r="T13" s="10" t="s">
        <v>36</v>
      </c>
      <c r="U13" s="20" t="s">
        <v>37</v>
      </c>
      <c r="V13" s="20" t="s">
        <v>38</v>
      </c>
      <c r="W13" s="10">
        <v>10</v>
      </c>
      <c r="X13" s="10">
        <v>1</v>
      </c>
      <c r="Y13" s="10">
        <v>1</v>
      </c>
      <c r="Z13" s="10" t="s">
        <v>39</v>
      </c>
      <c r="AA13" s="10">
        <v>1.1000000000000001</v>
      </c>
      <c r="AB13" s="10"/>
      <c r="AC13" s="10" t="s">
        <v>40</v>
      </c>
      <c r="AD13" s="10" t="s">
        <v>32</v>
      </c>
      <c r="AE13" s="20">
        <f t="shared" si="0"/>
        <v>0.5776</v>
      </c>
      <c r="AF13" s="10" t="s">
        <v>41</v>
      </c>
      <c r="AG13" s="10">
        <v>2010</v>
      </c>
      <c r="AH13" s="21" t="s">
        <v>42</v>
      </c>
      <c r="AI13" s="2">
        <v>49.33</v>
      </c>
      <c r="AJ13" s="2">
        <v>2.19</v>
      </c>
      <c r="AK13" s="2">
        <v>0.1</v>
      </c>
      <c r="AL13" s="2" t="str">
        <f t="shared" si="1"/>
        <v>Paassen et al. (2010)</v>
      </c>
      <c r="AQ13" s="91"/>
    </row>
    <row r="14" spans="1:72" s="2" customFormat="1" ht="15.6" x14ac:dyDescent="0.3">
      <c r="A14" s="11">
        <v>16.3</v>
      </c>
      <c r="B14" s="11">
        <v>2300</v>
      </c>
      <c r="C14" s="10" t="s">
        <v>33</v>
      </c>
      <c r="D14" s="10" t="s">
        <v>35</v>
      </c>
      <c r="E14" s="10" t="s">
        <v>170</v>
      </c>
      <c r="F14" s="10" t="s">
        <v>34</v>
      </c>
      <c r="G14" s="20">
        <v>0.16600000000000001</v>
      </c>
      <c r="H14" s="10" t="s">
        <v>34</v>
      </c>
      <c r="I14" s="10" t="s">
        <v>34</v>
      </c>
      <c r="J14" s="10">
        <v>1.64</v>
      </c>
      <c r="K14" s="10" t="s">
        <v>34</v>
      </c>
      <c r="L14" s="10" t="s">
        <v>34</v>
      </c>
      <c r="M14" s="10" t="s">
        <v>34</v>
      </c>
      <c r="N14" s="20">
        <v>1560</v>
      </c>
      <c r="O14" s="10" t="s">
        <v>34</v>
      </c>
      <c r="P14" s="10" t="s">
        <v>34</v>
      </c>
      <c r="Q14" s="10" t="s">
        <v>34</v>
      </c>
      <c r="R14" s="10" t="s">
        <v>34</v>
      </c>
      <c r="S14" s="10" t="s">
        <v>34</v>
      </c>
      <c r="T14" s="10" t="s">
        <v>36</v>
      </c>
      <c r="U14" s="20" t="s">
        <v>37</v>
      </c>
      <c r="V14" s="20" t="s">
        <v>38</v>
      </c>
      <c r="W14" s="10">
        <v>10</v>
      </c>
      <c r="X14" s="10">
        <v>1</v>
      </c>
      <c r="Y14" s="10">
        <v>1</v>
      </c>
      <c r="Z14" s="10" t="s">
        <v>39</v>
      </c>
      <c r="AA14" s="10">
        <v>1.1000000000000001</v>
      </c>
      <c r="AB14" s="10"/>
      <c r="AC14" s="10" t="s">
        <v>40</v>
      </c>
      <c r="AD14" s="10" t="s">
        <v>32</v>
      </c>
      <c r="AE14" s="20">
        <f t="shared" si="0"/>
        <v>0.5776</v>
      </c>
      <c r="AF14" s="10" t="s">
        <v>41</v>
      </c>
      <c r="AG14" s="10">
        <v>2010</v>
      </c>
      <c r="AH14" s="21" t="s">
        <v>42</v>
      </c>
      <c r="AI14" s="2">
        <v>49.33</v>
      </c>
      <c r="AJ14" s="2">
        <v>2.19</v>
      </c>
      <c r="AK14" s="2">
        <v>0.1</v>
      </c>
      <c r="AL14" s="2" t="str">
        <f t="shared" si="1"/>
        <v>Paassen et al. (2010)</v>
      </c>
      <c r="AQ14" s="91"/>
    </row>
    <row r="15" spans="1:72" s="2" customFormat="1" ht="15.6" x14ac:dyDescent="0.3">
      <c r="A15" s="11">
        <v>16.8</v>
      </c>
      <c r="B15" s="11">
        <v>1600</v>
      </c>
      <c r="C15" s="10" t="s">
        <v>33</v>
      </c>
      <c r="D15" s="10" t="s">
        <v>35</v>
      </c>
      <c r="E15" s="10" t="s">
        <v>170</v>
      </c>
      <c r="F15" s="10" t="s">
        <v>34</v>
      </c>
      <c r="G15" s="20">
        <v>0.16600000000000001</v>
      </c>
      <c r="H15" s="10" t="s">
        <v>34</v>
      </c>
      <c r="I15" s="10" t="s">
        <v>34</v>
      </c>
      <c r="J15" s="10">
        <v>1.64</v>
      </c>
      <c r="K15" s="10" t="s">
        <v>34</v>
      </c>
      <c r="L15" s="10" t="s">
        <v>34</v>
      </c>
      <c r="M15" s="10" t="s">
        <v>34</v>
      </c>
      <c r="N15" s="20">
        <v>1560</v>
      </c>
      <c r="O15" s="10" t="s">
        <v>34</v>
      </c>
      <c r="P15" s="10" t="s">
        <v>34</v>
      </c>
      <c r="Q15" s="10" t="s">
        <v>34</v>
      </c>
      <c r="R15" s="10" t="s">
        <v>34</v>
      </c>
      <c r="S15" s="10" t="s">
        <v>34</v>
      </c>
      <c r="T15" s="10" t="s">
        <v>36</v>
      </c>
      <c r="U15" s="20" t="s">
        <v>37</v>
      </c>
      <c r="V15" s="20" t="s">
        <v>38</v>
      </c>
      <c r="W15" s="10">
        <v>10</v>
      </c>
      <c r="X15" s="10">
        <v>1</v>
      </c>
      <c r="Y15" s="10">
        <v>1</v>
      </c>
      <c r="Z15" s="10" t="s">
        <v>39</v>
      </c>
      <c r="AA15" s="10">
        <v>1.1000000000000001</v>
      </c>
      <c r="AB15" s="10"/>
      <c r="AC15" s="10" t="s">
        <v>40</v>
      </c>
      <c r="AD15" s="10" t="s">
        <v>32</v>
      </c>
      <c r="AE15" s="20">
        <f t="shared" si="0"/>
        <v>0.5776</v>
      </c>
      <c r="AF15" s="10" t="s">
        <v>41</v>
      </c>
      <c r="AG15" s="10">
        <v>2010</v>
      </c>
      <c r="AH15" s="21" t="s">
        <v>42</v>
      </c>
      <c r="AI15" s="2">
        <v>49.33</v>
      </c>
      <c r="AJ15" s="2">
        <v>2.19</v>
      </c>
      <c r="AK15" s="2">
        <v>0.1</v>
      </c>
      <c r="AL15" s="2" t="str">
        <f t="shared" si="1"/>
        <v>Paassen et al. (2010)</v>
      </c>
      <c r="AQ15" s="91"/>
    </row>
    <row r="16" spans="1:72" s="2" customFormat="1" ht="15.6" x14ac:dyDescent="0.3">
      <c r="A16" s="11">
        <v>16.8</v>
      </c>
      <c r="B16" s="11">
        <v>1900</v>
      </c>
      <c r="C16" s="10" t="s">
        <v>33</v>
      </c>
      <c r="D16" s="10" t="s">
        <v>35</v>
      </c>
      <c r="E16" s="10" t="s">
        <v>170</v>
      </c>
      <c r="F16" s="10" t="s">
        <v>34</v>
      </c>
      <c r="G16" s="20">
        <v>0.16600000000000001</v>
      </c>
      <c r="H16" s="10" t="s">
        <v>34</v>
      </c>
      <c r="I16" s="10" t="s">
        <v>34</v>
      </c>
      <c r="J16" s="10">
        <v>1.64</v>
      </c>
      <c r="K16" s="10" t="s">
        <v>34</v>
      </c>
      <c r="L16" s="10" t="s">
        <v>34</v>
      </c>
      <c r="M16" s="10" t="s">
        <v>34</v>
      </c>
      <c r="N16" s="20">
        <v>1560</v>
      </c>
      <c r="O16" s="10" t="s">
        <v>34</v>
      </c>
      <c r="P16" s="10" t="s">
        <v>34</v>
      </c>
      <c r="Q16" s="10" t="s">
        <v>34</v>
      </c>
      <c r="R16" s="10" t="s">
        <v>34</v>
      </c>
      <c r="S16" s="10" t="s">
        <v>34</v>
      </c>
      <c r="T16" s="10" t="s">
        <v>36</v>
      </c>
      <c r="U16" s="20" t="s">
        <v>37</v>
      </c>
      <c r="V16" s="20" t="s">
        <v>38</v>
      </c>
      <c r="W16" s="10">
        <v>10</v>
      </c>
      <c r="X16" s="10">
        <v>1</v>
      </c>
      <c r="Y16" s="10">
        <v>1</v>
      </c>
      <c r="Z16" s="10" t="s">
        <v>39</v>
      </c>
      <c r="AA16" s="10">
        <v>1.1000000000000001</v>
      </c>
      <c r="AB16" s="10"/>
      <c r="AC16" s="10" t="s">
        <v>40</v>
      </c>
      <c r="AD16" s="10" t="s">
        <v>32</v>
      </c>
      <c r="AE16" s="20">
        <f t="shared" si="0"/>
        <v>0.5776</v>
      </c>
      <c r="AF16" s="10" t="s">
        <v>41</v>
      </c>
      <c r="AG16" s="10">
        <v>2010</v>
      </c>
      <c r="AH16" s="21" t="s">
        <v>42</v>
      </c>
      <c r="AI16" s="2">
        <v>49.33</v>
      </c>
      <c r="AJ16" s="2">
        <v>2.19</v>
      </c>
      <c r="AK16" s="2">
        <v>0.1</v>
      </c>
      <c r="AL16" s="2" t="str">
        <f t="shared" si="1"/>
        <v>Paassen et al. (2010)</v>
      </c>
      <c r="AQ16" s="91"/>
    </row>
    <row r="17" spans="1:43" s="2" customFormat="1" ht="15.6" x14ac:dyDescent="0.3">
      <c r="A17" s="11">
        <v>17.5</v>
      </c>
      <c r="B17" s="11">
        <v>1700</v>
      </c>
      <c r="C17" s="10" t="s">
        <v>33</v>
      </c>
      <c r="D17" s="10" t="s">
        <v>35</v>
      </c>
      <c r="E17" s="10" t="s">
        <v>170</v>
      </c>
      <c r="F17" s="10" t="s">
        <v>34</v>
      </c>
      <c r="G17" s="20">
        <v>0.16600000000000001</v>
      </c>
      <c r="H17" s="10" t="s">
        <v>34</v>
      </c>
      <c r="I17" s="10" t="s">
        <v>34</v>
      </c>
      <c r="J17" s="10">
        <v>1.64</v>
      </c>
      <c r="K17" s="10" t="s">
        <v>34</v>
      </c>
      <c r="L17" s="10" t="s">
        <v>34</v>
      </c>
      <c r="M17" s="10" t="s">
        <v>34</v>
      </c>
      <c r="N17" s="20">
        <v>1560</v>
      </c>
      <c r="O17" s="10" t="s">
        <v>34</v>
      </c>
      <c r="P17" s="10" t="s">
        <v>34</v>
      </c>
      <c r="Q17" s="10" t="s">
        <v>34</v>
      </c>
      <c r="R17" s="10" t="s">
        <v>34</v>
      </c>
      <c r="S17" s="10" t="s">
        <v>34</v>
      </c>
      <c r="T17" s="10" t="s">
        <v>36</v>
      </c>
      <c r="U17" s="20" t="s">
        <v>37</v>
      </c>
      <c r="V17" s="20" t="s">
        <v>38</v>
      </c>
      <c r="W17" s="10">
        <v>10</v>
      </c>
      <c r="X17" s="10">
        <v>1</v>
      </c>
      <c r="Y17" s="10">
        <v>1</v>
      </c>
      <c r="Z17" s="10" t="s">
        <v>39</v>
      </c>
      <c r="AA17" s="10">
        <v>1.1000000000000001</v>
      </c>
      <c r="AB17" s="10"/>
      <c r="AC17" s="10" t="s">
        <v>40</v>
      </c>
      <c r="AD17" s="10" t="s">
        <v>32</v>
      </c>
      <c r="AE17" s="20">
        <f t="shared" si="0"/>
        <v>0.5776</v>
      </c>
      <c r="AF17" s="10" t="s">
        <v>41</v>
      </c>
      <c r="AG17" s="10">
        <v>2010</v>
      </c>
      <c r="AH17" s="21" t="s">
        <v>42</v>
      </c>
      <c r="AI17" s="2">
        <v>49.33</v>
      </c>
      <c r="AJ17" s="2">
        <v>2.19</v>
      </c>
      <c r="AK17" s="2">
        <v>0.1</v>
      </c>
      <c r="AL17" s="2" t="str">
        <f t="shared" si="1"/>
        <v>Paassen et al. (2010)</v>
      </c>
      <c r="AQ17" s="91"/>
    </row>
    <row r="18" spans="1:43" s="2" customFormat="1" ht="15.6" x14ac:dyDescent="0.3">
      <c r="A18" s="11">
        <v>17.5</v>
      </c>
      <c r="B18" s="11">
        <v>4200</v>
      </c>
      <c r="C18" s="10" t="s">
        <v>33</v>
      </c>
      <c r="D18" s="10" t="s">
        <v>35</v>
      </c>
      <c r="E18" s="10" t="s">
        <v>170</v>
      </c>
      <c r="F18" s="10" t="s">
        <v>34</v>
      </c>
      <c r="G18" s="20">
        <v>0.16600000000000001</v>
      </c>
      <c r="H18" s="10" t="s">
        <v>34</v>
      </c>
      <c r="I18" s="10" t="s">
        <v>34</v>
      </c>
      <c r="J18" s="10">
        <v>1.64</v>
      </c>
      <c r="K18" s="10" t="s">
        <v>34</v>
      </c>
      <c r="L18" s="10" t="s">
        <v>34</v>
      </c>
      <c r="M18" s="10" t="s">
        <v>34</v>
      </c>
      <c r="N18" s="20">
        <v>1560</v>
      </c>
      <c r="O18" s="10" t="s">
        <v>34</v>
      </c>
      <c r="P18" s="10" t="s">
        <v>34</v>
      </c>
      <c r="Q18" s="10" t="s">
        <v>34</v>
      </c>
      <c r="R18" s="10" t="s">
        <v>34</v>
      </c>
      <c r="S18" s="10" t="s">
        <v>34</v>
      </c>
      <c r="T18" s="10" t="s">
        <v>36</v>
      </c>
      <c r="U18" s="20" t="s">
        <v>37</v>
      </c>
      <c r="V18" s="20" t="s">
        <v>38</v>
      </c>
      <c r="W18" s="10">
        <v>10</v>
      </c>
      <c r="X18" s="10">
        <v>1</v>
      </c>
      <c r="Y18" s="10">
        <v>1</v>
      </c>
      <c r="Z18" s="10" t="s">
        <v>39</v>
      </c>
      <c r="AA18" s="10">
        <v>1.1000000000000001</v>
      </c>
      <c r="AB18" s="10"/>
      <c r="AC18" s="10" t="s">
        <v>40</v>
      </c>
      <c r="AD18" s="10" t="s">
        <v>32</v>
      </c>
      <c r="AE18" s="20">
        <f t="shared" si="0"/>
        <v>0.5776</v>
      </c>
      <c r="AF18" s="10" t="s">
        <v>41</v>
      </c>
      <c r="AG18" s="10">
        <v>2010</v>
      </c>
      <c r="AH18" s="21" t="s">
        <v>42</v>
      </c>
      <c r="AI18" s="2">
        <v>49.33</v>
      </c>
      <c r="AJ18" s="2">
        <v>2.19</v>
      </c>
      <c r="AK18" s="2">
        <v>0.1</v>
      </c>
      <c r="AL18" s="2" t="str">
        <f t="shared" si="1"/>
        <v>Paassen et al. (2010)</v>
      </c>
      <c r="AQ18" s="91"/>
    </row>
    <row r="19" spans="1:43" s="2" customFormat="1" ht="15.6" x14ac:dyDescent="0.3">
      <c r="A19" s="11">
        <v>18.600000000000001</v>
      </c>
      <c r="B19" s="11">
        <v>1700</v>
      </c>
      <c r="C19" s="10" t="s">
        <v>33</v>
      </c>
      <c r="D19" s="10" t="s">
        <v>35</v>
      </c>
      <c r="E19" s="10" t="s">
        <v>170</v>
      </c>
      <c r="F19" s="10" t="s">
        <v>34</v>
      </c>
      <c r="G19" s="20">
        <v>0.16600000000000001</v>
      </c>
      <c r="H19" s="10" t="s">
        <v>34</v>
      </c>
      <c r="I19" s="10" t="s">
        <v>34</v>
      </c>
      <c r="J19" s="10">
        <v>1.64</v>
      </c>
      <c r="K19" s="10" t="s">
        <v>34</v>
      </c>
      <c r="L19" s="10" t="s">
        <v>34</v>
      </c>
      <c r="M19" s="10" t="s">
        <v>34</v>
      </c>
      <c r="N19" s="20">
        <v>1560</v>
      </c>
      <c r="O19" s="10" t="s">
        <v>34</v>
      </c>
      <c r="P19" s="10" t="s">
        <v>34</v>
      </c>
      <c r="Q19" s="10" t="s">
        <v>34</v>
      </c>
      <c r="R19" s="10" t="s">
        <v>34</v>
      </c>
      <c r="S19" s="10" t="s">
        <v>34</v>
      </c>
      <c r="T19" s="10" t="s">
        <v>36</v>
      </c>
      <c r="U19" s="20" t="s">
        <v>37</v>
      </c>
      <c r="V19" s="20" t="s">
        <v>38</v>
      </c>
      <c r="W19" s="10">
        <v>10</v>
      </c>
      <c r="X19" s="10">
        <v>1</v>
      </c>
      <c r="Y19" s="10">
        <v>1</v>
      </c>
      <c r="Z19" s="10" t="s">
        <v>39</v>
      </c>
      <c r="AA19" s="10">
        <v>1.1000000000000001</v>
      </c>
      <c r="AB19" s="10"/>
      <c r="AC19" s="10" t="s">
        <v>40</v>
      </c>
      <c r="AD19" s="10" t="s">
        <v>32</v>
      </c>
      <c r="AE19" s="20">
        <f t="shared" si="0"/>
        <v>0.5776</v>
      </c>
      <c r="AF19" s="10" t="s">
        <v>41</v>
      </c>
      <c r="AG19" s="10">
        <v>2010</v>
      </c>
      <c r="AH19" s="21" t="s">
        <v>42</v>
      </c>
      <c r="AI19" s="2">
        <v>49.33</v>
      </c>
      <c r="AJ19" s="2">
        <v>2.19</v>
      </c>
      <c r="AK19" s="2">
        <v>0.1</v>
      </c>
      <c r="AL19" s="2" t="str">
        <f t="shared" si="1"/>
        <v>Paassen et al. (2010)</v>
      </c>
      <c r="AQ19" s="91"/>
    </row>
    <row r="20" spans="1:43" s="2" customFormat="1" ht="15.6" x14ac:dyDescent="0.3">
      <c r="A20" s="11">
        <v>19.100000000000001</v>
      </c>
      <c r="B20" s="11">
        <v>2300</v>
      </c>
      <c r="C20" s="10" t="s">
        <v>33</v>
      </c>
      <c r="D20" s="10" t="s">
        <v>35</v>
      </c>
      <c r="E20" s="10" t="s">
        <v>170</v>
      </c>
      <c r="F20" s="10" t="s">
        <v>34</v>
      </c>
      <c r="G20" s="20">
        <v>0.16600000000000001</v>
      </c>
      <c r="H20" s="10" t="s">
        <v>34</v>
      </c>
      <c r="I20" s="10" t="s">
        <v>34</v>
      </c>
      <c r="J20" s="10">
        <v>1.64</v>
      </c>
      <c r="K20" s="10" t="s">
        <v>34</v>
      </c>
      <c r="L20" s="10" t="s">
        <v>34</v>
      </c>
      <c r="M20" s="10" t="s">
        <v>34</v>
      </c>
      <c r="N20" s="20">
        <v>1560</v>
      </c>
      <c r="O20" s="10" t="s">
        <v>34</v>
      </c>
      <c r="P20" s="10" t="s">
        <v>34</v>
      </c>
      <c r="Q20" s="10" t="s">
        <v>34</v>
      </c>
      <c r="R20" s="10" t="s">
        <v>34</v>
      </c>
      <c r="S20" s="10" t="s">
        <v>34</v>
      </c>
      <c r="T20" s="10" t="s">
        <v>36</v>
      </c>
      <c r="U20" s="20" t="s">
        <v>37</v>
      </c>
      <c r="V20" s="20" t="s">
        <v>38</v>
      </c>
      <c r="W20" s="10">
        <v>10</v>
      </c>
      <c r="X20" s="10">
        <v>1</v>
      </c>
      <c r="Y20" s="10">
        <v>1</v>
      </c>
      <c r="Z20" s="10" t="s">
        <v>39</v>
      </c>
      <c r="AA20" s="10">
        <v>1.1000000000000001</v>
      </c>
      <c r="AB20" s="10"/>
      <c r="AC20" s="10" t="s">
        <v>40</v>
      </c>
      <c r="AD20" s="10" t="s">
        <v>32</v>
      </c>
      <c r="AE20" s="20">
        <f t="shared" si="0"/>
        <v>0.5776</v>
      </c>
      <c r="AF20" s="10" t="s">
        <v>41</v>
      </c>
      <c r="AG20" s="10">
        <v>2010</v>
      </c>
      <c r="AH20" s="21" t="s">
        <v>42</v>
      </c>
      <c r="AI20" s="2">
        <v>49.33</v>
      </c>
      <c r="AJ20" s="2">
        <v>2.19</v>
      </c>
      <c r="AK20" s="2">
        <v>0.1</v>
      </c>
      <c r="AL20" s="2" t="str">
        <f t="shared" si="1"/>
        <v>Paassen et al. (2010)</v>
      </c>
      <c r="AQ20" s="91"/>
    </row>
    <row r="21" spans="1:43" s="2" customFormat="1" ht="15.6" x14ac:dyDescent="0.3">
      <c r="A21" s="11">
        <v>20.3</v>
      </c>
      <c r="B21" s="11">
        <v>2000</v>
      </c>
      <c r="C21" s="10" t="s">
        <v>33</v>
      </c>
      <c r="D21" s="10" t="s">
        <v>35</v>
      </c>
      <c r="E21" s="10" t="s">
        <v>170</v>
      </c>
      <c r="F21" s="10" t="s">
        <v>34</v>
      </c>
      <c r="G21" s="20">
        <v>0.16600000000000001</v>
      </c>
      <c r="H21" s="10" t="s">
        <v>34</v>
      </c>
      <c r="I21" s="10" t="s">
        <v>34</v>
      </c>
      <c r="J21" s="10">
        <v>1.64</v>
      </c>
      <c r="K21" s="10" t="s">
        <v>34</v>
      </c>
      <c r="L21" s="10" t="s">
        <v>34</v>
      </c>
      <c r="M21" s="10" t="s">
        <v>34</v>
      </c>
      <c r="N21" s="20">
        <v>1560</v>
      </c>
      <c r="O21" s="10" t="s">
        <v>34</v>
      </c>
      <c r="P21" s="10" t="s">
        <v>34</v>
      </c>
      <c r="Q21" s="10" t="s">
        <v>34</v>
      </c>
      <c r="R21" s="10" t="s">
        <v>34</v>
      </c>
      <c r="S21" s="10" t="s">
        <v>34</v>
      </c>
      <c r="T21" s="10" t="s">
        <v>36</v>
      </c>
      <c r="U21" s="20" t="s">
        <v>37</v>
      </c>
      <c r="V21" s="20" t="s">
        <v>38</v>
      </c>
      <c r="W21" s="10">
        <v>10</v>
      </c>
      <c r="X21" s="10">
        <v>1</v>
      </c>
      <c r="Y21" s="10">
        <v>1</v>
      </c>
      <c r="Z21" s="10" t="s">
        <v>39</v>
      </c>
      <c r="AA21" s="10">
        <v>1.1000000000000001</v>
      </c>
      <c r="AB21" s="10"/>
      <c r="AC21" s="10" t="s">
        <v>40</v>
      </c>
      <c r="AD21" s="10" t="s">
        <v>32</v>
      </c>
      <c r="AE21" s="20">
        <f t="shared" si="0"/>
        <v>0.5776</v>
      </c>
      <c r="AF21" s="10" t="s">
        <v>41</v>
      </c>
      <c r="AG21" s="10">
        <v>2010</v>
      </c>
      <c r="AH21" s="21" t="s">
        <v>42</v>
      </c>
      <c r="AI21" s="2">
        <v>49.33</v>
      </c>
      <c r="AJ21" s="2">
        <v>2.19</v>
      </c>
      <c r="AK21" s="2">
        <v>0.1</v>
      </c>
      <c r="AL21" s="2" t="str">
        <f t="shared" si="1"/>
        <v>Paassen et al. (2010)</v>
      </c>
      <c r="AQ21" s="91"/>
    </row>
    <row r="22" spans="1:43" s="2" customFormat="1" ht="15.6" x14ac:dyDescent="0.3">
      <c r="A22" s="11">
        <v>20.3</v>
      </c>
      <c r="B22" s="11">
        <v>2700</v>
      </c>
      <c r="C22" s="10" t="s">
        <v>33</v>
      </c>
      <c r="D22" s="10" t="s">
        <v>35</v>
      </c>
      <c r="E22" s="10" t="s">
        <v>170</v>
      </c>
      <c r="F22" s="10" t="s">
        <v>34</v>
      </c>
      <c r="G22" s="20">
        <v>0.16600000000000001</v>
      </c>
      <c r="H22" s="10" t="s">
        <v>34</v>
      </c>
      <c r="I22" s="10" t="s">
        <v>34</v>
      </c>
      <c r="J22" s="10">
        <v>1.64</v>
      </c>
      <c r="K22" s="10" t="s">
        <v>34</v>
      </c>
      <c r="L22" s="10" t="s">
        <v>34</v>
      </c>
      <c r="M22" s="10" t="s">
        <v>34</v>
      </c>
      <c r="N22" s="20">
        <v>1560</v>
      </c>
      <c r="O22" s="10" t="s">
        <v>34</v>
      </c>
      <c r="P22" s="10" t="s">
        <v>34</v>
      </c>
      <c r="Q22" s="10" t="s">
        <v>34</v>
      </c>
      <c r="R22" s="10" t="s">
        <v>34</v>
      </c>
      <c r="S22" s="10" t="s">
        <v>34</v>
      </c>
      <c r="T22" s="10" t="s">
        <v>36</v>
      </c>
      <c r="U22" s="20" t="s">
        <v>37</v>
      </c>
      <c r="V22" s="20" t="s">
        <v>38</v>
      </c>
      <c r="W22" s="10">
        <v>10</v>
      </c>
      <c r="X22" s="10">
        <v>1</v>
      </c>
      <c r="Y22" s="10">
        <v>1</v>
      </c>
      <c r="Z22" s="10" t="s">
        <v>39</v>
      </c>
      <c r="AA22" s="10">
        <v>1.1000000000000001</v>
      </c>
      <c r="AB22" s="10"/>
      <c r="AC22" s="10" t="s">
        <v>40</v>
      </c>
      <c r="AD22" s="10" t="s">
        <v>32</v>
      </c>
      <c r="AE22" s="20">
        <f t="shared" si="0"/>
        <v>0.5776</v>
      </c>
      <c r="AF22" s="10" t="s">
        <v>41</v>
      </c>
      <c r="AG22" s="10">
        <v>2010</v>
      </c>
      <c r="AH22" s="21" t="s">
        <v>42</v>
      </c>
      <c r="AI22" s="2">
        <v>49.33</v>
      </c>
      <c r="AJ22" s="2">
        <v>2.19</v>
      </c>
      <c r="AK22" s="2">
        <v>0.1</v>
      </c>
      <c r="AL22" s="2" t="str">
        <f t="shared" si="1"/>
        <v>Paassen et al. (2010)</v>
      </c>
      <c r="AQ22" s="91"/>
    </row>
    <row r="23" spans="1:43" s="2" customFormat="1" ht="15.6" x14ac:dyDescent="0.3">
      <c r="A23" s="11">
        <v>20</v>
      </c>
      <c r="B23" s="11">
        <v>3800</v>
      </c>
      <c r="C23" s="10" t="s">
        <v>33</v>
      </c>
      <c r="D23" s="10" t="s">
        <v>35</v>
      </c>
      <c r="E23" s="10" t="s">
        <v>170</v>
      </c>
      <c r="F23" s="10" t="s">
        <v>34</v>
      </c>
      <c r="G23" s="20">
        <v>0.16600000000000001</v>
      </c>
      <c r="H23" s="10" t="s">
        <v>34</v>
      </c>
      <c r="I23" s="10" t="s">
        <v>34</v>
      </c>
      <c r="J23" s="10">
        <v>1.64</v>
      </c>
      <c r="K23" s="10" t="s">
        <v>34</v>
      </c>
      <c r="L23" s="10" t="s">
        <v>34</v>
      </c>
      <c r="M23" s="10" t="s">
        <v>34</v>
      </c>
      <c r="N23" s="20">
        <v>1560</v>
      </c>
      <c r="O23" s="10" t="s">
        <v>34</v>
      </c>
      <c r="P23" s="10" t="s">
        <v>34</v>
      </c>
      <c r="Q23" s="10" t="s">
        <v>34</v>
      </c>
      <c r="R23" s="10" t="s">
        <v>34</v>
      </c>
      <c r="S23" s="10" t="s">
        <v>34</v>
      </c>
      <c r="T23" s="10" t="s">
        <v>36</v>
      </c>
      <c r="U23" s="20" t="s">
        <v>37</v>
      </c>
      <c r="V23" s="20" t="s">
        <v>38</v>
      </c>
      <c r="W23" s="10">
        <v>10</v>
      </c>
      <c r="X23" s="10">
        <v>1</v>
      </c>
      <c r="Y23" s="10">
        <v>1</v>
      </c>
      <c r="Z23" s="10" t="s">
        <v>39</v>
      </c>
      <c r="AA23" s="10">
        <v>1.1000000000000001</v>
      </c>
      <c r="AB23" s="10"/>
      <c r="AC23" s="10" t="s">
        <v>40</v>
      </c>
      <c r="AD23" s="10" t="s">
        <v>32</v>
      </c>
      <c r="AE23" s="20">
        <f t="shared" si="0"/>
        <v>0.5776</v>
      </c>
      <c r="AF23" s="10" t="s">
        <v>41</v>
      </c>
      <c r="AG23" s="10">
        <v>2010</v>
      </c>
      <c r="AH23" s="21" t="s">
        <v>42</v>
      </c>
      <c r="AI23" s="2">
        <v>49.33</v>
      </c>
      <c r="AJ23" s="2">
        <v>2.19</v>
      </c>
      <c r="AK23" s="2">
        <v>0.1</v>
      </c>
      <c r="AL23" s="2" t="str">
        <f t="shared" si="1"/>
        <v>Paassen et al. (2010)</v>
      </c>
      <c r="AQ23" s="91"/>
    </row>
    <row r="24" spans="1:43" s="2" customFormat="1" ht="15.6" x14ac:dyDescent="0.3">
      <c r="A24" s="11">
        <v>20.3</v>
      </c>
      <c r="B24" s="11">
        <v>4000</v>
      </c>
      <c r="C24" s="10" t="s">
        <v>33</v>
      </c>
      <c r="D24" s="10" t="s">
        <v>35</v>
      </c>
      <c r="E24" s="10" t="s">
        <v>170</v>
      </c>
      <c r="F24" s="10" t="s">
        <v>34</v>
      </c>
      <c r="G24" s="20">
        <v>0.16600000000000001</v>
      </c>
      <c r="H24" s="10" t="s">
        <v>34</v>
      </c>
      <c r="I24" s="10" t="s">
        <v>34</v>
      </c>
      <c r="J24" s="10">
        <v>1.64</v>
      </c>
      <c r="K24" s="10" t="s">
        <v>34</v>
      </c>
      <c r="L24" s="10" t="s">
        <v>34</v>
      </c>
      <c r="M24" s="10" t="s">
        <v>34</v>
      </c>
      <c r="N24" s="20">
        <v>1560</v>
      </c>
      <c r="O24" s="10" t="s">
        <v>34</v>
      </c>
      <c r="P24" s="10" t="s">
        <v>34</v>
      </c>
      <c r="Q24" s="10" t="s">
        <v>34</v>
      </c>
      <c r="R24" s="10" t="s">
        <v>34</v>
      </c>
      <c r="S24" s="10" t="s">
        <v>34</v>
      </c>
      <c r="T24" s="10" t="s">
        <v>36</v>
      </c>
      <c r="U24" s="20" t="s">
        <v>37</v>
      </c>
      <c r="V24" s="20" t="s">
        <v>38</v>
      </c>
      <c r="W24" s="10">
        <v>10</v>
      </c>
      <c r="X24" s="10">
        <v>1</v>
      </c>
      <c r="Y24" s="10">
        <v>1</v>
      </c>
      <c r="Z24" s="10" t="s">
        <v>39</v>
      </c>
      <c r="AA24" s="10">
        <v>1.1000000000000001</v>
      </c>
      <c r="AB24" s="10"/>
      <c r="AC24" s="10" t="s">
        <v>40</v>
      </c>
      <c r="AD24" s="10" t="s">
        <v>32</v>
      </c>
      <c r="AE24" s="20">
        <f t="shared" si="0"/>
        <v>0.5776</v>
      </c>
      <c r="AF24" s="10" t="s">
        <v>41</v>
      </c>
      <c r="AG24" s="10">
        <v>2010</v>
      </c>
      <c r="AH24" s="21" t="s">
        <v>42</v>
      </c>
      <c r="AI24" s="2">
        <v>49.33</v>
      </c>
      <c r="AJ24" s="2">
        <v>2.19</v>
      </c>
      <c r="AK24" s="2">
        <v>0.1</v>
      </c>
      <c r="AL24" s="2" t="str">
        <f t="shared" si="1"/>
        <v>Paassen et al. (2010)</v>
      </c>
      <c r="AQ24" s="91"/>
    </row>
    <row r="25" spans="1:43" s="2" customFormat="1" ht="15.6" x14ac:dyDescent="0.3">
      <c r="A25" s="11">
        <v>20.5</v>
      </c>
      <c r="B25" s="11">
        <v>2900</v>
      </c>
      <c r="C25" s="10" t="s">
        <v>33</v>
      </c>
      <c r="D25" s="10" t="s">
        <v>35</v>
      </c>
      <c r="E25" s="10" t="s">
        <v>170</v>
      </c>
      <c r="F25" s="10" t="s">
        <v>34</v>
      </c>
      <c r="G25" s="20">
        <v>0.16600000000000001</v>
      </c>
      <c r="H25" s="10" t="s">
        <v>34</v>
      </c>
      <c r="I25" s="10" t="s">
        <v>34</v>
      </c>
      <c r="J25" s="10">
        <v>1.64</v>
      </c>
      <c r="K25" s="10" t="s">
        <v>34</v>
      </c>
      <c r="L25" s="10" t="s">
        <v>34</v>
      </c>
      <c r="M25" s="10" t="s">
        <v>34</v>
      </c>
      <c r="N25" s="20">
        <v>1560</v>
      </c>
      <c r="O25" s="10" t="s">
        <v>34</v>
      </c>
      <c r="P25" s="10" t="s">
        <v>34</v>
      </c>
      <c r="Q25" s="10" t="s">
        <v>34</v>
      </c>
      <c r="R25" s="10" t="s">
        <v>34</v>
      </c>
      <c r="S25" s="10" t="s">
        <v>34</v>
      </c>
      <c r="T25" s="10" t="s">
        <v>36</v>
      </c>
      <c r="U25" s="20" t="s">
        <v>37</v>
      </c>
      <c r="V25" s="20" t="s">
        <v>38</v>
      </c>
      <c r="W25" s="10">
        <v>10</v>
      </c>
      <c r="X25" s="10">
        <v>1</v>
      </c>
      <c r="Y25" s="10">
        <v>1</v>
      </c>
      <c r="Z25" s="10" t="s">
        <v>39</v>
      </c>
      <c r="AA25" s="10">
        <v>1.1000000000000001</v>
      </c>
      <c r="AB25" s="10"/>
      <c r="AC25" s="10" t="s">
        <v>40</v>
      </c>
      <c r="AD25" s="10" t="s">
        <v>32</v>
      </c>
      <c r="AE25" s="20">
        <f t="shared" si="0"/>
        <v>0.5776</v>
      </c>
      <c r="AF25" s="10" t="s">
        <v>41</v>
      </c>
      <c r="AG25" s="10">
        <v>2010</v>
      </c>
      <c r="AH25" s="21" t="s">
        <v>42</v>
      </c>
      <c r="AI25" s="2">
        <v>49.33</v>
      </c>
      <c r="AJ25" s="2">
        <v>2.19</v>
      </c>
      <c r="AK25" s="2">
        <v>0.1</v>
      </c>
      <c r="AL25" s="2" t="str">
        <f t="shared" si="1"/>
        <v>Paassen et al. (2010)</v>
      </c>
      <c r="AQ25" s="91"/>
    </row>
    <row r="26" spans="1:43" s="2" customFormat="1" ht="15.6" x14ac:dyDescent="0.3">
      <c r="A26" s="11">
        <v>21.4</v>
      </c>
      <c r="B26" s="11">
        <v>3800</v>
      </c>
      <c r="C26" s="10" t="s">
        <v>33</v>
      </c>
      <c r="D26" s="10" t="s">
        <v>35</v>
      </c>
      <c r="E26" s="10" t="s">
        <v>170</v>
      </c>
      <c r="F26" s="10" t="s">
        <v>34</v>
      </c>
      <c r="G26" s="20">
        <v>0.16600000000000001</v>
      </c>
      <c r="H26" s="10" t="s">
        <v>34</v>
      </c>
      <c r="I26" s="10" t="s">
        <v>34</v>
      </c>
      <c r="J26" s="10">
        <v>1.64</v>
      </c>
      <c r="K26" s="10" t="s">
        <v>34</v>
      </c>
      <c r="L26" s="10" t="s">
        <v>34</v>
      </c>
      <c r="M26" s="10" t="s">
        <v>34</v>
      </c>
      <c r="N26" s="20">
        <v>1560</v>
      </c>
      <c r="O26" s="10" t="s">
        <v>34</v>
      </c>
      <c r="P26" s="10" t="s">
        <v>34</v>
      </c>
      <c r="Q26" s="10" t="s">
        <v>34</v>
      </c>
      <c r="R26" s="10" t="s">
        <v>34</v>
      </c>
      <c r="S26" s="10" t="s">
        <v>34</v>
      </c>
      <c r="T26" s="10" t="s">
        <v>36</v>
      </c>
      <c r="U26" s="20" t="s">
        <v>37</v>
      </c>
      <c r="V26" s="20" t="s">
        <v>38</v>
      </c>
      <c r="W26" s="10">
        <v>10</v>
      </c>
      <c r="X26" s="10">
        <v>1</v>
      </c>
      <c r="Y26" s="10">
        <v>1</v>
      </c>
      <c r="Z26" s="10" t="s">
        <v>39</v>
      </c>
      <c r="AA26" s="10">
        <v>1.1000000000000001</v>
      </c>
      <c r="AB26" s="10"/>
      <c r="AC26" s="10" t="s">
        <v>40</v>
      </c>
      <c r="AD26" s="10" t="s">
        <v>32</v>
      </c>
      <c r="AE26" s="20">
        <f t="shared" si="0"/>
        <v>0.5776</v>
      </c>
      <c r="AF26" s="10" t="s">
        <v>41</v>
      </c>
      <c r="AG26" s="10">
        <v>2010</v>
      </c>
      <c r="AH26" s="21" t="s">
        <v>42</v>
      </c>
      <c r="AI26" s="2">
        <v>49.33</v>
      </c>
      <c r="AJ26" s="2">
        <v>2.19</v>
      </c>
      <c r="AK26" s="2">
        <v>0.1</v>
      </c>
      <c r="AL26" s="2" t="str">
        <f t="shared" si="1"/>
        <v>Paassen et al. (2010)</v>
      </c>
      <c r="AQ26" s="91"/>
    </row>
    <row r="27" spans="1:43" s="2" customFormat="1" ht="15.6" x14ac:dyDescent="0.3">
      <c r="A27" s="11">
        <v>22.5</v>
      </c>
      <c r="B27" s="11">
        <v>4200</v>
      </c>
      <c r="C27" s="10" t="s">
        <v>33</v>
      </c>
      <c r="D27" s="10" t="s">
        <v>35</v>
      </c>
      <c r="E27" s="10" t="s">
        <v>170</v>
      </c>
      <c r="F27" s="10" t="s">
        <v>34</v>
      </c>
      <c r="G27" s="20">
        <v>0.16600000000000001</v>
      </c>
      <c r="H27" s="10" t="s">
        <v>34</v>
      </c>
      <c r="I27" s="10" t="s">
        <v>34</v>
      </c>
      <c r="J27" s="10">
        <v>1.64</v>
      </c>
      <c r="K27" s="10" t="s">
        <v>34</v>
      </c>
      <c r="L27" s="10" t="s">
        <v>34</v>
      </c>
      <c r="M27" s="10" t="s">
        <v>34</v>
      </c>
      <c r="N27" s="20">
        <v>1560</v>
      </c>
      <c r="O27" s="10" t="s">
        <v>34</v>
      </c>
      <c r="P27" s="10" t="s">
        <v>34</v>
      </c>
      <c r="Q27" s="10" t="s">
        <v>34</v>
      </c>
      <c r="R27" s="10" t="s">
        <v>34</v>
      </c>
      <c r="S27" s="10" t="s">
        <v>34</v>
      </c>
      <c r="T27" s="10" t="s">
        <v>36</v>
      </c>
      <c r="U27" s="20" t="s">
        <v>37</v>
      </c>
      <c r="V27" s="20" t="s">
        <v>38</v>
      </c>
      <c r="W27" s="10">
        <v>10</v>
      </c>
      <c r="X27" s="10">
        <v>1</v>
      </c>
      <c r="Y27" s="10">
        <v>1</v>
      </c>
      <c r="Z27" s="10" t="s">
        <v>39</v>
      </c>
      <c r="AA27" s="10">
        <v>1.1000000000000001</v>
      </c>
      <c r="AB27" s="10"/>
      <c r="AC27" s="10" t="s">
        <v>40</v>
      </c>
      <c r="AD27" s="10" t="s">
        <v>32</v>
      </c>
      <c r="AE27" s="20">
        <f t="shared" si="0"/>
        <v>0.5776</v>
      </c>
      <c r="AF27" s="10" t="s">
        <v>41</v>
      </c>
      <c r="AG27" s="10">
        <v>2010</v>
      </c>
      <c r="AH27" s="21" t="s">
        <v>42</v>
      </c>
      <c r="AI27" s="2">
        <v>49.33</v>
      </c>
      <c r="AJ27" s="2">
        <v>2.19</v>
      </c>
      <c r="AK27" s="2">
        <v>0.1</v>
      </c>
      <c r="AL27" s="2" t="str">
        <f t="shared" si="1"/>
        <v>Paassen et al. (2010)</v>
      </c>
      <c r="AQ27" s="91"/>
    </row>
    <row r="28" spans="1:43" s="2" customFormat="1" ht="15.6" x14ac:dyDescent="0.3">
      <c r="A28" s="11">
        <v>23.4</v>
      </c>
      <c r="B28" s="11">
        <v>2500</v>
      </c>
      <c r="C28" s="10" t="s">
        <v>33</v>
      </c>
      <c r="D28" s="10" t="s">
        <v>35</v>
      </c>
      <c r="E28" s="10" t="s">
        <v>170</v>
      </c>
      <c r="F28" s="10" t="s">
        <v>34</v>
      </c>
      <c r="G28" s="20">
        <v>0.16600000000000001</v>
      </c>
      <c r="H28" s="10" t="s">
        <v>34</v>
      </c>
      <c r="I28" s="10" t="s">
        <v>34</v>
      </c>
      <c r="J28" s="10">
        <v>1.64</v>
      </c>
      <c r="K28" s="10" t="s">
        <v>34</v>
      </c>
      <c r="L28" s="10" t="s">
        <v>34</v>
      </c>
      <c r="M28" s="10" t="s">
        <v>34</v>
      </c>
      <c r="N28" s="20">
        <v>1560</v>
      </c>
      <c r="O28" s="10" t="s">
        <v>34</v>
      </c>
      <c r="P28" s="10" t="s">
        <v>34</v>
      </c>
      <c r="Q28" s="10" t="s">
        <v>34</v>
      </c>
      <c r="R28" s="10" t="s">
        <v>34</v>
      </c>
      <c r="S28" s="10" t="s">
        <v>34</v>
      </c>
      <c r="T28" s="10" t="s">
        <v>36</v>
      </c>
      <c r="U28" s="20" t="s">
        <v>37</v>
      </c>
      <c r="V28" s="20" t="s">
        <v>38</v>
      </c>
      <c r="W28" s="10">
        <v>10</v>
      </c>
      <c r="X28" s="10">
        <v>1</v>
      </c>
      <c r="Y28" s="10">
        <v>1</v>
      </c>
      <c r="Z28" s="10" t="s">
        <v>39</v>
      </c>
      <c r="AA28" s="10">
        <v>1.1000000000000001</v>
      </c>
      <c r="AB28" s="10"/>
      <c r="AC28" s="10" t="s">
        <v>40</v>
      </c>
      <c r="AD28" s="10" t="s">
        <v>32</v>
      </c>
      <c r="AE28" s="20">
        <f t="shared" si="0"/>
        <v>0.5776</v>
      </c>
      <c r="AF28" s="10" t="s">
        <v>41</v>
      </c>
      <c r="AG28" s="10">
        <v>2010</v>
      </c>
      <c r="AH28" s="21" t="s">
        <v>42</v>
      </c>
      <c r="AI28" s="2">
        <v>49.33</v>
      </c>
      <c r="AJ28" s="2">
        <v>2.19</v>
      </c>
      <c r="AK28" s="2">
        <v>0.1</v>
      </c>
      <c r="AL28" s="2" t="str">
        <f t="shared" si="1"/>
        <v>Paassen et al. (2010)</v>
      </c>
      <c r="AQ28" s="91"/>
    </row>
    <row r="29" spans="1:43" s="2" customFormat="1" ht="15.6" x14ac:dyDescent="0.3">
      <c r="A29" s="11">
        <v>22.6</v>
      </c>
      <c r="B29" s="11">
        <v>7600</v>
      </c>
      <c r="C29" s="10" t="s">
        <v>33</v>
      </c>
      <c r="D29" s="10" t="s">
        <v>35</v>
      </c>
      <c r="E29" s="10" t="s">
        <v>170</v>
      </c>
      <c r="F29" s="10" t="s">
        <v>34</v>
      </c>
      <c r="G29" s="20">
        <v>0.16600000000000001</v>
      </c>
      <c r="H29" s="10" t="s">
        <v>34</v>
      </c>
      <c r="I29" s="10" t="s">
        <v>34</v>
      </c>
      <c r="J29" s="10">
        <v>1.64</v>
      </c>
      <c r="K29" s="10" t="s">
        <v>34</v>
      </c>
      <c r="L29" s="10" t="s">
        <v>34</v>
      </c>
      <c r="M29" s="10" t="s">
        <v>34</v>
      </c>
      <c r="N29" s="20">
        <v>1560</v>
      </c>
      <c r="O29" s="10" t="s">
        <v>34</v>
      </c>
      <c r="P29" s="10" t="s">
        <v>34</v>
      </c>
      <c r="Q29" s="10" t="s">
        <v>34</v>
      </c>
      <c r="R29" s="10" t="s">
        <v>34</v>
      </c>
      <c r="S29" s="10" t="s">
        <v>34</v>
      </c>
      <c r="T29" s="10" t="s">
        <v>36</v>
      </c>
      <c r="U29" s="20" t="s">
        <v>37</v>
      </c>
      <c r="V29" s="20" t="s">
        <v>38</v>
      </c>
      <c r="W29" s="10">
        <v>10</v>
      </c>
      <c r="X29" s="10">
        <v>1</v>
      </c>
      <c r="Y29" s="10">
        <v>1</v>
      </c>
      <c r="Z29" s="10" t="s">
        <v>39</v>
      </c>
      <c r="AA29" s="10">
        <v>1.1000000000000001</v>
      </c>
      <c r="AB29" s="10"/>
      <c r="AC29" s="10" t="s">
        <v>40</v>
      </c>
      <c r="AD29" s="10" t="s">
        <v>32</v>
      </c>
      <c r="AE29" s="20">
        <f t="shared" si="0"/>
        <v>0.5776</v>
      </c>
      <c r="AF29" s="10" t="s">
        <v>41</v>
      </c>
      <c r="AG29" s="10">
        <v>2010</v>
      </c>
      <c r="AH29" s="21" t="s">
        <v>42</v>
      </c>
      <c r="AI29" s="2">
        <v>49.33</v>
      </c>
      <c r="AJ29" s="2">
        <v>2.19</v>
      </c>
      <c r="AK29" s="2">
        <v>0.1</v>
      </c>
      <c r="AL29" s="2" t="str">
        <f t="shared" si="1"/>
        <v>Paassen et al. (2010)</v>
      </c>
      <c r="AQ29" s="91"/>
    </row>
    <row r="30" spans="1:43" s="2" customFormat="1" ht="15.6" x14ac:dyDescent="0.3">
      <c r="A30" s="11">
        <v>23.2</v>
      </c>
      <c r="B30" s="11">
        <v>6000</v>
      </c>
      <c r="C30" s="10" t="s">
        <v>33</v>
      </c>
      <c r="D30" s="10" t="s">
        <v>35</v>
      </c>
      <c r="E30" s="10" t="s">
        <v>170</v>
      </c>
      <c r="F30" s="10" t="s">
        <v>34</v>
      </c>
      <c r="G30" s="20">
        <v>0.16600000000000001</v>
      </c>
      <c r="H30" s="10" t="s">
        <v>34</v>
      </c>
      <c r="I30" s="10" t="s">
        <v>34</v>
      </c>
      <c r="J30" s="10">
        <v>1.64</v>
      </c>
      <c r="K30" s="10" t="s">
        <v>34</v>
      </c>
      <c r="L30" s="10" t="s">
        <v>34</v>
      </c>
      <c r="M30" s="10" t="s">
        <v>34</v>
      </c>
      <c r="N30" s="20">
        <v>1560</v>
      </c>
      <c r="O30" s="10" t="s">
        <v>34</v>
      </c>
      <c r="P30" s="10" t="s">
        <v>34</v>
      </c>
      <c r="Q30" s="10" t="s">
        <v>34</v>
      </c>
      <c r="R30" s="10" t="s">
        <v>34</v>
      </c>
      <c r="S30" s="10" t="s">
        <v>34</v>
      </c>
      <c r="T30" s="10" t="s">
        <v>36</v>
      </c>
      <c r="U30" s="20" t="s">
        <v>37</v>
      </c>
      <c r="V30" s="20" t="s">
        <v>38</v>
      </c>
      <c r="W30" s="10">
        <v>10</v>
      </c>
      <c r="X30" s="10">
        <v>1</v>
      </c>
      <c r="Y30" s="10">
        <v>1</v>
      </c>
      <c r="Z30" s="10" t="s">
        <v>39</v>
      </c>
      <c r="AA30" s="10">
        <v>1.1000000000000001</v>
      </c>
      <c r="AB30" s="10"/>
      <c r="AC30" s="10" t="s">
        <v>40</v>
      </c>
      <c r="AD30" s="10" t="s">
        <v>32</v>
      </c>
      <c r="AE30" s="20">
        <f t="shared" si="0"/>
        <v>0.5776</v>
      </c>
      <c r="AF30" s="10" t="s">
        <v>41</v>
      </c>
      <c r="AG30" s="10">
        <v>2010</v>
      </c>
      <c r="AH30" s="21" t="s">
        <v>42</v>
      </c>
      <c r="AI30" s="2">
        <v>49.33</v>
      </c>
      <c r="AJ30" s="2">
        <v>2.19</v>
      </c>
      <c r="AK30" s="2">
        <v>0.1</v>
      </c>
      <c r="AL30" s="2" t="str">
        <f t="shared" si="1"/>
        <v>Paassen et al. (2010)</v>
      </c>
      <c r="AQ30" s="91"/>
    </row>
    <row r="31" spans="1:43" s="2" customFormat="1" ht="15.6" x14ac:dyDescent="0.3">
      <c r="A31" s="11">
        <v>23.1</v>
      </c>
      <c r="B31" s="11">
        <v>4000</v>
      </c>
      <c r="C31" s="10" t="s">
        <v>33</v>
      </c>
      <c r="D31" s="10" t="s">
        <v>35</v>
      </c>
      <c r="E31" s="10" t="s">
        <v>170</v>
      </c>
      <c r="F31" s="10" t="s">
        <v>34</v>
      </c>
      <c r="G31" s="20">
        <v>0.16600000000000001</v>
      </c>
      <c r="H31" s="10" t="s">
        <v>34</v>
      </c>
      <c r="I31" s="10" t="s">
        <v>34</v>
      </c>
      <c r="J31" s="10">
        <v>1.64</v>
      </c>
      <c r="K31" s="10" t="s">
        <v>34</v>
      </c>
      <c r="L31" s="10" t="s">
        <v>34</v>
      </c>
      <c r="M31" s="10" t="s">
        <v>34</v>
      </c>
      <c r="N31" s="20">
        <v>1560</v>
      </c>
      <c r="O31" s="10" t="s">
        <v>34</v>
      </c>
      <c r="P31" s="10" t="s">
        <v>34</v>
      </c>
      <c r="Q31" s="10" t="s">
        <v>34</v>
      </c>
      <c r="R31" s="10" t="s">
        <v>34</v>
      </c>
      <c r="S31" s="10" t="s">
        <v>34</v>
      </c>
      <c r="T31" s="10" t="s">
        <v>36</v>
      </c>
      <c r="U31" s="20" t="s">
        <v>37</v>
      </c>
      <c r="V31" s="20" t="s">
        <v>38</v>
      </c>
      <c r="W31" s="10">
        <v>10</v>
      </c>
      <c r="X31" s="10">
        <v>1</v>
      </c>
      <c r="Y31" s="10">
        <v>1</v>
      </c>
      <c r="Z31" s="10" t="s">
        <v>39</v>
      </c>
      <c r="AA31" s="10">
        <v>1.1000000000000001</v>
      </c>
      <c r="AB31" s="10"/>
      <c r="AC31" s="10" t="s">
        <v>40</v>
      </c>
      <c r="AD31" s="10" t="s">
        <v>32</v>
      </c>
      <c r="AE31" s="20">
        <f t="shared" si="0"/>
        <v>0.5776</v>
      </c>
      <c r="AF31" s="10" t="s">
        <v>41</v>
      </c>
      <c r="AG31" s="10">
        <v>2010</v>
      </c>
      <c r="AH31" s="21" t="s">
        <v>42</v>
      </c>
      <c r="AI31" s="2">
        <v>49.33</v>
      </c>
      <c r="AJ31" s="2">
        <v>2.19</v>
      </c>
      <c r="AK31" s="2">
        <v>0.1</v>
      </c>
      <c r="AL31" s="2" t="str">
        <f t="shared" si="1"/>
        <v>Paassen et al. (2010)</v>
      </c>
      <c r="AQ31" s="91"/>
    </row>
    <row r="32" spans="1:43" s="2" customFormat="1" ht="15.6" x14ac:dyDescent="0.3">
      <c r="A32" s="11">
        <v>23.2</v>
      </c>
      <c r="B32" s="11">
        <v>6200</v>
      </c>
      <c r="C32" s="10" t="s">
        <v>33</v>
      </c>
      <c r="D32" s="10" t="s">
        <v>35</v>
      </c>
      <c r="E32" s="10" t="s">
        <v>170</v>
      </c>
      <c r="F32" s="10" t="s">
        <v>34</v>
      </c>
      <c r="G32" s="20">
        <v>0.16600000000000001</v>
      </c>
      <c r="H32" s="10" t="s">
        <v>34</v>
      </c>
      <c r="I32" s="10" t="s">
        <v>34</v>
      </c>
      <c r="J32" s="10">
        <v>1.64</v>
      </c>
      <c r="K32" s="10" t="s">
        <v>34</v>
      </c>
      <c r="L32" s="10" t="s">
        <v>34</v>
      </c>
      <c r="M32" s="10" t="s">
        <v>34</v>
      </c>
      <c r="N32" s="20">
        <v>1560</v>
      </c>
      <c r="O32" s="10" t="s">
        <v>34</v>
      </c>
      <c r="P32" s="10" t="s">
        <v>34</v>
      </c>
      <c r="Q32" s="10" t="s">
        <v>34</v>
      </c>
      <c r="R32" s="10" t="s">
        <v>34</v>
      </c>
      <c r="S32" s="10" t="s">
        <v>34</v>
      </c>
      <c r="T32" s="10" t="s">
        <v>36</v>
      </c>
      <c r="U32" s="20" t="s">
        <v>37</v>
      </c>
      <c r="V32" s="20" t="s">
        <v>38</v>
      </c>
      <c r="W32" s="10">
        <v>10</v>
      </c>
      <c r="X32" s="10">
        <v>1</v>
      </c>
      <c r="Y32" s="10">
        <v>1</v>
      </c>
      <c r="Z32" s="10" t="s">
        <v>39</v>
      </c>
      <c r="AA32" s="10">
        <v>1.1000000000000001</v>
      </c>
      <c r="AB32" s="10"/>
      <c r="AC32" s="10" t="s">
        <v>40</v>
      </c>
      <c r="AD32" s="10" t="s">
        <v>32</v>
      </c>
      <c r="AE32" s="20">
        <f t="shared" si="0"/>
        <v>0.5776</v>
      </c>
      <c r="AF32" s="10" t="s">
        <v>41</v>
      </c>
      <c r="AG32" s="10">
        <v>2010</v>
      </c>
      <c r="AH32" s="21" t="s">
        <v>42</v>
      </c>
      <c r="AI32" s="2">
        <v>49.33</v>
      </c>
      <c r="AJ32" s="2">
        <v>2.19</v>
      </c>
      <c r="AK32" s="2">
        <v>0.1</v>
      </c>
      <c r="AL32" s="2" t="str">
        <f t="shared" si="1"/>
        <v>Paassen et al. (2010)</v>
      </c>
      <c r="AQ32" s="91"/>
    </row>
    <row r="33" spans="1:43" s="2" customFormat="1" ht="15.6" x14ac:dyDescent="0.3">
      <c r="A33" s="11">
        <v>23.8</v>
      </c>
      <c r="B33" s="11">
        <v>8000</v>
      </c>
      <c r="C33" s="10" t="s">
        <v>33</v>
      </c>
      <c r="D33" s="10" t="s">
        <v>35</v>
      </c>
      <c r="E33" s="10" t="s">
        <v>170</v>
      </c>
      <c r="F33" s="10" t="s">
        <v>34</v>
      </c>
      <c r="G33" s="20">
        <v>0.16600000000000001</v>
      </c>
      <c r="H33" s="10" t="s">
        <v>34</v>
      </c>
      <c r="I33" s="10" t="s">
        <v>34</v>
      </c>
      <c r="J33" s="10">
        <v>1.64</v>
      </c>
      <c r="K33" s="10" t="s">
        <v>34</v>
      </c>
      <c r="L33" s="10" t="s">
        <v>34</v>
      </c>
      <c r="M33" s="10" t="s">
        <v>34</v>
      </c>
      <c r="N33" s="20">
        <v>1560</v>
      </c>
      <c r="O33" s="10" t="s">
        <v>34</v>
      </c>
      <c r="P33" s="10" t="s">
        <v>34</v>
      </c>
      <c r="Q33" s="10" t="s">
        <v>34</v>
      </c>
      <c r="R33" s="10" t="s">
        <v>34</v>
      </c>
      <c r="S33" s="10" t="s">
        <v>34</v>
      </c>
      <c r="T33" s="10" t="s">
        <v>36</v>
      </c>
      <c r="U33" s="20" t="s">
        <v>37</v>
      </c>
      <c r="V33" s="20" t="s">
        <v>38</v>
      </c>
      <c r="W33" s="10">
        <v>10</v>
      </c>
      <c r="X33" s="10">
        <v>1</v>
      </c>
      <c r="Y33" s="10">
        <v>1</v>
      </c>
      <c r="Z33" s="10" t="s">
        <v>39</v>
      </c>
      <c r="AA33" s="10">
        <v>1.1000000000000001</v>
      </c>
      <c r="AB33" s="10"/>
      <c r="AC33" s="10" t="s">
        <v>40</v>
      </c>
      <c r="AD33" s="10" t="s">
        <v>32</v>
      </c>
      <c r="AE33" s="20">
        <f t="shared" si="0"/>
        <v>0.5776</v>
      </c>
      <c r="AF33" s="10" t="s">
        <v>41</v>
      </c>
      <c r="AG33" s="10">
        <v>2010</v>
      </c>
      <c r="AH33" s="21" t="s">
        <v>42</v>
      </c>
      <c r="AI33" s="2">
        <v>49.33</v>
      </c>
      <c r="AJ33" s="2">
        <v>2.19</v>
      </c>
      <c r="AK33" s="2">
        <v>0.1</v>
      </c>
      <c r="AL33" s="2" t="str">
        <f t="shared" si="1"/>
        <v>Paassen et al. (2010)</v>
      </c>
      <c r="AQ33" s="91"/>
    </row>
    <row r="34" spans="1:43" s="2" customFormat="1" ht="15.6" x14ac:dyDescent="0.3">
      <c r="A34" s="11">
        <v>24.7</v>
      </c>
      <c r="B34" s="11">
        <v>2700</v>
      </c>
      <c r="C34" s="10" t="s">
        <v>33</v>
      </c>
      <c r="D34" s="10" t="s">
        <v>35</v>
      </c>
      <c r="E34" s="10" t="s">
        <v>170</v>
      </c>
      <c r="F34" s="10" t="s">
        <v>34</v>
      </c>
      <c r="G34" s="20">
        <v>0.16600000000000001</v>
      </c>
      <c r="H34" s="10" t="s">
        <v>34</v>
      </c>
      <c r="I34" s="10" t="s">
        <v>34</v>
      </c>
      <c r="J34" s="10">
        <v>1.64</v>
      </c>
      <c r="K34" s="10" t="s">
        <v>34</v>
      </c>
      <c r="L34" s="10" t="s">
        <v>34</v>
      </c>
      <c r="M34" s="10" t="s">
        <v>34</v>
      </c>
      <c r="N34" s="20">
        <v>1560</v>
      </c>
      <c r="O34" s="10" t="s">
        <v>34</v>
      </c>
      <c r="P34" s="10" t="s">
        <v>34</v>
      </c>
      <c r="Q34" s="10" t="s">
        <v>34</v>
      </c>
      <c r="R34" s="10" t="s">
        <v>34</v>
      </c>
      <c r="S34" s="10" t="s">
        <v>34</v>
      </c>
      <c r="T34" s="10" t="s">
        <v>36</v>
      </c>
      <c r="U34" s="20" t="s">
        <v>37</v>
      </c>
      <c r="V34" s="20" t="s">
        <v>38</v>
      </c>
      <c r="W34" s="10">
        <v>10</v>
      </c>
      <c r="X34" s="10">
        <v>1</v>
      </c>
      <c r="Y34" s="10">
        <v>1</v>
      </c>
      <c r="Z34" s="10" t="s">
        <v>39</v>
      </c>
      <c r="AA34" s="10">
        <v>1.1000000000000001</v>
      </c>
      <c r="AB34" s="10"/>
      <c r="AC34" s="10" t="s">
        <v>40</v>
      </c>
      <c r="AD34" s="10" t="s">
        <v>32</v>
      </c>
      <c r="AE34" s="20">
        <f t="shared" si="0"/>
        <v>0.5776</v>
      </c>
      <c r="AF34" s="10" t="s">
        <v>41</v>
      </c>
      <c r="AG34" s="10">
        <v>2010</v>
      </c>
      <c r="AH34" s="21" t="s">
        <v>42</v>
      </c>
      <c r="AI34" s="2">
        <v>49.33</v>
      </c>
      <c r="AJ34" s="2">
        <v>2.19</v>
      </c>
      <c r="AK34" s="2">
        <v>0.1</v>
      </c>
      <c r="AL34" s="2" t="str">
        <f t="shared" si="1"/>
        <v>Paassen et al. (2010)</v>
      </c>
      <c r="AQ34" s="91"/>
    </row>
    <row r="35" spans="1:43" s="2" customFormat="1" ht="15.6" x14ac:dyDescent="0.3">
      <c r="A35" s="11">
        <v>24.8</v>
      </c>
      <c r="B35" s="11">
        <v>4700</v>
      </c>
      <c r="C35" s="10" t="s">
        <v>33</v>
      </c>
      <c r="D35" s="10" t="s">
        <v>35</v>
      </c>
      <c r="E35" s="10" t="s">
        <v>170</v>
      </c>
      <c r="F35" s="10" t="s">
        <v>34</v>
      </c>
      <c r="G35" s="20">
        <v>0.16600000000000001</v>
      </c>
      <c r="H35" s="10" t="s">
        <v>34</v>
      </c>
      <c r="I35" s="10" t="s">
        <v>34</v>
      </c>
      <c r="J35" s="10">
        <v>1.64</v>
      </c>
      <c r="K35" s="10" t="s">
        <v>34</v>
      </c>
      <c r="L35" s="10" t="s">
        <v>34</v>
      </c>
      <c r="M35" s="10" t="s">
        <v>34</v>
      </c>
      <c r="N35" s="20">
        <v>1560</v>
      </c>
      <c r="O35" s="10" t="s">
        <v>34</v>
      </c>
      <c r="P35" s="10" t="s">
        <v>34</v>
      </c>
      <c r="Q35" s="10" t="s">
        <v>34</v>
      </c>
      <c r="R35" s="10" t="s">
        <v>34</v>
      </c>
      <c r="S35" s="10" t="s">
        <v>34</v>
      </c>
      <c r="T35" s="10" t="s">
        <v>36</v>
      </c>
      <c r="U35" s="20" t="s">
        <v>37</v>
      </c>
      <c r="V35" s="20" t="s">
        <v>38</v>
      </c>
      <c r="W35" s="10">
        <v>10</v>
      </c>
      <c r="X35" s="10">
        <v>1</v>
      </c>
      <c r="Y35" s="10">
        <v>1</v>
      </c>
      <c r="Z35" s="10" t="s">
        <v>39</v>
      </c>
      <c r="AA35" s="10">
        <v>1.1000000000000001</v>
      </c>
      <c r="AB35" s="10"/>
      <c r="AC35" s="10" t="s">
        <v>40</v>
      </c>
      <c r="AD35" s="10" t="s">
        <v>32</v>
      </c>
      <c r="AE35" s="20">
        <f t="shared" si="0"/>
        <v>0.5776</v>
      </c>
      <c r="AF35" s="10" t="s">
        <v>41</v>
      </c>
      <c r="AG35" s="10">
        <v>2010</v>
      </c>
      <c r="AH35" s="21" t="s">
        <v>42</v>
      </c>
      <c r="AI35" s="2">
        <v>49.33</v>
      </c>
      <c r="AJ35" s="2">
        <v>2.19</v>
      </c>
      <c r="AK35" s="2">
        <v>0.1</v>
      </c>
      <c r="AL35" s="2" t="str">
        <f t="shared" si="1"/>
        <v>Paassen et al. (2010)</v>
      </c>
      <c r="AQ35" s="91"/>
    </row>
    <row r="36" spans="1:43" s="2" customFormat="1" ht="15.6" x14ac:dyDescent="0.3">
      <c r="A36" s="11">
        <v>26.2</v>
      </c>
      <c r="B36" s="11">
        <v>4900</v>
      </c>
      <c r="C36" s="10" t="s">
        <v>33</v>
      </c>
      <c r="D36" s="10" t="s">
        <v>35</v>
      </c>
      <c r="E36" s="10" t="s">
        <v>170</v>
      </c>
      <c r="F36" s="10" t="s">
        <v>34</v>
      </c>
      <c r="G36" s="20">
        <v>0.16600000000000001</v>
      </c>
      <c r="H36" s="10" t="s">
        <v>34</v>
      </c>
      <c r="I36" s="10" t="s">
        <v>34</v>
      </c>
      <c r="J36" s="10">
        <v>1.64</v>
      </c>
      <c r="K36" s="10" t="s">
        <v>34</v>
      </c>
      <c r="L36" s="10" t="s">
        <v>34</v>
      </c>
      <c r="M36" s="10" t="s">
        <v>34</v>
      </c>
      <c r="N36" s="20">
        <v>1560</v>
      </c>
      <c r="O36" s="10" t="s">
        <v>34</v>
      </c>
      <c r="P36" s="10" t="s">
        <v>34</v>
      </c>
      <c r="Q36" s="10" t="s">
        <v>34</v>
      </c>
      <c r="R36" s="10" t="s">
        <v>34</v>
      </c>
      <c r="S36" s="10" t="s">
        <v>34</v>
      </c>
      <c r="T36" s="10" t="s">
        <v>36</v>
      </c>
      <c r="U36" s="20" t="s">
        <v>37</v>
      </c>
      <c r="V36" s="20" t="s">
        <v>38</v>
      </c>
      <c r="W36" s="10">
        <v>10</v>
      </c>
      <c r="X36" s="10">
        <v>1</v>
      </c>
      <c r="Y36" s="10">
        <v>1</v>
      </c>
      <c r="Z36" s="10" t="s">
        <v>39</v>
      </c>
      <c r="AA36" s="10">
        <v>1.1000000000000001</v>
      </c>
      <c r="AB36" s="10"/>
      <c r="AC36" s="10" t="s">
        <v>40</v>
      </c>
      <c r="AD36" s="10" t="s">
        <v>32</v>
      </c>
      <c r="AE36" s="20">
        <f t="shared" si="0"/>
        <v>0.5776</v>
      </c>
      <c r="AF36" s="10" t="s">
        <v>41</v>
      </c>
      <c r="AG36" s="10">
        <v>2010</v>
      </c>
      <c r="AH36" s="21" t="s">
        <v>42</v>
      </c>
      <c r="AI36" s="2">
        <v>49.33</v>
      </c>
      <c r="AJ36" s="2">
        <v>2.19</v>
      </c>
      <c r="AK36" s="2">
        <v>0.1</v>
      </c>
      <c r="AL36" s="2" t="str">
        <f t="shared" si="1"/>
        <v>Paassen et al. (2010)</v>
      </c>
      <c r="AQ36" s="91"/>
    </row>
    <row r="37" spans="1:43" s="2" customFormat="1" ht="15.6" x14ac:dyDescent="0.3">
      <c r="A37" s="11">
        <v>25.6</v>
      </c>
      <c r="B37" s="11">
        <v>8600</v>
      </c>
      <c r="C37" s="10" t="s">
        <v>33</v>
      </c>
      <c r="D37" s="10" t="s">
        <v>35</v>
      </c>
      <c r="E37" s="10" t="s">
        <v>170</v>
      </c>
      <c r="F37" s="10" t="s">
        <v>34</v>
      </c>
      <c r="G37" s="20">
        <v>0.16600000000000001</v>
      </c>
      <c r="H37" s="10" t="s">
        <v>34</v>
      </c>
      <c r="I37" s="10" t="s">
        <v>34</v>
      </c>
      <c r="J37" s="10">
        <v>1.64</v>
      </c>
      <c r="K37" s="10" t="s">
        <v>34</v>
      </c>
      <c r="L37" s="10" t="s">
        <v>34</v>
      </c>
      <c r="M37" s="10" t="s">
        <v>34</v>
      </c>
      <c r="N37" s="20">
        <v>1560</v>
      </c>
      <c r="O37" s="10" t="s">
        <v>34</v>
      </c>
      <c r="P37" s="10" t="s">
        <v>34</v>
      </c>
      <c r="Q37" s="10" t="s">
        <v>34</v>
      </c>
      <c r="R37" s="10" t="s">
        <v>34</v>
      </c>
      <c r="S37" s="10" t="s">
        <v>34</v>
      </c>
      <c r="T37" s="10" t="s">
        <v>36</v>
      </c>
      <c r="U37" s="20" t="s">
        <v>37</v>
      </c>
      <c r="V37" s="20" t="s">
        <v>38</v>
      </c>
      <c r="W37" s="10">
        <v>10</v>
      </c>
      <c r="X37" s="10">
        <v>1</v>
      </c>
      <c r="Y37" s="10">
        <v>1</v>
      </c>
      <c r="Z37" s="10" t="s">
        <v>39</v>
      </c>
      <c r="AA37" s="10">
        <v>1.1000000000000001</v>
      </c>
      <c r="AB37" s="10"/>
      <c r="AC37" s="10" t="s">
        <v>40</v>
      </c>
      <c r="AD37" s="10" t="s">
        <v>32</v>
      </c>
      <c r="AE37" s="20">
        <f t="shared" si="0"/>
        <v>0.5776</v>
      </c>
      <c r="AF37" s="10" t="s">
        <v>41</v>
      </c>
      <c r="AG37" s="10">
        <v>2010</v>
      </c>
      <c r="AH37" s="21" t="s">
        <v>42</v>
      </c>
      <c r="AI37" s="2">
        <v>49.33</v>
      </c>
      <c r="AJ37" s="2">
        <v>2.19</v>
      </c>
      <c r="AK37" s="2">
        <v>0.1</v>
      </c>
      <c r="AL37" s="2" t="str">
        <f t="shared" si="1"/>
        <v>Paassen et al. (2010)</v>
      </c>
      <c r="AQ37" s="91"/>
    </row>
    <row r="38" spans="1:43" s="2" customFormat="1" ht="15.6" x14ac:dyDescent="0.3">
      <c r="A38" s="11">
        <v>25.2</v>
      </c>
      <c r="B38" s="11">
        <v>5900</v>
      </c>
      <c r="C38" s="10" t="s">
        <v>33</v>
      </c>
      <c r="D38" s="10" t="s">
        <v>35</v>
      </c>
      <c r="E38" s="10" t="s">
        <v>170</v>
      </c>
      <c r="F38" s="10" t="s">
        <v>34</v>
      </c>
      <c r="G38" s="20">
        <v>0.16600000000000001</v>
      </c>
      <c r="H38" s="10" t="s">
        <v>34</v>
      </c>
      <c r="I38" s="10" t="s">
        <v>34</v>
      </c>
      <c r="J38" s="10">
        <v>1.64</v>
      </c>
      <c r="K38" s="10" t="s">
        <v>34</v>
      </c>
      <c r="L38" s="10" t="s">
        <v>34</v>
      </c>
      <c r="M38" s="10" t="s">
        <v>34</v>
      </c>
      <c r="N38" s="20">
        <v>1560</v>
      </c>
      <c r="O38" s="10" t="s">
        <v>34</v>
      </c>
      <c r="P38" s="10" t="s">
        <v>34</v>
      </c>
      <c r="Q38" s="10" t="s">
        <v>34</v>
      </c>
      <c r="R38" s="10" t="s">
        <v>34</v>
      </c>
      <c r="S38" s="10" t="s">
        <v>34</v>
      </c>
      <c r="T38" s="10" t="s">
        <v>36</v>
      </c>
      <c r="U38" s="20" t="s">
        <v>37</v>
      </c>
      <c r="V38" s="20" t="s">
        <v>38</v>
      </c>
      <c r="W38" s="10">
        <v>10</v>
      </c>
      <c r="X38" s="10">
        <v>1</v>
      </c>
      <c r="Y38" s="10">
        <v>1</v>
      </c>
      <c r="Z38" s="10" t="s">
        <v>39</v>
      </c>
      <c r="AA38" s="10">
        <v>1.1000000000000001</v>
      </c>
      <c r="AB38" s="10"/>
      <c r="AC38" s="10" t="s">
        <v>40</v>
      </c>
      <c r="AD38" s="10" t="s">
        <v>32</v>
      </c>
      <c r="AE38" s="20">
        <f t="shared" si="0"/>
        <v>0.5776</v>
      </c>
      <c r="AF38" s="10" t="s">
        <v>41</v>
      </c>
      <c r="AG38" s="10">
        <v>2010</v>
      </c>
      <c r="AH38" s="21" t="s">
        <v>42</v>
      </c>
      <c r="AI38" s="2">
        <v>49.33</v>
      </c>
      <c r="AJ38" s="2">
        <v>2.19</v>
      </c>
      <c r="AK38" s="2">
        <v>0.1</v>
      </c>
      <c r="AL38" s="2" t="str">
        <f t="shared" si="1"/>
        <v>Paassen et al. (2010)</v>
      </c>
      <c r="AQ38" s="91"/>
    </row>
    <row r="39" spans="1:43" s="2" customFormat="1" ht="15.6" x14ac:dyDescent="0.3">
      <c r="A39" s="11">
        <v>24.8</v>
      </c>
      <c r="B39" s="11">
        <v>12400</v>
      </c>
      <c r="C39" s="10" t="s">
        <v>33</v>
      </c>
      <c r="D39" s="10" t="s">
        <v>35</v>
      </c>
      <c r="E39" s="10" t="s">
        <v>170</v>
      </c>
      <c r="F39" s="10" t="s">
        <v>34</v>
      </c>
      <c r="G39" s="20">
        <v>0.16600000000000001</v>
      </c>
      <c r="H39" s="10" t="s">
        <v>34</v>
      </c>
      <c r="I39" s="10" t="s">
        <v>34</v>
      </c>
      <c r="J39" s="10">
        <v>1.64</v>
      </c>
      <c r="K39" s="10" t="s">
        <v>34</v>
      </c>
      <c r="L39" s="10" t="s">
        <v>34</v>
      </c>
      <c r="M39" s="10" t="s">
        <v>34</v>
      </c>
      <c r="N39" s="20">
        <v>1560</v>
      </c>
      <c r="O39" s="10" t="s">
        <v>34</v>
      </c>
      <c r="P39" s="10" t="s">
        <v>34</v>
      </c>
      <c r="Q39" s="10" t="s">
        <v>34</v>
      </c>
      <c r="R39" s="10" t="s">
        <v>34</v>
      </c>
      <c r="S39" s="10" t="s">
        <v>34</v>
      </c>
      <c r="T39" s="10" t="s">
        <v>36</v>
      </c>
      <c r="U39" s="20" t="s">
        <v>37</v>
      </c>
      <c r="V39" s="20" t="s">
        <v>38</v>
      </c>
      <c r="W39" s="10">
        <v>10</v>
      </c>
      <c r="X39" s="10">
        <v>1</v>
      </c>
      <c r="Y39" s="10">
        <v>1</v>
      </c>
      <c r="Z39" s="10" t="s">
        <v>39</v>
      </c>
      <c r="AA39" s="10">
        <v>1.1000000000000001</v>
      </c>
      <c r="AB39" s="10"/>
      <c r="AC39" s="10" t="s">
        <v>40</v>
      </c>
      <c r="AD39" s="10" t="s">
        <v>32</v>
      </c>
      <c r="AE39" s="20">
        <f t="shared" si="0"/>
        <v>0.5776</v>
      </c>
      <c r="AF39" s="10" t="s">
        <v>41</v>
      </c>
      <c r="AG39" s="10">
        <v>2010</v>
      </c>
      <c r="AH39" s="21" t="s">
        <v>42</v>
      </c>
      <c r="AI39" s="2">
        <v>49.33</v>
      </c>
      <c r="AJ39" s="2">
        <v>2.19</v>
      </c>
      <c r="AK39" s="2">
        <v>0.1</v>
      </c>
      <c r="AL39" s="2" t="str">
        <f t="shared" si="1"/>
        <v>Paassen et al. (2010)</v>
      </c>
      <c r="AQ39" s="91"/>
    </row>
    <row r="40" spans="1:43" s="15" customFormat="1" ht="16.2" thickBot="1" x14ac:dyDescent="0.35">
      <c r="A40" s="17">
        <v>27.3</v>
      </c>
      <c r="B40" s="17">
        <v>5800</v>
      </c>
      <c r="C40" s="14" t="s">
        <v>33</v>
      </c>
      <c r="D40" s="14" t="s">
        <v>35</v>
      </c>
      <c r="E40" s="14" t="s">
        <v>170</v>
      </c>
      <c r="F40" s="14" t="s">
        <v>34</v>
      </c>
      <c r="G40" s="22">
        <v>0.16600000000000001</v>
      </c>
      <c r="H40" s="14" t="s">
        <v>34</v>
      </c>
      <c r="I40" s="14" t="s">
        <v>34</v>
      </c>
      <c r="J40" s="14">
        <v>1.64</v>
      </c>
      <c r="K40" s="14" t="s">
        <v>34</v>
      </c>
      <c r="L40" s="14" t="s">
        <v>34</v>
      </c>
      <c r="M40" s="14" t="s">
        <v>34</v>
      </c>
      <c r="N40" s="22">
        <v>1560</v>
      </c>
      <c r="O40" s="14" t="s">
        <v>34</v>
      </c>
      <c r="P40" s="14" t="s">
        <v>34</v>
      </c>
      <c r="Q40" s="14" t="s">
        <v>34</v>
      </c>
      <c r="R40" s="14" t="s">
        <v>34</v>
      </c>
      <c r="S40" s="14" t="s">
        <v>34</v>
      </c>
      <c r="T40" s="14" t="s">
        <v>36</v>
      </c>
      <c r="U40" s="22" t="s">
        <v>37</v>
      </c>
      <c r="V40" s="22" t="s">
        <v>38</v>
      </c>
      <c r="W40" s="14">
        <v>10</v>
      </c>
      <c r="X40" s="14">
        <v>1</v>
      </c>
      <c r="Y40" s="14">
        <v>1</v>
      </c>
      <c r="Z40" s="14" t="s">
        <v>39</v>
      </c>
      <c r="AA40" s="14">
        <v>1.1000000000000001</v>
      </c>
      <c r="AB40" s="14"/>
      <c r="AC40" s="14" t="s">
        <v>40</v>
      </c>
      <c r="AD40" s="14" t="s">
        <v>32</v>
      </c>
      <c r="AE40" s="22">
        <f t="shared" si="0"/>
        <v>0.5776</v>
      </c>
      <c r="AF40" s="14" t="s">
        <v>41</v>
      </c>
      <c r="AG40" s="14">
        <v>2010</v>
      </c>
      <c r="AH40" s="23" t="s">
        <v>42</v>
      </c>
      <c r="AI40" s="15">
        <v>49.33</v>
      </c>
      <c r="AJ40" s="15">
        <v>2.19</v>
      </c>
      <c r="AK40" s="34">
        <v>0.1</v>
      </c>
      <c r="AL40" s="2" t="str">
        <f t="shared" si="1"/>
        <v>Paassen et al. (2010)</v>
      </c>
    </row>
    <row r="41" spans="1:43" s="2" customFormat="1" ht="15.6" x14ac:dyDescent="0.3">
      <c r="A41" s="65">
        <v>1.0201691607026599</v>
      </c>
      <c r="B41" s="65">
        <v>4.8426150121067604</v>
      </c>
      <c r="C41" s="66" t="s">
        <v>34</v>
      </c>
      <c r="D41" s="66" t="s">
        <v>394</v>
      </c>
      <c r="E41" s="66" t="s">
        <v>387</v>
      </c>
      <c r="F41" s="66" t="s">
        <v>34</v>
      </c>
      <c r="G41" s="66" t="s">
        <v>34</v>
      </c>
      <c r="H41" s="13" t="s">
        <v>34</v>
      </c>
      <c r="I41" s="66" t="s">
        <v>34</v>
      </c>
      <c r="J41" s="66" t="s">
        <v>34</v>
      </c>
      <c r="K41" s="66" t="s">
        <v>34</v>
      </c>
      <c r="L41" s="66">
        <v>0</v>
      </c>
      <c r="M41" s="66">
        <v>34.1</v>
      </c>
      <c r="N41" s="66">
        <v>1400.49</v>
      </c>
      <c r="O41" s="66">
        <v>1.143</v>
      </c>
      <c r="P41" s="66">
        <v>0.84099999999999997</v>
      </c>
      <c r="Q41" s="66">
        <v>36.4</v>
      </c>
      <c r="R41" s="66">
        <v>2.8570000000000002</v>
      </c>
      <c r="S41" s="66" t="s">
        <v>34</v>
      </c>
      <c r="T41" s="66" t="s">
        <v>49</v>
      </c>
      <c r="U41" s="66" t="s">
        <v>362</v>
      </c>
      <c r="V41" s="66" t="s">
        <v>38</v>
      </c>
      <c r="W41" s="66" t="s">
        <v>43</v>
      </c>
      <c r="X41" s="66">
        <v>0.5</v>
      </c>
      <c r="Y41" s="66">
        <v>1</v>
      </c>
      <c r="Z41" s="66" t="s">
        <v>339</v>
      </c>
      <c r="AA41" s="66">
        <v>0.47339999999999999</v>
      </c>
      <c r="AB41" s="66" t="s">
        <v>34</v>
      </c>
      <c r="AC41" s="66" t="s">
        <v>391</v>
      </c>
      <c r="AD41" s="66" t="s">
        <v>277</v>
      </c>
      <c r="AE41" s="66">
        <v>0.86780000000000002</v>
      </c>
      <c r="AF41" s="66" t="s">
        <v>395</v>
      </c>
      <c r="AG41" s="66">
        <v>2024</v>
      </c>
      <c r="AH41" s="66" t="s">
        <v>396</v>
      </c>
      <c r="AI41" s="67">
        <v>50</v>
      </c>
      <c r="AJ41" s="67">
        <v>2</v>
      </c>
      <c r="AK41" s="67" t="s">
        <v>34</v>
      </c>
      <c r="AL41" s="2" t="str">
        <f t="shared" ref="AL41:AL83" si="2">CONCATENATE(AF41, " et al. (",AG41,")")</f>
        <v>Cui et al. (2024)</v>
      </c>
    </row>
    <row r="42" spans="1:43" s="2" customFormat="1" ht="15.6" x14ac:dyDescent="0.3">
      <c r="A42" s="11">
        <v>1.5510735198438499</v>
      </c>
      <c r="B42" s="11">
        <v>5.6497175141243998</v>
      </c>
      <c r="C42" s="10" t="s">
        <v>34</v>
      </c>
      <c r="D42" s="10" t="s">
        <v>394</v>
      </c>
      <c r="E42" s="10" t="s">
        <v>387</v>
      </c>
      <c r="F42" s="10" t="s">
        <v>34</v>
      </c>
      <c r="G42" s="10" t="s">
        <v>34</v>
      </c>
      <c r="H42" s="10" t="s">
        <v>34</v>
      </c>
      <c r="I42" s="10" t="s">
        <v>34</v>
      </c>
      <c r="J42" s="10" t="s">
        <v>34</v>
      </c>
      <c r="K42" s="10" t="s">
        <v>34</v>
      </c>
      <c r="L42" s="10">
        <v>0</v>
      </c>
      <c r="M42" s="10">
        <v>34.1</v>
      </c>
      <c r="N42" s="10">
        <v>1400.49</v>
      </c>
      <c r="O42" s="10">
        <v>1.143</v>
      </c>
      <c r="P42" s="10">
        <v>0.84099999999999997</v>
      </c>
      <c r="Q42" s="10">
        <v>36.4</v>
      </c>
      <c r="R42" s="10">
        <v>2.8570000000000002</v>
      </c>
      <c r="S42" s="10" t="s">
        <v>34</v>
      </c>
      <c r="T42" s="10" t="s">
        <v>49</v>
      </c>
      <c r="U42" s="10" t="s">
        <v>362</v>
      </c>
      <c r="V42" s="10" t="s">
        <v>38</v>
      </c>
      <c r="W42" s="10" t="s">
        <v>43</v>
      </c>
      <c r="X42" s="10">
        <v>0.5</v>
      </c>
      <c r="Y42" s="10">
        <v>1</v>
      </c>
      <c r="Z42" s="10" t="s">
        <v>339</v>
      </c>
      <c r="AA42" s="10">
        <v>0.47339999999999999</v>
      </c>
      <c r="AB42" s="10" t="s">
        <v>34</v>
      </c>
      <c r="AC42" s="10" t="s">
        <v>391</v>
      </c>
      <c r="AD42" s="10" t="s">
        <v>277</v>
      </c>
      <c r="AE42" s="10">
        <v>0.86780000000000002</v>
      </c>
      <c r="AF42" s="10" t="s">
        <v>395</v>
      </c>
      <c r="AG42" s="10">
        <v>2024</v>
      </c>
      <c r="AH42" s="10" t="s">
        <v>396</v>
      </c>
      <c r="AI42" s="2">
        <v>50</v>
      </c>
      <c r="AJ42" s="2">
        <v>2</v>
      </c>
      <c r="AK42" s="2" t="s">
        <v>34</v>
      </c>
      <c r="AL42" s="2" t="str">
        <f t="shared" si="2"/>
        <v>Cui et al. (2024)</v>
      </c>
    </row>
    <row r="43" spans="1:43" s="2" customFormat="1" ht="15.6" x14ac:dyDescent="0.3">
      <c r="A43" s="11">
        <v>2.6441119063109899</v>
      </c>
      <c r="B43" s="11">
        <v>16.9491525423729</v>
      </c>
      <c r="C43" s="10" t="s">
        <v>34</v>
      </c>
      <c r="D43" s="10" t="s">
        <v>394</v>
      </c>
      <c r="E43" s="10" t="s">
        <v>387</v>
      </c>
      <c r="F43" s="10" t="s">
        <v>34</v>
      </c>
      <c r="G43" s="10" t="s">
        <v>34</v>
      </c>
      <c r="H43" s="10" t="s">
        <v>34</v>
      </c>
      <c r="I43" s="10" t="s">
        <v>34</v>
      </c>
      <c r="J43" s="10" t="s">
        <v>34</v>
      </c>
      <c r="K43" s="10" t="s">
        <v>34</v>
      </c>
      <c r="L43" s="10">
        <v>0</v>
      </c>
      <c r="M43" s="10">
        <v>34.1</v>
      </c>
      <c r="N43" s="10">
        <v>1400.49</v>
      </c>
      <c r="O43" s="10">
        <v>1.143</v>
      </c>
      <c r="P43" s="10">
        <v>0.84099999999999997</v>
      </c>
      <c r="Q43" s="10">
        <v>36.4</v>
      </c>
      <c r="R43" s="10">
        <v>2.8570000000000002</v>
      </c>
      <c r="S43" s="10" t="s">
        <v>34</v>
      </c>
      <c r="T43" s="10" t="s">
        <v>49</v>
      </c>
      <c r="U43" s="10" t="s">
        <v>362</v>
      </c>
      <c r="V43" s="10" t="s">
        <v>38</v>
      </c>
      <c r="W43" s="10" t="s">
        <v>43</v>
      </c>
      <c r="X43" s="10">
        <v>0.5</v>
      </c>
      <c r="Y43" s="10">
        <v>1</v>
      </c>
      <c r="Z43" s="10" t="s">
        <v>339</v>
      </c>
      <c r="AA43" s="10">
        <v>0.47339999999999999</v>
      </c>
      <c r="AB43" s="10" t="s">
        <v>34</v>
      </c>
      <c r="AC43" s="10" t="s">
        <v>391</v>
      </c>
      <c r="AD43" s="10" t="s">
        <v>277</v>
      </c>
      <c r="AE43" s="10">
        <v>0.86780000000000002</v>
      </c>
      <c r="AF43" s="10" t="s">
        <v>395</v>
      </c>
      <c r="AG43" s="10">
        <v>2024</v>
      </c>
      <c r="AH43" s="10" t="s">
        <v>396</v>
      </c>
      <c r="AI43" s="2">
        <v>50</v>
      </c>
      <c r="AJ43" s="2">
        <v>2</v>
      </c>
      <c r="AK43" s="2" t="s">
        <v>34</v>
      </c>
      <c r="AL43" s="2" t="str">
        <f t="shared" si="2"/>
        <v>Cui et al. (2024)</v>
      </c>
    </row>
    <row r="44" spans="1:43" s="2" customFormat="1" ht="15.6" x14ac:dyDescent="0.3">
      <c r="A44" s="11">
        <v>3.38321405335068</v>
      </c>
      <c r="B44" s="11">
        <v>21.791767554479499</v>
      </c>
      <c r="C44" s="10" t="s">
        <v>34</v>
      </c>
      <c r="D44" s="10" t="s">
        <v>394</v>
      </c>
      <c r="E44" s="10" t="s">
        <v>387</v>
      </c>
      <c r="F44" s="10" t="s">
        <v>34</v>
      </c>
      <c r="G44" s="10" t="s">
        <v>34</v>
      </c>
      <c r="H44" s="10" t="s">
        <v>34</v>
      </c>
      <c r="I44" s="10" t="s">
        <v>34</v>
      </c>
      <c r="J44" s="10" t="s">
        <v>34</v>
      </c>
      <c r="K44" s="10" t="s">
        <v>34</v>
      </c>
      <c r="L44" s="10">
        <v>0</v>
      </c>
      <c r="M44" s="10">
        <v>34.1</v>
      </c>
      <c r="N44" s="10">
        <v>1400.49</v>
      </c>
      <c r="O44" s="10">
        <v>1.143</v>
      </c>
      <c r="P44" s="10">
        <v>0.84099999999999997</v>
      </c>
      <c r="Q44" s="10">
        <v>36.4</v>
      </c>
      <c r="R44" s="10">
        <v>2.8570000000000002</v>
      </c>
      <c r="S44" s="10" t="s">
        <v>34</v>
      </c>
      <c r="T44" s="10" t="s">
        <v>49</v>
      </c>
      <c r="U44" s="10" t="s">
        <v>362</v>
      </c>
      <c r="V44" s="10" t="s">
        <v>38</v>
      </c>
      <c r="W44" s="10" t="s">
        <v>43</v>
      </c>
      <c r="X44" s="10">
        <v>0.5</v>
      </c>
      <c r="Y44" s="10">
        <v>1</v>
      </c>
      <c r="Z44" s="10" t="s">
        <v>339</v>
      </c>
      <c r="AA44" s="10">
        <v>0.47339999999999999</v>
      </c>
      <c r="AB44" s="10" t="s">
        <v>34</v>
      </c>
      <c r="AC44" s="10" t="s">
        <v>391</v>
      </c>
      <c r="AD44" s="10" t="s">
        <v>277</v>
      </c>
      <c r="AE44" s="10">
        <v>0.86780000000000002</v>
      </c>
      <c r="AF44" s="10" t="s">
        <v>395</v>
      </c>
      <c r="AG44" s="10">
        <v>2024</v>
      </c>
      <c r="AH44" s="10" t="s">
        <v>396</v>
      </c>
      <c r="AI44" s="2">
        <v>50</v>
      </c>
      <c r="AJ44" s="2">
        <v>2</v>
      </c>
      <c r="AK44" s="2" t="s">
        <v>34</v>
      </c>
      <c r="AL44" s="2" t="str">
        <f t="shared" si="2"/>
        <v>Cui et al. (2024)</v>
      </c>
    </row>
    <row r="45" spans="1:43" s="2" customFormat="1" ht="15.6" x14ac:dyDescent="0.3">
      <c r="A45" s="11">
        <v>4.5178919973975296</v>
      </c>
      <c r="B45" s="11">
        <v>27.4414850686039</v>
      </c>
      <c r="C45" s="10" t="s">
        <v>34</v>
      </c>
      <c r="D45" s="10" t="s">
        <v>394</v>
      </c>
      <c r="E45" s="10" t="s">
        <v>387</v>
      </c>
      <c r="F45" s="10" t="s">
        <v>34</v>
      </c>
      <c r="G45" s="10" t="s">
        <v>34</v>
      </c>
      <c r="H45" s="10" t="s">
        <v>34</v>
      </c>
      <c r="I45" s="10" t="s">
        <v>34</v>
      </c>
      <c r="J45" s="10" t="s">
        <v>34</v>
      </c>
      <c r="K45" s="10" t="s">
        <v>34</v>
      </c>
      <c r="L45" s="10">
        <v>0</v>
      </c>
      <c r="M45" s="10">
        <v>34.1</v>
      </c>
      <c r="N45" s="10">
        <v>1400.49</v>
      </c>
      <c r="O45" s="10">
        <v>1.143</v>
      </c>
      <c r="P45" s="10">
        <v>0.84099999999999997</v>
      </c>
      <c r="Q45" s="10">
        <v>36.4</v>
      </c>
      <c r="R45" s="10">
        <v>2.8570000000000002</v>
      </c>
      <c r="S45" s="10" t="s">
        <v>34</v>
      </c>
      <c r="T45" s="10" t="s">
        <v>49</v>
      </c>
      <c r="U45" s="10" t="s">
        <v>362</v>
      </c>
      <c r="V45" s="10" t="s">
        <v>38</v>
      </c>
      <c r="W45" s="10" t="s">
        <v>43</v>
      </c>
      <c r="X45" s="10">
        <v>0.5</v>
      </c>
      <c r="Y45" s="10">
        <v>1</v>
      </c>
      <c r="Z45" s="10" t="s">
        <v>339</v>
      </c>
      <c r="AA45" s="10">
        <v>0.47339999999999999</v>
      </c>
      <c r="AB45" s="10" t="s">
        <v>34</v>
      </c>
      <c r="AC45" s="10" t="s">
        <v>391</v>
      </c>
      <c r="AD45" s="10" t="s">
        <v>277</v>
      </c>
      <c r="AE45" s="10">
        <v>0.86780000000000002</v>
      </c>
      <c r="AF45" s="10" t="s">
        <v>395</v>
      </c>
      <c r="AG45" s="10">
        <v>2024</v>
      </c>
      <c r="AH45" s="10" t="s">
        <v>396</v>
      </c>
      <c r="AI45" s="2">
        <v>50</v>
      </c>
      <c r="AJ45" s="2">
        <v>2</v>
      </c>
      <c r="AK45" s="2" t="s">
        <v>34</v>
      </c>
      <c r="AL45" s="2" t="str">
        <f t="shared" si="2"/>
        <v>Cui et al. (2024)</v>
      </c>
    </row>
    <row r="46" spans="1:43" s="2" customFormat="1" ht="15.6" x14ac:dyDescent="0.3">
      <c r="A46" s="11">
        <v>5.17371502927781</v>
      </c>
      <c r="B46" s="11">
        <v>38.7409200968522</v>
      </c>
      <c r="C46" s="10" t="s">
        <v>34</v>
      </c>
      <c r="D46" s="10" t="s">
        <v>394</v>
      </c>
      <c r="E46" s="10" t="s">
        <v>387</v>
      </c>
      <c r="F46" s="10" t="s">
        <v>34</v>
      </c>
      <c r="G46" s="10" t="s">
        <v>34</v>
      </c>
      <c r="H46" s="10" t="s">
        <v>34</v>
      </c>
      <c r="I46" s="10" t="s">
        <v>34</v>
      </c>
      <c r="J46" s="10" t="s">
        <v>34</v>
      </c>
      <c r="K46" s="10" t="s">
        <v>34</v>
      </c>
      <c r="L46" s="10">
        <v>0</v>
      </c>
      <c r="M46" s="10">
        <v>34.1</v>
      </c>
      <c r="N46" s="10">
        <v>1400.49</v>
      </c>
      <c r="O46" s="10">
        <v>1.143</v>
      </c>
      <c r="P46" s="10">
        <v>0.84099999999999997</v>
      </c>
      <c r="Q46" s="10">
        <v>36.4</v>
      </c>
      <c r="R46" s="10">
        <v>2.8570000000000002</v>
      </c>
      <c r="S46" s="10" t="s">
        <v>34</v>
      </c>
      <c r="T46" s="10" t="s">
        <v>49</v>
      </c>
      <c r="U46" s="10" t="s">
        <v>362</v>
      </c>
      <c r="V46" s="10" t="s">
        <v>38</v>
      </c>
      <c r="W46" s="10" t="s">
        <v>43</v>
      </c>
      <c r="X46" s="10">
        <v>0.5</v>
      </c>
      <c r="Y46" s="10">
        <v>1</v>
      </c>
      <c r="Z46" s="10" t="s">
        <v>339</v>
      </c>
      <c r="AA46" s="10">
        <v>0.47339999999999999</v>
      </c>
      <c r="AB46" s="10" t="s">
        <v>34</v>
      </c>
      <c r="AC46" s="10" t="s">
        <v>391</v>
      </c>
      <c r="AD46" s="10" t="s">
        <v>277</v>
      </c>
      <c r="AE46" s="10">
        <v>0.86780000000000002</v>
      </c>
      <c r="AF46" s="10" t="s">
        <v>395</v>
      </c>
      <c r="AG46" s="10">
        <v>2024</v>
      </c>
      <c r="AH46" s="10" t="s">
        <v>396</v>
      </c>
      <c r="AI46" s="2">
        <v>50</v>
      </c>
      <c r="AJ46" s="2">
        <v>2</v>
      </c>
      <c r="AK46" s="2" t="s">
        <v>34</v>
      </c>
      <c r="AL46" s="2" t="str">
        <f t="shared" si="2"/>
        <v>Cui et al. (2024)</v>
      </c>
    </row>
    <row r="47" spans="1:43" s="2" customFormat="1" ht="15.6" x14ac:dyDescent="0.3">
      <c r="A47" s="11">
        <v>5.8295380611581002</v>
      </c>
      <c r="B47" s="11">
        <v>58.111380145278503</v>
      </c>
      <c r="C47" s="10" t="s">
        <v>34</v>
      </c>
      <c r="D47" s="10" t="s">
        <v>394</v>
      </c>
      <c r="E47" s="10" t="s">
        <v>387</v>
      </c>
      <c r="F47" s="10" t="s">
        <v>34</v>
      </c>
      <c r="G47" s="10" t="s">
        <v>34</v>
      </c>
      <c r="H47" s="10" t="s">
        <v>34</v>
      </c>
      <c r="I47" s="10" t="s">
        <v>34</v>
      </c>
      <c r="J47" s="10" t="s">
        <v>34</v>
      </c>
      <c r="K47" s="10" t="s">
        <v>34</v>
      </c>
      <c r="L47" s="10">
        <v>0</v>
      </c>
      <c r="M47" s="10">
        <v>34.1</v>
      </c>
      <c r="N47" s="10">
        <v>1400.49</v>
      </c>
      <c r="O47" s="10">
        <v>1.143</v>
      </c>
      <c r="P47" s="10">
        <v>0.84099999999999997</v>
      </c>
      <c r="Q47" s="10">
        <v>36.4</v>
      </c>
      <c r="R47" s="10">
        <v>2.8570000000000002</v>
      </c>
      <c r="S47" s="10" t="s">
        <v>34</v>
      </c>
      <c r="T47" s="10" t="s">
        <v>49</v>
      </c>
      <c r="U47" s="10" t="s">
        <v>362</v>
      </c>
      <c r="V47" s="10" t="s">
        <v>38</v>
      </c>
      <c r="W47" s="10" t="s">
        <v>43</v>
      </c>
      <c r="X47" s="10">
        <v>0.5</v>
      </c>
      <c r="Y47" s="10">
        <v>1</v>
      </c>
      <c r="Z47" s="10" t="s">
        <v>339</v>
      </c>
      <c r="AA47" s="10">
        <v>0.47339999999999999</v>
      </c>
      <c r="AB47" s="10" t="s">
        <v>34</v>
      </c>
      <c r="AC47" s="10" t="s">
        <v>391</v>
      </c>
      <c r="AD47" s="10" t="s">
        <v>277</v>
      </c>
      <c r="AE47" s="10">
        <v>0.86780000000000002</v>
      </c>
      <c r="AF47" s="10" t="s">
        <v>395</v>
      </c>
      <c r="AG47" s="10">
        <v>2024</v>
      </c>
      <c r="AH47" s="10" t="s">
        <v>396</v>
      </c>
      <c r="AI47" s="2">
        <v>50</v>
      </c>
      <c r="AJ47" s="2">
        <v>2</v>
      </c>
      <c r="AK47" s="2" t="s">
        <v>34</v>
      </c>
      <c r="AL47" s="2" t="str">
        <f t="shared" si="2"/>
        <v>Cui et al. (2024)</v>
      </c>
    </row>
    <row r="48" spans="1:43" s="2" customFormat="1" ht="15.6" x14ac:dyDescent="0.3">
      <c r="A48" s="11">
        <v>6.91216655823031</v>
      </c>
      <c r="B48" s="11">
        <v>30.669895076674901</v>
      </c>
      <c r="C48" s="10" t="s">
        <v>34</v>
      </c>
      <c r="D48" s="10" t="s">
        <v>394</v>
      </c>
      <c r="E48" s="10" t="s">
        <v>387</v>
      </c>
      <c r="F48" s="10" t="s">
        <v>34</v>
      </c>
      <c r="G48" s="10" t="s">
        <v>34</v>
      </c>
      <c r="H48" s="10" t="s">
        <v>34</v>
      </c>
      <c r="I48" s="10" t="s">
        <v>34</v>
      </c>
      <c r="J48" s="10" t="s">
        <v>34</v>
      </c>
      <c r="K48" s="10" t="s">
        <v>34</v>
      </c>
      <c r="L48" s="10">
        <v>0</v>
      </c>
      <c r="M48" s="10">
        <v>34.1</v>
      </c>
      <c r="N48" s="10">
        <v>1400.49</v>
      </c>
      <c r="O48" s="10">
        <v>1.143</v>
      </c>
      <c r="P48" s="10">
        <v>0.84099999999999997</v>
      </c>
      <c r="Q48" s="10">
        <v>36.4</v>
      </c>
      <c r="R48" s="10">
        <v>2.8570000000000002</v>
      </c>
      <c r="S48" s="10" t="s">
        <v>34</v>
      </c>
      <c r="T48" s="10" t="s">
        <v>49</v>
      </c>
      <c r="U48" s="10" t="s">
        <v>362</v>
      </c>
      <c r="V48" s="10" t="s">
        <v>38</v>
      </c>
      <c r="W48" s="10" t="s">
        <v>43</v>
      </c>
      <c r="X48" s="10">
        <v>0.5</v>
      </c>
      <c r="Y48" s="10">
        <v>1</v>
      </c>
      <c r="Z48" s="10" t="s">
        <v>339</v>
      </c>
      <c r="AA48" s="10">
        <v>0.47339999999999999</v>
      </c>
      <c r="AB48" s="10" t="s">
        <v>34</v>
      </c>
      <c r="AC48" s="10" t="s">
        <v>391</v>
      </c>
      <c r="AD48" s="10" t="s">
        <v>277</v>
      </c>
      <c r="AE48" s="10">
        <v>0.86780000000000002</v>
      </c>
      <c r="AF48" s="10" t="s">
        <v>395</v>
      </c>
      <c r="AG48" s="10">
        <v>2024</v>
      </c>
      <c r="AH48" s="10" t="s">
        <v>396</v>
      </c>
      <c r="AI48" s="2">
        <v>50</v>
      </c>
      <c r="AJ48" s="2">
        <v>2</v>
      </c>
      <c r="AK48" s="2" t="s">
        <v>34</v>
      </c>
      <c r="AL48" s="2" t="str">
        <f t="shared" si="2"/>
        <v>Cui et al. (2024)</v>
      </c>
    </row>
    <row r="49" spans="1:38" s="2" customFormat="1" ht="15.6" x14ac:dyDescent="0.3">
      <c r="A49" s="11">
        <v>6.6206896551724101</v>
      </c>
      <c r="B49" s="11">
        <v>45.197740112994502</v>
      </c>
      <c r="C49" s="10" t="s">
        <v>34</v>
      </c>
      <c r="D49" s="10" t="s">
        <v>394</v>
      </c>
      <c r="E49" s="10" t="s">
        <v>387</v>
      </c>
      <c r="F49" s="10" t="s">
        <v>34</v>
      </c>
      <c r="G49" s="10" t="s">
        <v>34</v>
      </c>
      <c r="H49" s="10" t="s">
        <v>34</v>
      </c>
      <c r="I49" s="10" t="s">
        <v>34</v>
      </c>
      <c r="J49" s="10" t="s">
        <v>34</v>
      </c>
      <c r="K49" s="10" t="s">
        <v>34</v>
      </c>
      <c r="L49" s="10">
        <v>0</v>
      </c>
      <c r="M49" s="10">
        <v>34.1</v>
      </c>
      <c r="N49" s="10">
        <v>1400.49</v>
      </c>
      <c r="O49" s="10">
        <v>1.143</v>
      </c>
      <c r="P49" s="10">
        <v>0.84099999999999997</v>
      </c>
      <c r="Q49" s="10">
        <v>36.4</v>
      </c>
      <c r="R49" s="10">
        <v>2.8570000000000002</v>
      </c>
      <c r="S49" s="10" t="s">
        <v>34</v>
      </c>
      <c r="T49" s="10" t="s">
        <v>49</v>
      </c>
      <c r="U49" s="10" t="s">
        <v>362</v>
      </c>
      <c r="V49" s="10" t="s">
        <v>38</v>
      </c>
      <c r="W49" s="10" t="s">
        <v>43</v>
      </c>
      <c r="X49" s="10">
        <v>0.5</v>
      </c>
      <c r="Y49" s="10">
        <v>1</v>
      </c>
      <c r="Z49" s="10" t="s">
        <v>339</v>
      </c>
      <c r="AA49" s="10">
        <v>0.47339999999999999</v>
      </c>
      <c r="AB49" s="10" t="s">
        <v>34</v>
      </c>
      <c r="AC49" s="10" t="s">
        <v>391</v>
      </c>
      <c r="AD49" s="10" t="s">
        <v>277</v>
      </c>
      <c r="AE49" s="10">
        <v>0.86780000000000002</v>
      </c>
      <c r="AF49" s="10" t="s">
        <v>395</v>
      </c>
      <c r="AG49" s="10">
        <v>2024</v>
      </c>
      <c r="AH49" s="10" t="s">
        <v>396</v>
      </c>
      <c r="AI49" s="2">
        <v>50</v>
      </c>
      <c r="AJ49" s="2">
        <v>2</v>
      </c>
      <c r="AK49" s="2" t="s">
        <v>34</v>
      </c>
      <c r="AL49" s="2" t="str">
        <f t="shared" si="2"/>
        <v>Cui et al. (2024)</v>
      </c>
    </row>
    <row r="50" spans="1:38" s="2" customFormat="1" ht="15.6" x14ac:dyDescent="0.3">
      <c r="A50" s="11">
        <v>6.5270006506180804</v>
      </c>
      <c r="B50" s="11">
        <v>58.111380145278503</v>
      </c>
      <c r="C50" s="10" t="s">
        <v>34</v>
      </c>
      <c r="D50" s="10" t="s">
        <v>394</v>
      </c>
      <c r="E50" s="10" t="s">
        <v>387</v>
      </c>
      <c r="F50" s="10" t="s">
        <v>34</v>
      </c>
      <c r="G50" s="10" t="s">
        <v>34</v>
      </c>
      <c r="H50" s="10" t="s">
        <v>34</v>
      </c>
      <c r="I50" s="10" t="s">
        <v>34</v>
      </c>
      <c r="J50" s="10" t="s">
        <v>34</v>
      </c>
      <c r="K50" s="10" t="s">
        <v>34</v>
      </c>
      <c r="L50" s="10">
        <v>0</v>
      </c>
      <c r="M50" s="10">
        <v>34.1</v>
      </c>
      <c r="N50" s="10">
        <v>1400.49</v>
      </c>
      <c r="O50" s="10">
        <v>1.143</v>
      </c>
      <c r="P50" s="10">
        <v>0.84099999999999997</v>
      </c>
      <c r="Q50" s="10">
        <v>36.4</v>
      </c>
      <c r="R50" s="10">
        <v>2.8570000000000002</v>
      </c>
      <c r="S50" s="10" t="s">
        <v>34</v>
      </c>
      <c r="T50" s="10" t="s">
        <v>49</v>
      </c>
      <c r="U50" s="10" t="s">
        <v>362</v>
      </c>
      <c r="V50" s="10" t="s">
        <v>38</v>
      </c>
      <c r="W50" s="10" t="s">
        <v>43</v>
      </c>
      <c r="X50" s="10">
        <v>0.5</v>
      </c>
      <c r="Y50" s="10">
        <v>1</v>
      </c>
      <c r="Z50" s="10" t="s">
        <v>339</v>
      </c>
      <c r="AA50" s="10">
        <v>0.47339999999999999</v>
      </c>
      <c r="AB50" s="10" t="s">
        <v>34</v>
      </c>
      <c r="AC50" s="10" t="s">
        <v>391</v>
      </c>
      <c r="AD50" s="10" t="s">
        <v>277</v>
      </c>
      <c r="AE50" s="10">
        <v>0.86780000000000002</v>
      </c>
      <c r="AF50" s="10" t="s">
        <v>395</v>
      </c>
      <c r="AG50" s="10">
        <v>2024</v>
      </c>
      <c r="AH50" s="10" t="s">
        <v>396</v>
      </c>
      <c r="AI50" s="2">
        <v>50</v>
      </c>
      <c r="AJ50" s="2">
        <v>2</v>
      </c>
      <c r="AK50" s="2" t="s">
        <v>34</v>
      </c>
      <c r="AL50" s="2" t="str">
        <f t="shared" si="2"/>
        <v>Cui et al. (2024)</v>
      </c>
    </row>
    <row r="51" spans="1:38" s="2" customFormat="1" ht="15.6" x14ac:dyDescent="0.3">
      <c r="A51" s="11">
        <v>6.46454131424853</v>
      </c>
      <c r="B51" s="11">
        <v>92.009685230024104</v>
      </c>
      <c r="C51" s="10" t="s">
        <v>34</v>
      </c>
      <c r="D51" s="10" t="s">
        <v>394</v>
      </c>
      <c r="E51" s="10" t="s">
        <v>387</v>
      </c>
      <c r="F51" s="10" t="s">
        <v>34</v>
      </c>
      <c r="G51" s="10" t="s">
        <v>34</v>
      </c>
      <c r="H51" s="10" t="s">
        <v>34</v>
      </c>
      <c r="I51" s="10" t="s">
        <v>34</v>
      </c>
      <c r="J51" s="10" t="s">
        <v>34</v>
      </c>
      <c r="K51" s="10" t="s">
        <v>34</v>
      </c>
      <c r="L51" s="10">
        <v>0</v>
      </c>
      <c r="M51" s="10">
        <v>34.1</v>
      </c>
      <c r="N51" s="10">
        <v>1400.49</v>
      </c>
      <c r="O51" s="10">
        <v>1.143</v>
      </c>
      <c r="P51" s="10">
        <v>0.84099999999999997</v>
      </c>
      <c r="Q51" s="10">
        <v>36.4</v>
      </c>
      <c r="R51" s="10">
        <v>2.8570000000000002</v>
      </c>
      <c r="S51" s="10" t="s">
        <v>34</v>
      </c>
      <c r="T51" s="10" t="s">
        <v>49</v>
      </c>
      <c r="U51" s="10" t="s">
        <v>362</v>
      </c>
      <c r="V51" s="10" t="s">
        <v>38</v>
      </c>
      <c r="W51" s="10" t="s">
        <v>43</v>
      </c>
      <c r="X51" s="10">
        <v>0.5</v>
      </c>
      <c r="Y51" s="10">
        <v>1</v>
      </c>
      <c r="Z51" s="10" t="s">
        <v>339</v>
      </c>
      <c r="AA51" s="10">
        <v>0.47339999999999999</v>
      </c>
      <c r="AB51" s="10" t="s">
        <v>34</v>
      </c>
      <c r="AC51" s="10" t="s">
        <v>391</v>
      </c>
      <c r="AD51" s="10" t="s">
        <v>277</v>
      </c>
      <c r="AE51" s="10">
        <v>0.86780000000000002</v>
      </c>
      <c r="AF51" s="10" t="s">
        <v>395</v>
      </c>
      <c r="AG51" s="10">
        <v>2024</v>
      </c>
      <c r="AH51" s="10" t="s">
        <v>396</v>
      </c>
      <c r="AI51" s="2">
        <v>50</v>
      </c>
      <c r="AJ51" s="2">
        <v>2</v>
      </c>
      <c r="AK51" s="2" t="s">
        <v>34</v>
      </c>
      <c r="AL51" s="2" t="str">
        <f t="shared" si="2"/>
        <v>Cui et al. (2024)</v>
      </c>
    </row>
    <row r="52" spans="1:38" s="2" customFormat="1" ht="15.6" x14ac:dyDescent="0.3">
      <c r="A52" s="11">
        <v>7.2036434612882196</v>
      </c>
      <c r="B52" s="11">
        <v>77.481840193704599</v>
      </c>
      <c r="C52" s="10" t="s">
        <v>34</v>
      </c>
      <c r="D52" s="10" t="s">
        <v>394</v>
      </c>
      <c r="E52" s="10" t="s">
        <v>387</v>
      </c>
      <c r="F52" s="10" t="s">
        <v>34</v>
      </c>
      <c r="G52" s="10" t="s">
        <v>34</v>
      </c>
      <c r="H52" s="10" t="s">
        <v>34</v>
      </c>
      <c r="I52" s="10" t="s">
        <v>34</v>
      </c>
      <c r="J52" s="10" t="s">
        <v>34</v>
      </c>
      <c r="K52" s="10" t="s">
        <v>34</v>
      </c>
      <c r="L52" s="10">
        <v>0</v>
      </c>
      <c r="M52" s="10">
        <v>34.1</v>
      </c>
      <c r="N52" s="10">
        <v>1400.49</v>
      </c>
      <c r="O52" s="10">
        <v>1.143</v>
      </c>
      <c r="P52" s="10">
        <v>0.84099999999999997</v>
      </c>
      <c r="Q52" s="10">
        <v>36.4</v>
      </c>
      <c r="R52" s="10">
        <v>2.8570000000000002</v>
      </c>
      <c r="S52" s="10" t="s">
        <v>34</v>
      </c>
      <c r="T52" s="10" t="s">
        <v>49</v>
      </c>
      <c r="U52" s="10" t="s">
        <v>362</v>
      </c>
      <c r="V52" s="10" t="s">
        <v>38</v>
      </c>
      <c r="W52" s="10" t="s">
        <v>43</v>
      </c>
      <c r="X52" s="10">
        <v>0.5</v>
      </c>
      <c r="Y52" s="10">
        <v>1</v>
      </c>
      <c r="Z52" s="10" t="s">
        <v>339</v>
      </c>
      <c r="AA52" s="10">
        <v>0.47339999999999999</v>
      </c>
      <c r="AB52" s="10" t="s">
        <v>34</v>
      </c>
      <c r="AC52" s="10" t="s">
        <v>391</v>
      </c>
      <c r="AD52" s="10" t="s">
        <v>277</v>
      </c>
      <c r="AE52" s="10">
        <v>0.86780000000000002</v>
      </c>
      <c r="AF52" s="10" t="s">
        <v>395</v>
      </c>
      <c r="AG52" s="10">
        <v>2024</v>
      </c>
      <c r="AH52" s="10" t="s">
        <v>396</v>
      </c>
      <c r="AI52" s="2">
        <v>50</v>
      </c>
      <c r="AJ52" s="2">
        <v>2</v>
      </c>
      <c r="AK52" s="2" t="s">
        <v>34</v>
      </c>
      <c r="AL52" s="2" t="str">
        <f t="shared" si="2"/>
        <v>Cui et al. (2024)</v>
      </c>
    </row>
    <row r="53" spans="1:38" s="2" customFormat="1" ht="15.6" x14ac:dyDescent="0.3">
      <c r="A53" s="11">
        <v>3.82042940793754</v>
      </c>
      <c r="B53" s="11">
        <v>118.64406779661</v>
      </c>
      <c r="C53" s="10" t="s">
        <v>34</v>
      </c>
      <c r="D53" s="10" t="s">
        <v>394</v>
      </c>
      <c r="E53" s="10" t="s">
        <v>387</v>
      </c>
      <c r="F53" s="10" t="s">
        <v>34</v>
      </c>
      <c r="G53" s="10" t="s">
        <v>34</v>
      </c>
      <c r="H53" s="10" t="s">
        <v>34</v>
      </c>
      <c r="I53" s="10" t="s">
        <v>34</v>
      </c>
      <c r="J53" s="10" t="s">
        <v>34</v>
      </c>
      <c r="K53" s="10" t="s">
        <v>34</v>
      </c>
      <c r="L53" s="10">
        <v>0</v>
      </c>
      <c r="M53" s="10">
        <v>34.1</v>
      </c>
      <c r="N53" s="10">
        <v>1400.49</v>
      </c>
      <c r="O53" s="10">
        <v>1.143</v>
      </c>
      <c r="P53" s="10">
        <v>0.84099999999999997</v>
      </c>
      <c r="Q53" s="10">
        <v>36.4</v>
      </c>
      <c r="R53" s="10">
        <v>2.8570000000000002</v>
      </c>
      <c r="S53" s="10" t="s">
        <v>34</v>
      </c>
      <c r="T53" s="10" t="s">
        <v>49</v>
      </c>
      <c r="U53" s="10" t="s">
        <v>362</v>
      </c>
      <c r="V53" s="10" t="s">
        <v>38</v>
      </c>
      <c r="W53" s="10" t="s">
        <v>43</v>
      </c>
      <c r="X53" s="10">
        <v>0.5</v>
      </c>
      <c r="Y53" s="10">
        <v>1</v>
      </c>
      <c r="Z53" s="10" t="s">
        <v>339</v>
      </c>
      <c r="AA53" s="10">
        <v>0.31900000000000001</v>
      </c>
      <c r="AB53" s="10" t="s">
        <v>34</v>
      </c>
      <c r="AC53" s="10" t="s">
        <v>397</v>
      </c>
      <c r="AD53" s="10" t="s">
        <v>277</v>
      </c>
      <c r="AE53" s="10">
        <v>0.86780000000000002</v>
      </c>
      <c r="AF53" s="10" t="s">
        <v>395</v>
      </c>
      <c r="AG53" s="10">
        <v>2024</v>
      </c>
      <c r="AH53" s="10" t="s">
        <v>396</v>
      </c>
      <c r="AI53" s="2">
        <v>50</v>
      </c>
      <c r="AJ53" s="2">
        <v>2</v>
      </c>
      <c r="AK53" s="2" t="s">
        <v>34</v>
      </c>
      <c r="AL53" s="2" t="str">
        <f t="shared" si="2"/>
        <v>Cui et al. (2024)</v>
      </c>
    </row>
    <row r="54" spans="1:38" s="2" customFormat="1" ht="15.6" x14ac:dyDescent="0.3">
      <c r="A54" s="11">
        <v>4.1431359791802196</v>
      </c>
      <c r="B54" s="11">
        <v>127.522195318805</v>
      </c>
      <c r="C54" s="10" t="s">
        <v>34</v>
      </c>
      <c r="D54" s="10" t="s">
        <v>394</v>
      </c>
      <c r="E54" s="10" t="s">
        <v>387</v>
      </c>
      <c r="F54" s="10" t="s">
        <v>34</v>
      </c>
      <c r="G54" s="10" t="s">
        <v>34</v>
      </c>
      <c r="H54" s="10" t="s">
        <v>34</v>
      </c>
      <c r="I54" s="10" t="s">
        <v>34</v>
      </c>
      <c r="J54" s="10" t="s">
        <v>34</v>
      </c>
      <c r="K54" s="10" t="s">
        <v>34</v>
      </c>
      <c r="L54" s="10">
        <v>0</v>
      </c>
      <c r="M54" s="10">
        <v>34.1</v>
      </c>
      <c r="N54" s="10">
        <v>1400.49</v>
      </c>
      <c r="O54" s="10">
        <v>1.143</v>
      </c>
      <c r="P54" s="10">
        <v>0.84099999999999997</v>
      </c>
      <c r="Q54" s="10">
        <v>36.4</v>
      </c>
      <c r="R54" s="10">
        <v>2.8570000000000002</v>
      </c>
      <c r="S54" s="10" t="s">
        <v>34</v>
      </c>
      <c r="T54" s="10" t="s">
        <v>49</v>
      </c>
      <c r="U54" s="10" t="s">
        <v>362</v>
      </c>
      <c r="V54" s="10" t="s">
        <v>38</v>
      </c>
      <c r="W54" s="10" t="s">
        <v>43</v>
      </c>
      <c r="X54" s="10">
        <v>0.5</v>
      </c>
      <c r="Y54" s="10">
        <v>1</v>
      </c>
      <c r="Z54" s="10" t="s">
        <v>339</v>
      </c>
      <c r="AA54" s="10">
        <v>0.31900000000000001</v>
      </c>
      <c r="AB54" s="10" t="s">
        <v>34</v>
      </c>
      <c r="AC54" s="10" t="s">
        <v>397</v>
      </c>
      <c r="AD54" s="10" t="s">
        <v>277</v>
      </c>
      <c r="AE54" s="10">
        <v>0.86780000000000002</v>
      </c>
      <c r="AF54" s="10" t="s">
        <v>395</v>
      </c>
      <c r="AG54" s="10">
        <v>2024</v>
      </c>
      <c r="AH54" s="10" t="s">
        <v>396</v>
      </c>
      <c r="AI54" s="2">
        <v>50</v>
      </c>
      <c r="AJ54" s="2">
        <v>2</v>
      </c>
      <c r="AK54" s="2" t="s">
        <v>34</v>
      </c>
      <c r="AL54" s="2" t="str">
        <f t="shared" si="2"/>
        <v>Cui et al. (2024)</v>
      </c>
    </row>
    <row r="55" spans="1:38" s="2" customFormat="1" ht="15.6" x14ac:dyDescent="0.3">
      <c r="A55" s="11">
        <v>4.90305790500976</v>
      </c>
      <c r="B55" s="11">
        <v>121.872477804681</v>
      </c>
      <c r="C55" s="10" t="s">
        <v>34</v>
      </c>
      <c r="D55" s="10" t="s">
        <v>394</v>
      </c>
      <c r="E55" s="10" t="s">
        <v>387</v>
      </c>
      <c r="F55" s="10" t="s">
        <v>34</v>
      </c>
      <c r="G55" s="10" t="s">
        <v>34</v>
      </c>
      <c r="H55" s="10" t="s">
        <v>34</v>
      </c>
      <c r="I55" s="10" t="s">
        <v>34</v>
      </c>
      <c r="J55" s="10" t="s">
        <v>34</v>
      </c>
      <c r="K55" s="10" t="s">
        <v>34</v>
      </c>
      <c r="L55" s="10">
        <v>0</v>
      </c>
      <c r="M55" s="10">
        <v>34.1</v>
      </c>
      <c r="N55" s="10">
        <v>1400.49</v>
      </c>
      <c r="O55" s="10">
        <v>1.143</v>
      </c>
      <c r="P55" s="10">
        <v>0.84099999999999997</v>
      </c>
      <c r="Q55" s="10">
        <v>36.4</v>
      </c>
      <c r="R55" s="10">
        <v>2.8570000000000002</v>
      </c>
      <c r="S55" s="10" t="s">
        <v>34</v>
      </c>
      <c r="T55" s="10" t="s">
        <v>49</v>
      </c>
      <c r="U55" s="10" t="s">
        <v>362</v>
      </c>
      <c r="V55" s="10" t="s">
        <v>38</v>
      </c>
      <c r="W55" s="10" t="s">
        <v>43</v>
      </c>
      <c r="X55" s="10">
        <v>0.5</v>
      </c>
      <c r="Y55" s="10">
        <v>1</v>
      </c>
      <c r="Z55" s="10" t="s">
        <v>339</v>
      </c>
      <c r="AA55" s="10">
        <v>0.31900000000000001</v>
      </c>
      <c r="AB55" s="10" t="s">
        <v>34</v>
      </c>
      <c r="AC55" s="10" t="s">
        <v>397</v>
      </c>
      <c r="AD55" s="10" t="s">
        <v>277</v>
      </c>
      <c r="AE55" s="10">
        <v>0.86780000000000002</v>
      </c>
      <c r="AF55" s="10" t="s">
        <v>395</v>
      </c>
      <c r="AG55" s="10">
        <v>2024</v>
      </c>
      <c r="AH55" s="10" t="s">
        <v>396</v>
      </c>
      <c r="AI55" s="2">
        <v>50</v>
      </c>
      <c r="AJ55" s="2">
        <v>2</v>
      </c>
      <c r="AK55" s="2" t="s">
        <v>34</v>
      </c>
      <c r="AL55" s="2" t="str">
        <f t="shared" si="2"/>
        <v>Cui et al. (2024)</v>
      </c>
    </row>
    <row r="56" spans="1:38" s="2" customFormat="1" ht="15.6" x14ac:dyDescent="0.3">
      <c r="A56" s="11">
        <v>7.5679895901106002</v>
      </c>
      <c r="B56" s="11">
        <v>238.902340597256</v>
      </c>
      <c r="C56" s="10" t="s">
        <v>34</v>
      </c>
      <c r="D56" s="10" t="s">
        <v>394</v>
      </c>
      <c r="E56" s="10" t="s">
        <v>387</v>
      </c>
      <c r="F56" s="10" t="s">
        <v>34</v>
      </c>
      <c r="G56" s="10" t="s">
        <v>34</v>
      </c>
      <c r="H56" s="10" t="s">
        <v>34</v>
      </c>
      <c r="I56" s="10" t="s">
        <v>34</v>
      </c>
      <c r="J56" s="10" t="s">
        <v>34</v>
      </c>
      <c r="K56" s="10" t="s">
        <v>34</v>
      </c>
      <c r="L56" s="10">
        <v>0</v>
      </c>
      <c r="M56" s="10">
        <v>34.1</v>
      </c>
      <c r="N56" s="10">
        <v>1400.49</v>
      </c>
      <c r="O56" s="10">
        <v>1.143</v>
      </c>
      <c r="P56" s="10">
        <v>0.84099999999999997</v>
      </c>
      <c r="Q56" s="10">
        <v>36.4</v>
      </c>
      <c r="R56" s="10">
        <v>2.8570000000000002</v>
      </c>
      <c r="S56" s="10" t="s">
        <v>34</v>
      </c>
      <c r="T56" s="10" t="s">
        <v>49</v>
      </c>
      <c r="U56" s="10" t="s">
        <v>362</v>
      </c>
      <c r="V56" s="10" t="s">
        <v>38</v>
      </c>
      <c r="W56" s="10" t="s">
        <v>43</v>
      </c>
      <c r="X56" s="10">
        <v>0.5</v>
      </c>
      <c r="Y56" s="10">
        <v>1</v>
      </c>
      <c r="Z56" s="10" t="s">
        <v>339</v>
      </c>
      <c r="AA56" s="10">
        <v>0.31900000000000001</v>
      </c>
      <c r="AB56" s="10" t="s">
        <v>34</v>
      </c>
      <c r="AC56" s="10" t="s">
        <v>397</v>
      </c>
      <c r="AD56" s="10" t="s">
        <v>277</v>
      </c>
      <c r="AE56" s="10">
        <v>0.86780000000000002</v>
      </c>
      <c r="AF56" s="10" t="s">
        <v>395</v>
      </c>
      <c r="AG56" s="10">
        <v>2024</v>
      </c>
      <c r="AH56" s="10" t="s">
        <v>396</v>
      </c>
      <c r="AI56" s="2">
        <v>50</v>
      </c>
      <c r="AJ56" s="2">
        <v>2</v>
      </c>
      <c r="AK56" s="2" t="s">
        <v>34</v>
      </c>
      <c r="AL56" s="2" t="str">
        <f t="shared" si="2"/>
        <v>Cui et al. (2024)</v>
      </c>
    </row>
    <row r="57" spans="1:38" s="2" customFormat="1" ht="15.6" x14ac:dyDescent="0.3">
      <c r="A57" s="11">
        <v>7.5783994795055296</v>
      </c>
      <c r="B57" s="11">
        <v>207.42534301856301</v>
      </c>
      <c r="C57" s="10" t="s">
        <v>34</v>
      </c>
      <c r="D57" s="10" t="s">
        <v>394</v>
      </c>
      <c r="E57" s="10" t="s">
        <v>387</v>
      </c>
      <c r="F57" s="10" t="s">
        <v>34</v>
      </c>
      <c r="G57" s="10" t="s">
        <v>34</v>
      </c>
      <c r="H57" s="10" t="s">
        <v>34</v>
      </c>
      <c r="I57" s="10" t="s">
        <v>34</v>
      </c>
      <c r="J57" s="10" t="s">
        <v>34</v>
      </c>
      <c r="K57" s="10" t="s">
        <v>34</v>
      </c>
      <c r="L57" s="10">
        <v>0</v>
      </c>
      <c r="M57" s="10">
        <v>34.1</v>
      </c>
      <c r="N57" s="10">
        <v>1400.49</v>
      </c>
      <c r="O57" s="10">
        <v>1.143</v>
      </c>
      <c r="P57" s="10">
        <v>0.84099999999999997</v>
      </c>
      <c r="Q57" s="10">
        <v>36.4</v>
      </c>
      <c r="R57" s="10">
        <v>2.8570000000000002</v>
      </c>
      <c r="S57" s="10" t="s">
        <v>34</v>
      </c>
      <c r="T57" s="10" t="s">
        <v>49</v>
      </c>
      <c r="U57" s="10" t="s">
        <v>362</v>
      </c>
      <c r="V57" s="10" t="s">
        <v>38</v>
      </c>
      <c r="W57" s="10" t="s">
        <v>43</v>
      </c>
      <c r="X57" s="10">
        <v>0.5</v>
      </c>
      <c r="Y57" s="10">
        <v>1</v>
      </c>
      <c r="Z57" s="10" t="s">
        <v>339</v>
      </c>
      <c r="AA57" s="10">
        <v>0.31900000000000001</v>
      </c>
      <c r="AB57" s="10" t="s">
        <v>34</v>
      </c>
      <c r="AC57" s="10" t="s">
        <v>397</v>
      </c>
      <c r="AD57" s="10" t="s">
        <v>277</v>
      </c>
      <c r="AE57" s="10">
        <v>0.86780000000000002</v>
      </c>
      <c r="AF57" s="10" t="s">
        <v>395</v>
      </c>
      <c r="AG57" s="10">
        <v>2024</v>
      </c>
      <c r="AH57" s="10" t="s">
        <v>396</v>
      </c>
      <c r="AI57" s="2">
        <v>50</v>
      </c>
      <c r="AJ57" s="2">
        <v>2</v>
      </c>
      <c r="AK57" s="2" t="s">
        <v>34</v>
      </c>
      <c r="AL57" s="2" t="str">
        <f t="shared" si="2"/>
        <v>Cui et al. (2024)</v>
      </c>
    </row>
    <row r="58" spans="1:38" s="2" customFormat="1" ht="15.6" x14ac:dyDescent="0.3">
      <c r="A58" s="11">
        <v>9.8789850357839892</v>
      </c>
      <c r="B58" s="11">
        <v>305.08474576271101</v>
      </c>
      <c r="C58" s="10" t="s">
        <v>34</v>
      </c>
      <c r="D58" s="10" t="s">
        <v>394</v>
      </c>
      <c r="E58" s="10" t="s">
        <v>387</v>
      </c>
      <c r="F58" s="10" t="s">
        <v>34</v>
      </c>
      <c r="G58" s="10" t="s">
        <v>34</v>
      </c>
      <c r="H58" s="10" t="s">
        <v>34</v>
      </c>
      <c r="I58" s="10" t="s">
        <v>34</v>
      </c>
      <c r="J58" s="10" t="s">
        <v>34</v>
      </c>
      <c r="K58" s="10" t="s">
        <v>34</v>
      </c>
      <c r="L58" s="10">
        <v>0</v>
      </c>
      <c r="M58" s="10">
        <v>34.1</v>
      </c>
      <c r="N58" s="10">
        <v>1400.49</v>
      </c>
      <c r="O58" s="10">
        <v>1.143</v>
      </c>
      <c r="P58" s="10">
        <v>0.84099999999999997</v>
      </c>
      <c r="Q58" s="10">
        <v>36.4</v>
      </c>
      <c r="R58" s="10">
        <v>2.8570000000000002</v>
      </c>
      <c r="S58" s="10" t="s">
        <v>34</v>
      </c>
      <c r="T58" s="10" t="s">
        <v>49</v>
      </c>
      <c r="U58" s="10" t="s">
        <v>362</v>
      </c>
      <c r="V58" s="10" t="s">
        <v>38</v>
      </c>
      <c r="W58" s="10" t="s">
        <v>43</v>
      </c>
      <c r="X58" s="10">
        <v>0.5</v>
      </c>
      <c r="Y58" s="10">
        <v>1</v>
      </c>
      <c r="Z58" s="10" t="s">
        <v>339</v>
      </c>
      <c r="AA58" s="10">
        <v>0.31900000000000001</v>
      </c>
      <c r="AB58" s="10" t="s">
        <v>34</v>
      </c>
      <c r="AC58" s="10" t="s">
        <v>397</v>
      </c>
      <c r="AD58" s="10" t="s">
        <v>277</v>
      </c>
      <c r="AE58" s="10">
        <v>0.86780000000000002</v>
      </c>
      <c r="AF58" s="10" t="s">
        <v>395</v>
      </c>
      <c r="AG58" s="10">
        <v>2024</v>
      </c>
      <c r="AH58" s="10" t="s">
        <v>396</v>
      </c>
      <c r="AI58" s="2">
        <v>50</v>
      </c>
      <c r="AJ58" s="2">
        <v>2</v>
      </c>
      <c r="AK58" s="2" t="s">
        <v>34</v>
      </c>
      <c r="AL58" s="2" t="str">
        <f t="shared" si="2"/>
        <v>Cui et al. (2024)</v>
      </c>
    </row>
    <row r="59" spans="1:38" s="2" customFormat="1" ht="15.6" x14ac:dyDescent="0.3">
      <c r="A59" s="11">
        <v>10.1808718282368</v>
      </c>
      <c r="B59" s="11">
        <v>322.84100080710198</v>
      </c>
      <c r="C59" s="10" t="s">
        <v>34</v>
      </c>
      <c r="D59" s="10" t="s">
        <v>394</v>
      </c>
      <c r="E59" s="10" t="s">
        <v>387</v>
      </c>
      <c r="F59" s="10" t="s">
        <v>34</v>
      </c>
      <c r="G59" s="10" t="s">
        <v>34</v>
      </c>
      <c r="H59" s="10" t="s">
        <v>34</v>
      </c>
      <c r="I59" s="10" t="s">
        <v>34</v>
      </c>
      <c r="J59" s="10" t="s">
        <v>34</v>
      </c>
      <c r="K59" s="10" t="s">
        <v>34</v>
      </c>
      <c r="L59" s="10">
        <v>0</v>
      </c>
      <c r="M59" s="10">
        <v>34.1</v>
      </c>
      <c r="N59" s="10">
        <v>1400.49</v>
      </c>
      <c r="O59" s="10">
        <v>1.143</v>
      </c>
      <c r="P59" s="10">
        <v>0.84099999999999997</v>
      </c>
      <c r="Q59" s="10">
        <v>36.4</v>
      </c>
      <c r="R59" s="10">
        <v>2.8570000000000002</v>
      </c>
      <c r="S59" s="10" t="s">
        <v>34</v>
      </c>
      <c r="T59" s="10" t="s">
        <v>49</v>
      </c>
      <c r="U59" s="10" t="s">
        <v>362</v>
      </c>
      <c r="V59" s="10" t="s">
        <v>38</v>
      </c>
      <c r="W59" s="10" t="s">
        <v>43</v>
      </c>
      <c r="X59" s="10">
        <v>0.5</v>
      </c>
      <c r="Y59" s="10">
        <v>1</v>
      </c>
      <c r="Z59" s="10" t="s">
        <v>339</v>
      </c>
      <c r="AA59" s="10">
        <v>0.31900000000000001</v>
      </c>
      <c r="AB59" s="10" t="s">
        <v>34</v>
      </c>
      <c r="AC59" s="10" t="s">
        <v>397</v>
      </c>
      <c r="AD59" s="10" t="s">
        <v>277</v>
      </c>
      <c r="AE59" s="10">
        <v>0.86780000000000002</v>
      </c>
      <c r="AF59" s="10" t="s">
        <v>395</v>
      </c>
      <c r="AG59" s="10">
        <v>2024</v>
      </c>
      <c r="AH59" s="10" t="s">
        <v>396</v>
      </c>
      <c r="AI59" s="2">
        <v>50</v>
      </c>
      <c r="AJ59" s="2">
        <v>2</v>
      </c>
      <c r="AK59" s="2" t="s">
        <v>34</v>
      </c>
      <c r="AL59" s="2" t="str">
        <f t="shared" si="2"/>
        <v>Cui et al. (2024)</v>
      </c>
    </row>
    <row r="60" spans="1:38" s="2" customFormat="1" ht="15.6" x14ac:dyDescent="0.3">
      <c r="A60" s="11">
        <v>9.9726740403383207</v>
      </c>
      <c r="B60" s="11">
        <v>393.05891848264702</v>
      </c>
      <c r="C60" s="10" t="s">
        <v>34</v>
      </c>
      <c r="D60" s="10" t="s">
        <v>394</v>
      </c>
      <c r="E60" s="10" t="s">
        <v>387</v>
      </c>
      <c r="F60" s="10" t="s">
        <v>34</v>
      </c>
      <c r="G60" s="10" t="s">
        <v>34</v>
      </c>
      <c r="H60" s="10" t="s">
        <v>34</v>
      </c>
      <c r="I60" s="10" t="s">
        <v>34</v>
      </c>
      <c r="J60" s="10" t="s">
        <v>34</v>
      </c>
      <c r="K60" s="10" t="s">
        <v>34</v>
      </c>
      <c r="L60" s="10">
        <v>0</v>
      </c>
      <c r="M60" s="10">
        <v>34.1</v>
      </c>
      <c r="N60" s="10">
        <v>1400.49</v>
      </c>
      <c r="O60" s="10">
        <v>1.143</v>
      </c>
      <c r="P60" s="10">
        <v>0.84099999999999997</v>
      </c>
      <c r="Q60" s="10">
        <v>36.4</v>
      </c>
      <c r="R60" s="10">
        <v>2.8570000000000002</v>
      </c>
      <c r="S60" s="10" t="s">
        <v>34</v>
      </c>
      <c r="T60" s="10" t="s">
        <v>49</v>
      </c>
      <c r="U60" s="10" t="s">
        <v>362</v>
      </c>
      <c r="V60" s="10" t="s">
        <v>38</v>
      </c>
      <c r="W60" s="10" t="s">
        <v>43</v>
      </c>
      <c r="X60" s="10">
        <v>0.5</v>
      </c>
      <c r="Y60" s="10">
        <v>1</v>
      </c>
      <c r="Z60" s="10" t="s">
        <v>339</v>
      </c>
      <c r="AA60" s="10">
        <v>0.31900000000000001</v>
      </c>
      <c r="AB60" s="10" t="s">
        <v>34</v>
      </c>
      <c r="AC60" s="10" t="s">
        <v>397</v>
      </c>
      <c r="AD60" s="10" t="s">
        <v>277</v>
      </c>
      <c r="AE60" s="10">
        <v>0.86780000000000002</v>
      </c>
      <c r="AF60" s="10" t="s">
        <v>395</v>
      </c>
      <c r="AG60" s="10">
        <v>2024</v>
      </c>
      <c r="AH60" s="10" t="s">
        <v>396</v>
      </c>
      <c r="AI60" s="2">
        <v>50</v>
      </c>
      <c r="AJ60" s="2">
        <v>2</v>
      </c>
      <c r="AK60" s="2" t="s">
        <v>34</v>
      </c>
      <c r="AL60" s="2" t="str">
        <f t="shared" si="2"/>
        <v>Cui et al. (2024)</v>
      </c>
    </row>
    <row r="61" spans="1:38" s="2" customFormat="1" ht="15.6" x14ac:dyDescent="0.3">
      <c r="A61" s="11">
        <v>11.9713728041639</v>
      </c>
      <c r="B61" s="11">
        <v>516.54560129136405</v>
      </c>
      <c r="C61" s="10" t="s">
        <v>34</v>
      </c>
      <c r="D61" s="10" t="s">
        <v>394</v>
      </c>
      <c r="E61" s="10" t="s">
        <v>387</v>
      </c>
      <c r="F61" s="10" t="s">
        <v>34</v>
      </c>
      <c r="G61" s="10" t="s">
        <v>34</v>
      </c>
      <c r="H61" s="10" t="s">
        <v>34</v>
      </c>
      <c r="I61" s="10" t="s">
        <v>34</v>
      </c>
      <c r="J61" s="10" t="s">
        <v>34</v>
      </c>
      <c r="K61" s="10" t="s">
        <v>34</v>
      </c>
      <c r="L61" s="10">
        <v>0</v>
      </c>
      <c r="M61" s="10">
        <v>34.1</v>
      </c>
      <c r="N61" s="10">
        <v>1400.49</v>
      </c>
      <c r="O61" s="10">
        <v>1.143</v>
      </c>
      <c r="P61" s="10">
        <v>0.84099999999999997</v>
      </c>
      <c r="Q61" s="10">
        <v>36.4</v>
      </c>
      <c r="R61" s="10">
        <v>2.8570000000000002</v>
      </c>
      <c r="S61" s="10" t="s">
        <v>34</v>
      </c>
      <c r="T61" s="10" t="s">
        <v>49</v>
      </c>
      <c r="U61" s="10" t="s">
        <v>362</v>
      </c>
      <c r="V61" s="10" t="s">
        <v>38</v>
      </c>
      <c r="W61" s="10" t="s">
        <v>43</v>
      </c>
      <c r="X61" s="10">
        <v>0.5</v>
      </c>
      <c r="Y61" s="10">
        <v>1</v>
      </c>
      <c r="Z61" s="10" t="s">
        <v>339</v>
      </c>
      <c r="AA61" s="10">
        <v>0.31900000000000001</v>
      </c>
      <c r="AB61" s="10" t="s">
        <v>34</v>
      </c>
      <c r="AC61" s="10" t="s">
        <v>397</v>
      </c>
      <c r="AD61" s="10" t="s">
        <v>277</v>
      </c>
      <c r="AE61" s="10">
        <v>0.86780000000000002</v>
      </c>
      <c r="AF61" s="10" t="s">
        <v>395</v>
      </c>
      <c r="AG61" s="10">
        <v>2024</v>
      </c>
      <c r="AH61" s="10" t="s">
        <v>396</v>
      </c>
      <c r="AI61" s="2">
        <v>50</v>
      </c>
      <c r="AJ61" s="2">
        <v>2</v>
      </c>
      <c r="AK61" s="2" t="s">
        <v>34</v>
      </c>
      <c r="AL61" s="2" t="str">
        <f t="shared" si="2"/>
        <v>Cui et al. (2024)</v>
      </c>
    </row>
    <row r="62" spans="1:38" s="2" customFormat="1" ht="15.6" x14ac:dyDescent="0.3">
      <c r="A62" s="11">
        <v>11.638256343526299</v>
      </c>
      <c r="B62" s="11">
        <v>480.22598870056498</v>
      </c>
      <c r="C62" s="10" t="s">
        <v>34</v>
      </c>
      <c r="D62" s="10" t="s">
        <v>394</v>
      </c>
      <c r="E62" s="10" t="s">
        <v>387</v>
      </c>
      <c r="F62" s="10" t="s">
        <v>34</v>
      </c>
      <c r="G62" s="10" t="s">
        <v>34</v>
      </c>
      <c r="H62" s="10" t="s">
        <v>34</v>
      </c>
      <c r="I62" s="10" t="s">
        <v>34</v>
      </c>
      <c r="J62" s="10" t="s">
        <v>34</v>
      </c>
      <c r="K62" s="10" t="s">
        <v>34</v>
      </c>
      <c r="L62" s="10">
        <v>0</v>
      </c>
      <c r="M62" s="10">
        <v>34.1</v>
      </c>
      <c r="N62" s="10">
        <v>1400.49</v>
      </c>
      <c r="O62" s="10">
        <v>1.143</v>
      </c>
      <c r="P62" s="10">
        <v>0.84099999999999997</v>
      </c>
      <c r="Q62" s="10">
        <v>36.4</v>
      </c>
      <c r="R62" s="10">
        <v>2.8570000000000002</v>
      </c>
      <c r="S62" s="10" t="s">
        <v>34</v>
      </c>
      <c r="T62" s="10" t="s">
        <v>49</v>
      </c>
      <c r="U62" s="10" t="s">
        <v>362</v>
      </c>
      <c r="V62" s="10" t="s">
        <v>38</v>
      </c>
      <c r="W62" s="10" t="s">
        <v>43</v>
      </c>
      <c r="X62" s="10">
        <v>0.5</v>
      </c>
      <c r="Y62" s="10">
        <v>1</v>
      </c>
      <c r="Z62" s="10" t="s">
        <v>339</v>
      </c>
      <c r="AA62" s="10">
        <v>0.31900000000000001</v>
      </c>
      <c r="AB62" s="10" t="s">
        <v>34</v>
      </c>
      <c r="AC62" s="10" t="s">
        <v>397</v>
      </c>
      <c r="AD62" s="10" t="s">
        <v>277</v>
      </c>
      <c r="AE62" s="10">
        <v>0.86780000000000002</v>
      </c>
      <c r="AF62" s="10" t="s">
        <v>395</v>
      </c>
      <c r="AG62" s="10">
        <v>2024</v>
      </c>
      <c r="AH62" s="10" t="s">
        <v>396</v>
      </c>
      <c r="AI62" s="2">
        <v>50</v>
      </c>
      <c r="AJ62" s="2">
        <v>2</v>
      </c>
      <c r="AK62" s="2" t="s">
        <v>34</v>
      </c>
      <c r="AL62" s="2" t="str">
        <f t="shared" si="2"/>
        <v>Cui et al. (2024)</v>
      </c>
    </row>
    <row r="63" spans="1:38" s="2" customFormat="1" ht="15.6" x14ac:dyDescent="0.3">
      <c r="A63" s="11">
        <v>13.220559531554899</v>
      </c>
      <c r="B63" s="11">
        <v>519.77401129943496</v>
      </c>
      <c r="C63" s="10" t="s">
        <v>34</v>
      </c>
      <c r="D63" s="10" t="s">
        <v>394</v>
      </c>
      <c r="E63" s="10" t="s">
        <v>387</v>
      </c>
      <c r="F63" s="10" t="s">
        <v>34</v>
      </c>
      <c r="G63" s="10" t="s">
        <v>34</v>
      </c>
      <c r="H63" s="10" t="s">
        <v>34</v>
      </c>
      <c r="I63" s="10" t="s">
        <v>34</v>
      </c>
      <c r="J63" s="10" t="s">
        <v>34</v>
      </c>
      <c r="K63" s="10" t="s">
        <v>34</v>
      </c>
      <c r="L63" s="10">
        <v>0</v>
      </c>
      <c r="M63" s="10">
        <v>34.1</v>
      </c>
      <c r="N63" s="10">
        <v>1400.49</v>
      </c>
      <c r="O63" s="10">
        <v>1.143</v>
      </c>
      <c r="P63" s="10">
        <v>0.84099999999999997</v>
      </c>
      <c r="Q63" s="10">
        <v>36.4</v>
      </c>
      <c r="R63" s="10">
        <v>2.8570000000000002</v>
      </c>
      <c r="S63" s="10" t="s">
        <v>34</v>
      </c>
      <c r="T63" s="10" t="s">
        <v>49</v>
      </c>
      <c r="U63" s="10" t="s">
        <v>362</v>
      </c>
      <c r="V63" s="10" t="s">
        <v>38</v>
      </c>
      <c r="W63" s="10" t="s">
        <v>43</v>
      </c>
      <c r="X63" s="10">
        <v>0.5</v>
      </c>
      <c r="Y63" s="10">
        <v>1</v>
      </c>
      <c r="Z63" s="10" t="s">
        <v>339</v>
      </c>
      <c r="AA63" s="10">
        <v>0.31900000000000001</v>
      </c>
      <c r="AB63" s="10" t="s">
        <v>34</v>
      </c>
      <c r="AC63" s="10" t="s">
        <v>397</v>
      </c>
      <c r="AD63" s="10" t="s">
        <v>277</v>
      </c>
      <c r="AE63" s="10">
        <v>0.86780000000000002</v>
      </c>
      <c r="AF63" s="10" t="s">
        <v>395</v>
      </c>
      <c r="AG63" s="10">
        <v>2024</v>
      </c>
      <c r="AH63" s="10" t="s">
        <v>396</v>
      </c>
      <c r="AI63" s="2">
        <v>50</v>
      </c>
      <c r="AJ63" s="2">
        <v>2</v>
      </c>
      <c r="AK63" s="2" t="s">
        <v>34</v>
      </c>
      <c r="AL63" s="2" t="str">
        <f t="shared" si="2"/>
        <v>Cui et al. (2024)</v>
      </c>
    </row>
    <row r="64" spans="1:38" s="2" customFormat="1" ht="15.6" x14ac:dyDescent="0.3">
      <c r="A64" s="11">
        <v>12.6271958360442</v>
      </c>
      <c r="B64" s="11">
        <v>429.37853107344603</v>
      </c>
      <c r="C64" s="10" t="s">
        <v>34</v>
      </c>
      <c r="D64" s="10" t="s">
        <v>394</v>
      </c>
      <c r="E64" s="10" t="s">
        <v>387</v>
      </c>
      <c r="F64" s="10" t="s">
        <v>34</v>
      </c>
      <c r="G64" s="10" t="s">
        <v>34</v>
      </c>
      <c r="H64" s="10" t="s">
        <v>34</v>
      </c>
      <c r="I64" s="10" t="s">
        <v>34</v>
      </c>
      <c r="J64" s="10" t="s">
        <v>34</v>
      </c>
      <c r="K64" s="10" t="s">
        <v>34</v>
      </c>
      <c r="L64" s="10">
        <v>0</v>
      </c>
      <c r="M64" s="10">
        <v>34.1</v>
      </c>
      <c r="N64" s="10">
        <v>1400.49</v>
      </c>
      <c r="O64" s="10">
        <v>1.143</v>
      </c>
      <c r="P64" s="10">
        <v>0.84099999999999997</v>
      </c>
      <c r="Q64" s="10">
        <v>36.4</v>
      </c>
      <c r="R64" s="10">
        <v>2.8570000000000002</v>
      </c>
      <c r="S64" s="10" t="s">
        <v>34</v>
      </c>
      <c r="T64" s="10" t="s">
        <v>49</v>
      </c>
      <c r="U64" s="10" t="s">
        <v>362</v>
      </c>
      <c r="V64" s="10" t="s">
        <v>38</v>
      </c>
      <c r="W64" s="10" t="s">
        <v>43</v>
      </c>
      <c r="X64" s="10">
        <v>0.5</v>
      </c>
      <c r="Y64" s="10">
        <v>1</v>
      </c>
      <c r="Z64" s="10" t="s">
        <v>339</v>
      </c>
      <c r="AA64" s="10">
        <v>0.31900000000000001</v>
      </c>
      <c r="AB64" s="10" t="s">
        <v>34</v>
      </c>
      <c r="AC64" s="10" t="s">
        <v>397</v>
      </c>
      <c r="AD64" s="10" t="s">
        <v>277</v>
      </c>
      <c r="AE64" s="10">
        <v>0.86780000000000002</v>
      </c>
      <c r="AF64" s="10" t="s">
        <v>395</v>
      </c>
      <c r="AG64" s="10">
        <v>2024</v>
      </c>
      <c r="AH64" s="10" t="s">
        <v>396</v>
      </c>
      <c r="AI64" s="2">
        <v>50</v>
      </c>
      <c r="AJ64" s="2">
        <v>2</v>
      </c>
      <c r="AK64" s="2" t="s">
        <v>34</v>
      </c>
      <c r="AL64" s="2" t="str">
        <f t="shared" si="2"/>
        <v>Cui et al. (2024)</v>
      </c>
    </row>
    <row r="65" spans="1:38" s="2" customFormat="1" ht="15.6" x14ac:dyDescent="0.3">
      <c r="A65" s="11">
        <v>12.9394925178919</v>
      </c>
      <c r="B65" s="11">
        <v>727.19935431799797</v>
      </c>
      <c r="C65" s="10" t="s">
        <v>34</v>
      </c>
      <c r="D65" s="10" t="s">
        <v>394</v>
      </c>
      <c r="E65" s="10" t="s">
        <v>387</v>
      </c>
      <c r="F65" s="10" t="s">
        <v>34</v>
      </c>
      <c r="G65" s="10" t="s">
        <v>34</v>
      </c>
      <c r="H65" s="10" t="s">
        <v>34</v>
      </c>
      <c r="I65" s="10" t="s">
        <v>34</v>
      </c>
      <c r="J65" s="10" t="s">
        <v>34</v>
      </c>
      <c r="K65" s="10" t="s">
        <v>34</v>
      </c>
      <c r="L65" s="10">
        <v>0</v>
      </c>
      <c r="M65" s="10">
        <v>34.1</v>
      </c>
      <c r="N65" s="10">
        <v>1400.49</v>
      </c>
      <c r="O65" s="10">
        <v>1.143</v>
      </c>
      <c r="P65" s="10">
        <v>0.84099999999999997</v>
      </c>
      <c r="Q65" s="10">
        <v>36.4</v>
      </c>
      <c r="R65" s="10">
        <v>2.8570000000000002</v>
      </c>
      <c r="S65" s="10" t="s">
        <v>34</v>
      </c>
      <c r="T65" s="10" t="s">
        <v>49</v>
      </c>
      <c r="U65" s="10" t="s">
        <v>362</v>
      </c>
      <c r="V65" s="10" t="s">
        <v>38</v>
      </c>
      <c r="W65" s="10" t="s">
        <v>43</v>
      </c>
      <c r="X65" s="10">
        <v>0.5</v>
      </c>
      <c r="Y65" s="10">
        <v>1</v>
      </c>
      <c r="Z65" s="10" t="s">
        <v>339</v>
      </c>
      <c r="AA65" s="10">
        <v>0.31900000000000001</v>
      </c>
      <c r="AB65" s="10" t="s">
        <v>34</v>
      </c>
      <c r="AC65" s="10" t="s">
        <v>397</v>
      </c>
      <c r="AD65" s="10" t="s">
        <v>277</v>
      </c>
      <c r="AE65" s="10">
        <v>0.86780000000000002</v>
      </c>
      <c r="AF65" s="10" t="s">
        <v>395</v>
      </c>
      <c r="AG65" s="10">
        <v>2024</v>
      </c>
      <c r="AH65" s="10" t="s">
        <v>396</v>
      </c>
      <c r="AI65" s="2">
        <v>50</v>
      </c>
      <c r="AJ65" s="2">
        <v>2</v>
      </c>
      <c r="AK65" s="2" t="s">
        <v>34</v>
      </c>
      <c r="AL65" s="2" t="str">
        <f t="shared" si="2"/>
        <v>Cui et al. (2024)</v>
      </c>
    </row>
    <row r="66" spans="1:38" s="2" customFormat="1" ht="15.6" x14ac:dyDescent="0.3">
      <c r="A66" s="11">
        <v>13.459986987638199</v>
      </c>
      <c r="B66" s="11">
        <v>870.05649717514098</v>
      </c>
      <c r="C66" s="10" t="s">
        <v>34</v>
      </c>
      <c r="D66" s="10" t="s">
        <v>394</v>
      </c>
      <c r="E66" s="10" t="s">
        <v>387</v>
      </c>
      <c r="F66" s="10" t="s">
        <v>34</v>
      </c>
      <c r="G66" s="10" t="s">
        <v>34</v>
      </c>
      <c r="H66" s="10" t="s">
        <v>34</v>
      </c>
      <c r="I66" s="10" t="s">
        <v>34</v>
      </c>
      <c r="J66" s="10" t="s">
        <v>34</v>
      </c>
      <c r="K66" s="10" t="s">
        <v>34</v>
      </c>
      <c r="L66" s="10">
        <v>0</v>
      </c>
      <c r="M66" s="10">
        <v>34.1</v>
      </c>
      <c r="N66" s="10">
        <v>1400.49</v>
      </c>
      <c r="O66" s="10">
        <v>1.143</v>
      </c>
      <c r="P66" s="10">
        <v>0.84099999999999997</v>
      </c>
      <c r="Q66" s="10">
        <v>36.4</v>
      </c>
      <c r="R66" s="10">
        <v>2.8570000000000002</v>
      </c>
      <c r="S66" s="10" t="s">
        <v>34</v>
      </c>
      <c r="T66" s="10" t="s">
        <v>49</v>
      </c>
      <c r="U66" s="10" t="s">
        <v>362</v>
      </c>
      <c r="V66" s="10" t="s">
        <v>38</v>
      </c>
      <c r="W66" s="10" t="s">
        <v>43</v>
      </c>
      <c r="X66" s="10">
        <v>0.5</v>
      </c>
      <c r="Y66" s="10">
        <v>1</v>
      </c>
      <c r="Z66" s="10" t="s">
        <v>339</v>
      </c>
      <c r="AA66" s="10">
        <v>0.31900000000000001</v>
      </c>
      <c r="AB66" s="10" t="s">
        <v>34</v>
      </c>
      <c r="AC66" s="10" t="s">
        <v>397</v>
      </c>
      <c r="AD66" s="10" t="s">
        <v>277</v>
      </c>
      <c r="AE66" s="10">
        <v>0.86780000000000002</v>
      </c>
      <c r="AF66" s="10" t="s">
        <v>395</v>
      </c>
      <c r="AG66" s="10">
        <v>2024</v>
      </c>
      <c r="AH66" s="10" t="s">
        <v>396</v>
      </c>
      <c r="AI66" s="2">
        <v>50</v>
      </c>
      <c r="AJ66" s="2">
        <v>2</v>
      </c>
      <c r="AK66" s="2" t="s">
        <v>34</v>
      </c>
      <c r="AL66" s="2" t="str">
        <f t="shared" si="2"/>
        <v>Cui et al. (2024)</v>
      </c>
    </row>
    <row r="67" spans="1:38" s="2" customFormat="1" ht="15.6" x14ac:dyDescent="0.3">
      <c r="A67" s="11">
        <v>8.0676642810670103</v>
      </c>
      <c r="B67" s="11">
        <v>154.963680387409</v>
      </c>
      <c r="C67" s="10" t="s">
        <v>34</v>
      </c>
      <c r="D67" s="10" t="s">
        <v>394</v>
      </c>
      <c r="E67" s="10" t="s">
        <v>387</v>
      </c>
      <c r="F67" s="10" t="s">
        <v>34</v>
      </c>
      <c r="G67" s="10" t="s">
        <v>34</v>
      </c>
      <c r="H67" s="10" t="s">
        <v>34</v>
      </c>
      <c r="I67" s="10" t="s">
        <v>34</v>
      </c>
      <c r="J67" s="10" t="s">
        <v>34</v>
      </c>
      <c r="K67" s="10" t="s">
        <v>34</v>
      </c>
      <c r="L67" s="10">
        <v>0</v>
      </c>
      <c r="M67" s="10">
        <v>34.1</v>
      </c>
      <c r="N67" s="10">
        <v>1400.49</v>
      </c>
      <c r="O67" s="10">
        <v>1.143</v>
      </c>
      <c r="P67" s="10">
        <v>0.84099999999999997</v>
      </c>
      <c r="Q67" s="10">
        <v>36.4</v>
      </c>
      <c r="R67" s="10">
        <v>2.8570000000000002</v>
      </c>
      <c r="S67" s="10" t="s">
        <v>34</v>
      </c>
      <c r="T67" s="10" t="s">
        <v>49</v>
      </c>
      <c r="U67" s="10" t="s">
        <v>362</v>
      </c>
      <c r="V67" s="10" t="s">
        <v>38</v>
      </c>
      <c r="W67" s="10" t="s">
        <v>43</v>
      </c>
      <c r="X67" s="10">
        <v>0.5</v>
      </c>
      <c r="Y67" s="10">
        <v>1</v>
      </c>
      <c r="Z67" s="10" t="s">
        <v>339</v>
      </c>
      <c r="AA67" s="10">
        <v>0.36699999999999999</v>
      </c>
      <c r="AB67" s="10" t="s">
        <v>34</v>
      </c>
      <c r="AC67" s="10" t="s">
        <v>398</v>
      </c>
      <c r="AD67" s="10" t="s">
        <v>277</v>
      </c>
      <c r="AE67" s="10">
        <v>0.86780000000000002</v>
      </c>
      <c r="AF67" s="10" t="s">
        <v>395</v>
      </c>
      <c r="AG67" s="10">
        <v>2024</v>
      </c>
      <c r="AH67" s="10" t="s">
        <v>396</v>
      </c>
      <c r="AI67" s="2">
        <v>50</v>
      </c>
      <c r="AJ67" s="2">
        <v>2</v>
      </c>
      <c r="AK67" s="2" t="s">
        <v>34</v>
      </c>
      <c r="AL67" s="2" t="str">
        <f t="shared" si="2"/>
        <v>Cui et al. (2024)</v>
      </c>
    </row>
    <row r="68" spans="1:38" s="2" customFormat="1" ht="15.6" x14ac:dyDescent="0.3">
      <c r="A68" s="11">
        <v>7.78659726740403</v>
      </c>
      <c r="B68" s="11">
        <v>191.28329297820801</v>
      </c>
      <c r="C68" s="10" t="s">
        <v>34</v>
      </c>
      <c r="D68" s="10" t="s">
        <v>394</v>
      </c>
      <c r="E68" s="10" t="s">
        <v>387</v>
      </c>
      <c r="F68" s="10" t="s">
        <v>34</v>
      </c>
      <c r="G68" s="10" t="s">
        <v>34</v>
      </c>
      <c r="H68" s="10" t="s">
        <v>34</v>
      </c>
      <c r="I68" s="10" t="s">
        <v>34</v>
      </c>
      <c r="J68" s="10" t="s">
        <v>34</v>
      </c>
      <c r="K68" s="10" t="s">
        <v>34</v>
      </c>
      <c r="L68" s="10">
        <v>0</v>
      </c>
      <c r="M68" s="10">
        <v>34.1</v>
      </c>
      <c r="N68" s="10">
        <v>1400.49</v>
      </c>
      <c r="O68" s="10">
        <v>1.143</v>
      </c>
      <c r="P68" s="10">
        <v>0.84099999999999997</v>
      </c>
      <c r="Q68" s="10">
        <v>36.4</v>
      </c>
      <c r="R68" s="10">
        <v>2.8570000000000002</v>
      </c>
      <c r="S68" s="10" t="s">
        <v>34</v>
      </c>
      <c r="T68" s="10" t="s">
        <v>49</v>
      </c>
      <c r="U68" s="10" t="s">
        <v>362</v>
      </c>
      <c r="V68" s="10" t="s">
        <v>38</v>
      </c>
      <c r="W68" s="10" t="s">
        <v>43</v>
      </c>
      <c r="X68" s="10">
        <v>0.5</v>
      </c>
      <c r="Y68" s="10">
        <v>1</v>
      </c>
      <c r="Z68" s="10" t="s">
        <v>339</v>
      </c>
      <c r="AA68" s="10">
        <v>0.36699999999999999</v>
      </c>
      <c r="AB68" s="10" t="s">
        <v>34</v>
      </c>
      <c r="AC68" s="10" t="s">
        <v>398</v>
      </c>
      <c r="AD68" s="10" t="s">
        <v>277</v>
      </c>
      <c r="AE68" s="10">
        <v>0.86780000000000002</v>
      </c>
      <c r="AF68" s="10" t="s">
        <v>395</v>
      </c>
      <c r="AG68" s="10">
        <v>2024</v>
      </c>
      <c r="AH68" s="10" t="s">
        <v>396</v>
      </c>
      <c r="AI68" s="2">
        <v>50</v>
      </c>
      <c r="AJ68" s="2">
        <v>2</v>
      </c>
      <c r="AK68" s="2" t="s">
        <v>34</v>
      </c>
      <c r="AL68" s="2" t="str">
        <f t="shared" si="2"/>
        <v>Cui et al. (2024)</v>
      </c>
    </row>
    <row r="69" spans="1:38" s="2" customFormat="1" ht="15.6" x14ac:dyDescent="0.3">
      <c r="A69" s="11">
        <v>7.8074170461938799</v>
      </c>
      <c r="B69" s="11">
        <v>247.780468119451</v>
      </c>
      <c r="C69" s="10" t="s">
        <v>34</v>
      </c>
      <c r="D69" s="10" t="s">
        <v>394</v>
      </c>
      <c r="E69" s="10" t="s">
        <v>387</v>
      </c>
      <c r="F69" s="10" t="s">
        <v>34</v>
      </c>
      <c r="G69" s="10" t="s">
        <v>34</v>
      </c>
      <c r="H69" s="10" t="s">
        <v>34</v>
      </c>
      <c r="I69" s="10" t="s">
        <v>34</v>
      </c>
      <c r="J69" s="10" t="s">
        <v>34</v>
      </c>
      <c r="K69" s="10" t="s">
        <v>34</v>
      </c>
      <c r="L69" s="10">
        <v>0</v>
      </c>
      <c r="M69" s="10">
        <v>34.1</v>
      </c>
      <c r="N69" s="10">
        <v>1400.49</v>
      </c>
      <c r="O69" s="10">
        <v>1.143</v>
      </c>
      <c r="P69" s="10">
        <v>0.84099999999999997</v>
      </c>
      <c r="Q69" s="10">
        <v>36.4</v>
      </c>
      <c r="R69" s="10">
        <v>2.8570000000000002</v>
      </c>
      <c r="S69" s="10" t="s">
        <v>34</v>
      </c>
      <c r="T69" s="10" t="s">
        <v>49</v>
      </c>
      <c r="U69" s="10" t="s">
        <v>362</v>
      </c>
      <c r="V69" s="10" t="s">
        <v>38</v>
      </c>
      <c r="W69" s="10" t="s">
        <v>43</v>
      </c>
      <c r="X69" s="10">
        <v>0.5</v>
      </c>
      <c r="Y69" s="10">
        <v>1</v>
      </c>
      <c r="Z69" s="10" t="s">
        <v>339</v>
      </c>
      <c r="AA69" s="10">
        <v>0.36699999999999999</v>
      </c>
      <c r="AB69" s="10" t="s">
        <v>34</v>
      </c>
      <c r="AC69" s="10" t="s">
        <v>398</v>
      </c>
      <c r="AD69" s="10" t="s">
        <v>277</v>
      </c>
      <c r="AE69" s="10">
        <v>0.86780000000000002</v>
      </c>
      <c r="AF69" s="10" t="s">
        <v>395</v>
      </c>
      <c r="AG69" s="10">
        <v>2024</v>
      </c>
      <c r="AH69" s="10" t="s">
        <v>396</v>
      </c>
      <c r="AI69" s="2">
        <v>50</v>
      </c>
      <c r="AJ69" s="2">
        <v>2</v>
      </c>
      <c r="AK69" s="2" t="s">
        <v>34</v>
      </c>
      <c r="AL69" s="2" t="str">
        <f t="shared" si="2"/>
        <v>Cui et al. (2024)</v>
      </c>
    </row>
    <row r="70" spans="1:38" s="2" customFormat="1" ht="15.6" x14ac:dyDescent="0.3">
      <c r="A70" s="11">
        <v>10.1912817176317</v>
      </c>
      <c r="B70" s="11">
        <v>333.33333333333297</v>
      </c>
      <c r="C70" s="10" t="s">
        <v>34</v>
      </c>
      <c r="D70" s="10" t="s">
        <v>394</v>
      </c>
      <c r="E70" s="10" t="s">
        <v>387</v>
      </c>
      <c r="F70" s="10" t="s">
        <v>34</v>
      </c>
      <c r="G70" s="10" t="s">
        <v>34</v>
      </c>
      <c r="H70" s="10" t="s">
        <v>34</v>
      </c>
      <c r="I70" s="10" t="s">
        <v>34</v>
      </c>
      <c r="J70" s="10" t="s">
        <v>34</v>
      </c>
      <c r="K70" s="10" t="s">
        <v>34</v>
      </c>
      <c r="L70" s="10">
        <v>0</v>
      </c>
      <c r="M70" s="10">
        <v>34.1</v>
      </c>
      <c r="N70" s="10">
        <v>1400.49</v>
      </c>
      <c r="O70" s="10">
        <v>1.143</v>
      </c>
      <c r="P70" s="10">
        <v>0.84099999999999997</v>
      </c>
      <c r="Q70" s="10">
        <v>36.4</v>
      </c>
      <c r="R70" s="10">
        <v>2.8570000000000002</v>
      </c>
      <c r="S70" s="10" t="s">
        <v>34</v>
      </c>
      <c r="T70" s="10" t="s">
        <v>49</v>
      </c>
      <c r="U70" s="10" t="s">
        <v>362</v>
      </c>
      <c r="V70" s="10" t="s">
        <v>38</v>
      </c>
      <c r="W70" s="10" t="s">
        <v>43</v>
      </c>
      <c r="X70" s="10">
        <v>0.5</v>
      </c>
      <c r="Y70" s="10">
        <v>1</v>
      </c>
      <c r="Z70" s="10" t="s">
        <v>339</v>
      </c>
      <c r="AA70" s="10">
        <v>0.36699999999999999</v>
      </c>
      <c r="AB70" s="10" t="s">
        <v>34</v>
      </c>
      <c r="AC70" s="10" t="s">
        <v>398</v>
      </c>
      <c r="AD70" s="10" t="s">
        <v>277</v>
      </c>
      <c r="AE70" s="10">
        <v>0.86780000000000002</v>
      </c>
      <c r="AF70" s="10" t="s">
        <v>395</v>
      </c>
      <c r="AG70" s="10">
        <v>2024</v>
      </c>
      <c r="AH70" s="10" t="s">
        <v>396</v>
      </c>
      <c r="AI70" s="2">
        <v>50</v>
      </c>
      <c r="AJ70" s="2">
        <v>2</v>
      </c>
      <c r="AK70" s="2" t="s">
        <v>34</v>
      </c>
      <c r="AL70" s="2" t="str">
        <f t="shared" si="2"/>
        <v>Cui et al. (2024)</v>
      </c>
    </row>
    <row r="71" spans="1:38" s="2" customFormat="1" ht="15.6" x14ac:dyDescent="0.3">
      <c r="A71" s="11">
        <v>9.9518542615484709</v>
      </c>
      <c r="B71" s="11">
        <v>364.81033091202499</v>
      </c>
      <c r="C71" s="10" t="s">
        <v>34</v>
      </c>
      <c r="D71" s="10" t="s">
        <v>394</v>
      </c>
      <c r="E71" s="10" t="s">
        <v>387</v>
      </c>
      <c r="F71" s="10" t="s">
        <v>34</v>
      </c>
      <c r="G71" s="10" t="s">
        <v>34</v>
      </c>
      <c r="H71" s="10" t="s">
        <v>34</v>
      </c>
      <c r="I71" s="10" t="s">
        <v>34</v>
      </c>
      <c r="J71" s="10" t="s">
        <v>34</v>
      </c>
      <c r="K71" s="10" t="s">
        <v>34</v>
      </c>
      <c r="L71" s="10">
        <v>0</v>
      </c>
      <c r="M71" s="10">
        <v>34.1</v>
      </c>
      <c r="N71" s="10">
        <v>1400.49</v>
      </c>
      <c r="O71" s="10">
        <v>1.143</v>
      </c>
      <c r="P71" s="10">
        <v>0.84099999999999997</v>
      </c>
      <c r="Q71" s="10">
        <v>36.4</v>
      </c>
      <c r="R71" s="10">
        <v>2.8570000000000002</v>
      </c>
      <c r="S71" s="10" t="s">
        <v>34</v>
      </c>
      <c r="T71" s="10" t="s">
        <v>49</v>
      </c>
      <c r="U71" s="10" t="s">
        <v>362</v>
      </c>
      <c r="V71" s="10" t="s">
        <v>38</v>
      </c>
      <c r="W71" s="10" t="s">
        <v>43</v>
      </c>
      <c r="X71" s="10">
        <v>0.5</v>
      </c>
      <c r="Y71" s="10">
        <v>1</v>
      </c>
      <c r="Z71" s="10" t="s">
        <v>339</v>
      </c>
      <c r="AA71" s="10">
        <v>0.36699999999999999</v>
      </c>
      <c r="AB71" s="10" t="s">
        <v>34</v>
      </c>
      <c r="AC71" s="10" t="s">
        <v>398</v>
      </c>
      <c r="AD71" s="10" t="s">
        <v>277</v>
      </c>
      <c r="AE71" s="10">
        <v>0.86780000000000002</v>
      </c>
      <c r="AF71" s="10" t="s">
        <v>395</v>
      </c>
      <c r="AG71" s="10">
        <v>2024</v>
      </c>
      <c r="AH71" s="10" t="s">
        <v>396</v>
      </c>
      <c r="AI71" s="2">
        <v>50</v>
      </c>
      <c r="AJ71" s="2">
        <v>2</v>
      </c>
      <c r="AK71" s="2" t="s">
        <v>34</v>
      </c>
      <c r="AL71" s="2" t="str">
        <f t="shared" si="2"/>
        <v>Cui et al. (2024)</v>
      </c>
    </row>
    <row r="72" spans="1:38" s="2" customFormat="1" ht="15.6" x14ac:dyDescent="0.3">
      <c r="A72" s="11">
        <v>9.9934938191281706</v>
      </c>
      <c r="B72" s="11">
        <v>478.61178369652902</v>
      </c>
      <c r="C72" s="10" t="s">
        <v>34</v>
      </c>
      <c r="D72" s="10" t="s">
        <v>394</v>
      </c>
      <c r="E72" s="10" t="s">
        <v>387</v>
      </c>
      <c r="F72" s="10" t="s">
        <v>34</v>
      </c>
      <c r="G72" s="10" t="s">
        <v>34</v>
      </c>
      <c r="H72" s="10" t="s">
        <v>34</v>
      </c>
      <c r="I72" s="10" t="s">
        <v>34</v>
      </c>
      <c r="J72" s="10" t="s">
        <v>34</v>
      </c>
      <c r="K72" s="10" t="s">
        <v>34</v>
      </c>
      <c r="L72" s="10">
        <v>0</v>
      </c>
      <c r="M72" s="10">
        <v>34.1</v>
      </c>
      <c r="N72" s="10">
        <v>1400.49</v>
      </c>
      <c r="O72" s="10">
        <v>1.143</v>
      </c>
      <c r="P72" s="10">
        <v>0.84099999999999997</v>
      </c>
      <c r="Q72" s="10">
        <v>36.4</v>
      </c>
      <c r="R72" s="10">
        <v>2.8570000000000002</v>
      </c>
      <c r="S72" s="10" t="s">
        <v>34</v>
      </c>
      <c r="T72" s="10" t="s">
        <v>49</v>
      </c>
      <c r="U72" s="10" t="s">
        <v>362</v>
      </c>
      <c r="V72" s="10" t="s">
        <v>38</v>
      </c>
      <c r="W72" s="10" t="s">
        <v>43</v>
      </c>
      <c r="X72" s="10">
        <v>0.5</v>
      </c>
      <c r="Y72" s="10">
        <v>1</v>
      </c>
      <c r="Z72" s="10" t="s">
        <v>339</v>
      </c>
      <c r="AA72" s="10">
        <v>0.36699999999999999</v>
      </c>
      <c r="AB72" s="10" t="s">
        <v>34</v>
      </c>
      <c r="AC72" s="10" t="s">
        <v>398</v>
      </c>
      <c r="AD72" s="10" t="s">
        <v>277</v>
      </c>
      <c r="AE72" s="10">
        <v>0.86780000000000002</v>
      </c>
      <c r="AF72" s="10" t="s">
        <v>395</v>
      </c>
      <c r="AG72" s="10">
        <v>2024</v>
      </c>
      <c r="AH72" s="10" t="s">
        <v>396</v>
      </c>
      <c r="AI72" s="2">
        <v>50</v>
      </c>
      <c r="AJ72" s="2">
        <v>2</v>
      </c>
      <c r="AK72" s="2" t="s">
        <v>34</v>
      </c>
      <c r="AL72" s="2" t="str">
        <f t="shared" si="2"/>
        <v>Cui et al. (2024)</v>
      </c>
    </row>
    <row r="73" spans="1:38" s="2" customFormat="1" ht="15.6" x14ac:dyDescent="0.3">
      <c r="A73" s="11">
        <v>12.2524398178269</v>
      </c>
      <c r="B73" s="11">
        <v>660.20984665052401</v>
      </c>
      <c r="C73" s="10" t="s">
        <v>34</v>
      </c>
      <c r="D73" s="10" t="s">
        <v>394</v>
      </c>
      <c r="E73" s="10" t="s">
        <v>387</v>
      </c>
      <c r="F73" s="10" t="s">
        <v>34</v>
      </c>
      <c r="G73" s="10" t="s">
        <v>34</v>
      </c>
      <c r="H73" s="10" t="s">
        <v>34</v>
      </c>
      <c r="I73" s="10" t="s">
        <v>34</v>
      </c>
      <c r="J73" s="10" t="s">
        <v>34</v>
      </c>
      <c r="K73" s="10" t="s">
        <v>34</v>
      </c>
      <c r="L73" s="10">
        <v>0</v>
      </c>
      <c r="M73" s="10">
        <v>34.1</v>
      </c>
      <c r="N73" s="10">
        <v>1400.49</v>
      </c>
      <c r="O73" s="10">
        <v>1.143</v>
      </c>
      <c r="P73" s="10">
        <v>0.84099999999999997</v>
      </c>
      <c r="Q73" s="10">
        <v>36.4</v>
      </c>
      <c r="R73" s="10">
        <v>2.8570000000000002</v>
      </c>
      <c r="S73" s="10" t="s">
        <v>34</v>
      </c>
      <c r="T73" s="10" t="s">
        <v>49</v>
      </c>
      <c r="U73" s="10" t="s">
        <v>362</v>
      </c>
      <c r="V73" s="10" t="s">
        <v>38</v>
      </c>
      <c r="W73" s="10" t="s">
        <v>43</v>
      </c>
      <c r="X73" s="10">
        <v>0.5</v>
      </c>
      <c r="Y73" s="10">
        <v>1</v>
      </c>
      <c r="Z73" s="10" t="s">
        <v>339</v>
      </c>
      <c r="AA73" s="10">
        <v>0.36699999999999999</v>
      </c>
      <c r="AB73" s="10" t="s">
        <v>34</v>
      </c>
      <c r="AC73" s="10" t="s">
        <v>398</v>
      </c>
      <c r="AD73" s="10" t="s">
        <v>277</v>
      </c>
      <c r="AE73" s="10">
        <v>0.86780000000000002</v>
      </c>
      <c r="AF73" s="10" t="s">
        <v>395</v>
      </c>
      <c r="AG73" s="10">
        <v>2024</v>
      </c>
      <c r="AH73" s="10" t="s">
        <v>396</v>
      </c>
      <c r="AI73" s="2">
        <v>50</v>
      </c>
      <c r="AJ73" s="2">
        <v>2</v>
      </c>
      <c r="AK73" s="2" t="s">
        <v>34</v>
      </c>
      <c r="AL73" s="2" t="str">
        <f t="shared" si="2"/>
        <v>Cui et al. (2024)</v>
      </c>
    </row>
    <row r="74" spans="1:38" s="2" customFormat="1" ht="15.6" x14ac:dyDescent="0.3">
      <c r="A74" s="11">
        <v>12.0130123617436</v>
      </c>
      <c r="B74" s="11">
        <v>721.54963680387402</v>
      </c>
      <c r="C74" s="10" t="s">
        <v>34</v>
      </c>
      <c r="D74" s="10" t="s">
        <v>394</v>
      </c>
      <c r="E74" s="10" t="s">
        <v>387</v>
      </c>
      <c r="F74" s="10" t="s">
        <v>34</v>
      </c>
      <c r="G74" s="10" t="s">
        <v>34</v>
      </c>
      <c r="H74" s="10" t="s">
        <v>34</v>
      </c>
      <c r="I74" s="10" t="s">
        <v>34</v>
      </c>
      <c r="J74" s="10" t="s">
        <v>34</v>
      </c>
      <c r="K74" s="10" t="s">
        <v>34</v>
      </c>
      <c r="L74" s="10">
        <v>0</v>
      </c>
      <c r="M74" s="10">
        <v>34.1</v>
      </c>
      <c r="N74" s="10">
        <v>1400.49</v>
      </c>
      <c r="O74" s="10">
        <v>1.143</v>
      </c>
      <c r="P74" s="10">
        <v>0.84099999999999997</v>
      </c>
      <c r="Q74" s="10">
        <v>36.4</v>
      </c>
      <c r="R74" s="10">
        <v>2.8570000000000002</v>
      </c>
      <c r="S74" s="10" t="s">
        <v>34</v>
      </c>
      <c r="T74" s="10" t="s">
        <v>49</v>
      </c>
      <c r="U74" s="10" t="s">
        <v>362</v>
      </c>
      <c r="V74" s="10" t="s">
        <v>38</v>
      </c>
      <c r="W74" s="10" t="s">
        <v>43</v>
      </c>
      <c r="X74" s="10">
        <v>0.5</v>
      </c>
      <c r="Y74" s="10">
        <v>1</v>
      </c>
      <c r="Z74" s="10" t="s">
        <v>339</v>
      </c>
      <c r="AA74" s="10">
        <v>0.36699999999999999</v>
      </c>
      <c r="AB74" s="10" t="s">
        <v>34</v>
      </c>
      <c r="AC74" s="10" t="s">
        <v>398</v>
      </c>
      <c r="AD74" s="10" t="s">
        <v>277</v>
      </c>
      <c r="AE74" s="10">
        <v>0.86780000000000002</v>
      </c>
      <c r="AF74" s="10" t="s">
        <v>395</v>
      </c>
      <c r="AG74" s="10">
        <v>2024</v>
      </c>
      <c r="AH74" s="10" t="s">
        <v>396</v>
      </c>
      <c r="AI74" s="2">
        <v>50</v>
      </c>
      <c r="AJ74" s="2">
        <v>2</v>
      </c>
      <c r="AK74" s="2" t="s">
        <v>34</v>
      </c>
      <c r="AL74" s="2" t="str">
        <f t="shared" si="2"/>
        <v>Cui et al. (2024)</v>
      </c>
    </row>
    <row r="75" spans="1:38" s="2" customFormat="1" ht="15.6" x14ac:dyDescent="0.3">
      <c r="A75" s="11">
        <v>12.2940793754066</v>
      </c>
      <c r="B75" s="11">
        <v>854.72154963680396</v>
      </c>
      <c r="C75" s="10" t="s">
        <v>34</v>
      </c>
      <c r="D75" s="10" t="s">
        <v>394</v>
      </c>
      <c r="E75" s="10" t="s">
        <v>387</v>
      </c>
      <c r="F75" s="10" t="s">
        <v>34</v>
      </c>
      <c r="G75" s="10" t="s">
        <v>34</v>
      </c>
      <c r="H75" s="10" t="s">
        <v>34</v>
      </c>
      <c r="I75" s="10" t="s">
        <v>34</v>
      </c>
      <c r="J75" s="10" t="s">
        <v>34</v>
      </c>
      <c r="K75" s="10" t="s">
        <v>34</v>
      </c>
      <c r="L75" s="10">
        <v>0</v>
      </c>
      <c r="M75" s="10">
        <v>34.1</v>
      </c>
      <c r="N75" s="10">
        <v>1400.49</v>
      </c>
      <c r="O75" s="10">
        <v>1.143</v>
      </c>
      <c r="P75" s="10">
        <v>0.84099999999999997</v>
      </c>
      <c r="Q75" s="10">
        <v>36.4</v>
      </c>
      <c r="R75" s="10">
        <v>2.8570000000000002</v>
      </c>
      <c r="S75" s="10" t="s">
        <v>34</v>
      </c>
      <c r="T75" s="10" t="s">
        <v>49</v>
      </c>
      <c r="U75" s="10" t="s">
        <v>362</v>
      </c>
      <c r="V75" s="10" t="s">
        <v>38</v>
      </c>
      <c r="W75" s="10" t="s">
        <v>43</v>
      </c>
      <c r="X75" s="10">
        <v>0.5</v>
      </c>
      <c r="Y75" s="10">
        <v>1</v>
      </c>
      <c r="Z75" s="10" t="s">
        <v>339</v>
      </c>
      <c r="AA75" s="10">
        <v>0.36699999999999999</v>
      </c>
      <c r="AB75" s="10" t="s">
        <v>34</v>
      </c>
      <c r="AC75" s="10" t="s">
        <v>398</v>
      </c>
      <c r="AD75" s="10" t="s">
        <v>277</v>
      </c>
      <c r="AE75" s="10">
        <v>0.86780000000000002</v>
      </c>
      <c r="AF75" s="10" t="s">
        <v>395</v>
      </c>
      <c r="AG75" s="10">
        <v>2024</v>
      </c>
      <c r="AH75" s="10" t="s">
        <v>396</v>
      </c>
      <c r="AI75" s="2">
        <v>50</v>
      </c>
      <c r="AJ75" s="2">
        <v>2</v>
      </c>
      <c r="AK75" s="2" t="s">
        <v>34</v>
      </c>
      <c r="AL75" s="2" t="str">
        <f t="shared" si="2"/>
        <v>Cui et al. (2024)</v>
      </c>
    </row>
    <row r="76" spans="1:38" s="2" customFormat="1" ht="15.6" x14ac:dyDescent="0.3">
      <c r="A76" s="11">
        <v>7.8698763825634304</v>
      </c>
      <c r="B76" s="11">
        <v>129.13640032284101</v>
      </c>
      <c r="C76" s="10" t="s">
        <v>34</v>
      </c>
      <c r="D76" s="10" t="s">
        <v>394</v>
      </c>
      <c r="E76" s="10" t="s">
        <v>387</v>
      </c>
      <c r="F76" s="10" t="s">
        <v>34</v>
      </c>
      <c r="G76" s="10" t="s">
        <v>34</v>
      </c>
      <c r="H76" s="10" t="s">
        <v>34</v>
      </c>
      <c r="I76" s="10" t="s">
        <v>34</v>
      </c>
      <c r="J76" s="10" t="s">
        <v>34</v>
      </c>
      <c r="K76" s="10" t="s">
        <v>34</v>
      </c>
      <c r="L76" s="10">
        <v>0</v>
      </c>
      <c r="M76" s="10">
        <v>34.1</v>
      </c>
      <c r="N76" s="10">
        <v>1400.49</v>
      </c>
      <c r="O76" s="10">
        <v>1.143</v>
      </c>
      <c r="P76" s="10">
        <v>0.84099999999999997</v>
      </c>
      <c r="Q76" s="10">
        <v>36.4</v>
      </c>
      <c r="R76" s="10">
        <v>2.8570000000000002</v>
      </c>
      <c r="S76" s="10" t="s">
        <v>34</v>
      </c>
      <c r="T76" s="10" t="s">
        <v>49</v>
      </c>
      <c r="U76" s="10" t="s">
        <v>362</v>
      </c>
      <c r="V76" s="10" t="s">
        <v>38</v>
      </c>
      <c r="W76" s="10" t="s">
        <v>43</v>
      </c>
      <c r="X76" s="10">
        <v>0.5</v>
      </c>
      <c r="Y76" s="10">
        <v>1</v>
      </c>
      <c r="Z76" s="10" t="s">
        <v>339</v>
      </c>
      <c r="AA76" s="10">
        <v>0.38600000000000001</v>
      </c>
      <c r="AB76" s="10" t="s">
        <v>34</v>
      </c>
      <c r="AC76" s="10" t="s">
        <v>399</v>
      </c>
      <c r="AD76" s="10" t="s">
        <v>277</v>
      </c>
      <c r="AE76" s="10">
        <v>0.86780000000000002</v>
      </c>
      <c r="AF76" s="10" t="s">
        <v>395</v>
      </c>
      <c r="AG76" s="10">
        <v>2024</v>
      </c>
      <c r="AH76" s="10" t="s">
        <v>396</v>
      </c>
      <c r="AI76" s="2">
        <v>50</v>
      </c>
      <c r="AJ76" s="2">
        <v>2</v>
      </c>
      <c r="AK76" s="2" t="s">
        <v>34</v>
      </c>
      <c r="AL76" s="2" t="str">
        <f t="shared" si="2"/>
        <v>Cui et al. (2024)</v>
      </c>
    </row>
    <row r="77" spans="1:38" s="2" customFormat="1" ht="15.6" x14ac:dyDescent="0.3">
      <c r="A77" s="11">
        <v>7.7033181522446297</v>
      </c>
      <c r="B77" s="11">
        <v>150.92816787731999</v>
      </c>
      <c r="C77" s="10" t="s">
        <v>34</v>
      </c>
      <c r="D77" s="10" t="s">
        <v>394</v>
      </c>
      <c r="E77" s="10" t="s">
        <v>387</v>
      </c>
      <c r="F77" s="10" t="s">
        <v>34</v>
      </c>
      <c r="G77" s="10" t="s">
        <v>34</v>
      </c>
      <c r="H77" s="10" t="s">
        <v>34</v>
      </c>
      <c r="I77" s="10" t="s">
        <v>34</v>
      </c>
      <c r="J77" s="10" t="s">
        <v>34</v>
      </c>
      <c r="K77" s="10" t="s">
        <v>34</v>
      </c>
      <c r="L77" s="10">
        <v>0</v>
      </c>
      <c r="M77" s="10">
        <v>34.1</v>
      </c>
      <c r="N77" s="10">
        <v>1400.49</v>
      </c>
      <c r="O77" s="10">
        <v>1.143</v>
      </c>
      <c r="P77" s="10">
        <v>0.84099999999999997</v>
      </c>
      <c r="Q77" s="10">
        <v>36.4</v>
      </c>
      <c r="R77" s="10">
        <v>2.8570000000000002</v>
      </c>
      <c r="S77" s="10" t="s">
        <v>34</v>
      </c>
      <c r="T77" s="10" t="s">
        <v>49</v>
      </c>
      <c r="U77" s="10" t="s">
        <v>362</v>
      </c>
      <c r="V77" s="10" t="s">
        <v>38</v>
      </c>
      <c r="W77" s="10" t="s">
        <v>43</v>
      </c>
      <c r="X77" s="10">
        <v>0.5</v>
      </c>
      <c r="Y77" s="10">
        <v>1</v>
      </c>
      <c r="Z77" s="10" t="s">
        <v>339</v>
      </c>
      <c r="AA77" s="10">
        <v>0.38600000000000001</v>
      </c>
      <c r="AB77" s="10" t="s">
        <v>34</v>
      </c>
      <c r="AC77" s="10" t="s">
        <v>399</v>
      </c>
      <c r="AD77" s="10" t="s">
        <v>277</v>
      </c>
      <c r="AE77" s="10">
        <v>0.86780000000000002</v>
      </c>
      <c r="AF77" s="10" t="s">
        <v>395</v>
      </c>
      <c r="AG77" s="10">
        <v>2024</v>
      </c>
      <c r="AH77" s="10" t="s">
        <v>396</v>
      </c>
      <c r="AI77" s="2">
        <v>50</v>
      </c>
      <c r="AJ77" s="2">
        <v>2</v>
      </c>
      <c r="AK77" s="2" t="s">
        <v>34</v>
      </c>
      <c r="AL77" s="2" t="str">
        <f t="shared" si="2"/>
        <v>Cui et al. (2024)</v>
      </c>
    </row>
    <row r="78" spans="1:38" s="2" customFormat="1" ht="15.6" x14ac:dyDescent="0.3">
      <c r="A78" s="11">
        <v>8.16135328562134</v>
      </c>
      <c r="B78" s="11">
        <v>213.882163034705</v>
      </c>
      <c r="C78" s="10" t="s">
        <v>34</v>
      </c>
      <c r="D78" s="10" t="s">
        <v>394</v>
      </c>
      <c r="E78" s="10" t="s">
        <v>387</v>
      </c>
      <c r="F78" s="10" t="s">
        <v>34</v>
      </c>
      <c r="G78" s="10" t="s">
        <v>34</v>
      </c>
      <c r="H78" s="10" t="s">
        <v>34</v>
      </c>
      <c r="I78" s="10" t="s">
        <v>34</v>
      </c>
      <c r="J78" s="10" t="s">
        <v>34</v>
      </c>
      <c r="K78" s="10" t="s">
        <v>34</v>
      </c>
      <c r="L78" s="10">
        <v>0</v>
      </c>
      <c r="M78" s="10">
        <v>34.1</v>
      </c>
      <c r="N78" s="10">
        <v>1400.49</v>
      </c>
      <c r="O78" s="10">
        <v>1.143</v>
      </c>
      <c r="P78" s="10">
        <v>0.84099999999999997</v>
      </c>
      <c r="Q78" s="10">
        <v>36.4</v>
      </c>
      <c r="R78" s="10">
        <v>2.8570000000000002</v>
      </c>
      <c r="S78" s="10" t="s">
        <v>34</v>
      </c>
      <c r="T78" s="10" t="s">
        <v>49</v>
      </c>
      <c r="U78" s="10" t="s">
        <v>362</v>
      </c>
      <c r="V78" s="10" t="s">
        <v>38</v>
      </c>
      <c r="W78" s="10" t="s">
        <v>43</v>
      </c>
      <c r="X78" s="10">
        <v>0.5</v>
      </c>
      <c r="Y78" s="10">
        <v>1</v>
      </c>
      <c r="Z78" s="10" t="s">
        <v>339</v>
      </c>
      <c r="AA78" s="10">
        <v>0.38600000000000001</v>
      </c>
      <c r="AB78" s="10" t="s">
        <v>34</v>
      </c>
      <c r="AC78" s="10" t="s">
        <v>399</v>
      </c>
      <c r="AD78" s="10" t="s">
        <v>277</v>
      </c>
      <c r="AE78" s="10">
        <v>0.86780000000000002</v>
      </c>
      <c r="AF78" s="10" t="s">
        <v>395</v>
      </c>
      <c r="AG78" s="10">
        <v>2024</v>
      </c>
      <c r="AH78" s="10" t="s">
        <v>396</v>
      </c>
      <c r="AI78" s="2">
        <v>50</v>
      </c>
      <c r="AJ78" s="2">
        <v>2</v>
      </c>
      <c r="AK78" s="2" t="s">
        <v>34</v>
      </c>
      <c r="AL78" s="2" t="str">
        <f t="shared" si="2"/>
        <v>Cui et al. (2024)</v>
      </c>
    </row>
    <row r="79" spans="1:38" s="2" customFormat="1" ht="15.6" x14ac:dyDescent="0.3">
      <c r="A79" s="11">
        <v>9.7124268054651903</v>
      </c>
      <c r="B79" s="11">
        <v>309.927360774818</v>
      </c>
      <c r="C79" s="10" t="s">
        <v>34</v>
      </c>
      <c r="D79" s="10" t="s">
        <v>394</v>
      </c>
      <c r="E79" s="10" t="s">
        <v>387</v>
      </c>
      <c r="F79" s="10" t="s">
        <v>34</v>
      </c>
      <c r="G79" s="10" t="s">
        <v>34</v>
      </c>
      <c r="H79" s="10" t="s">
        <v>34</v>
      </c>
      <c r="I79" s="10" t="s">
        <v>34</v>
      </c>
      <c r="J79" s="10" t="s">
        <v>34</v>
      </c>
      <c r="K79" s="10" t="s">
        <v>34</v>
      </c>
      <c r="L79" s="10">
        <v>0</v>
      </c>
      <c r="M79" s="10">
        <v>34.1</v>
      </c>
      <c r="N79" s="10">
        <v>1400.49</v>
      </c>
      <c r="O79" s="10">
        <v>1.143</v>
      </c>
      <c r="P79" s="10">
        <v>0.84099999999999997</v>
      </c>
      <c r="Q79" s="10">
        <v>36.4</v>
      </c>
      <c r="R79" s="10">
        <v>2.8570000000000002</v>
      </c>
      <c r="S79" s="10" t="s">
        <v>34</v>
      </c>
      <c r="T79" s="10" t="s">
        <v>49</v>
      </c>
      <c r="U79" s="10" t="s">
        <v>362</v>
      </c>
      <c r="V79" s="10" t="s">
        <v>38</v>
      </c>
      <c r="W79" s="10" t="s">
        <v>43</v>
      </c>
      <c r="X79" s="10">
        <v>0.5</v>
      </c>
      <c r="Y79" s="10">
        <v>1</v>
      </c>
      <c r="Z79" s="10" t="s">
        <v>339</v>
      </c>
      <c r="AA79" s="10">
        <v>0.38600000000000001</v>
      </c>
      <c r="AB79" s="10" t="s">
        <v>34</v>
      </c>
      <c r="AC79" s="10" t="s">
        <v>399</v>
      </c>
      <c r="AD79" s="10" t="s">
        <v>277</v>
      </c>
      <c r="AE79" s="10">
        <v>0.86780000000000002</v>
      </c>
      <c r="AF79" s="10" t="s">
        <v>395</v>
      </c>
      <c r="AG79" s="10">
        <v>2024</v>
      </c>
      <c r="AH79" s="10" t="s">
        <v>396</v>
      </c>
      <c r="AI79" s="2">
        <v>50</v>
      </c>
      <c r="AJ79" s="2">
        <v>2</v>
      </c>
      <c r="AK79" s="2" t="s">
        <v>34</v>
      </c>
      <c r="AL79" s="2" t="str">
        <f t="shared" si="2"/>
        <v>Cui et al. (2024)</v>
      </c>
    </row>
    <row r="80" spans="1:38" s="2" customFormat="1" ht="15.6" x14ac:dyDescent="0.3">
      <c r="A80" s="11">
        <v>10.1080026024723</v>
      </c>
      <c r="B80" s="11">
        <v>318.80548829701303</v>
      </c>
      <c r="C80" s="10" t="s">
        <v>34</v>
      </c>
      <c r="D80" s="10" t="s">
        <v>394</v>
      </c>
      <c r="E80" s="10" t="s">
        <v>387</v>
      </c>
      <c r="F80" s="10" t="s">
        <v>34</v>
      </c>
      <c r="G80" s="10" t="s">
        <v>34</v>
      </c>
      <c r="H80" s="10" t="s">
        <v>34</v>
      </c>
      <c r="I80" s="10" t="s">
        <v>34</v>
      </c>
      <c r="J80" s="10" t="s">
        <v>34</v>
      </c>
      <c r="K80" s="10" t="s">
        <v>34</v>
      </c>
      <c r="L80" s="10">
        <v>0</v>
      </c>
      <c r="M80" s="10">
        <v>34.1</v>
      </c>
      <c r="N80" s="10">
        <v>1400.49</v>
      </c>
      <c r="O80" s="10">
        <v>1.143</v>
      </c>
      <c r="P80" s="10">
        <v>0.84099999999999997</v>
      </c>
      <c r="Q80" s="10">
        <v>36.4</v>
      </c>
      <c r="R80" s="10">
        <v>2.8570000000000002</v>
      </c>
      <c r="S80" s="10" t="s">
        <v>34</v>
      </c>
      <c r="T80" s="10" t="s">
        <v>49</v>
      </c>
      <c r="U80" s="10" t="s">
        <v>362</v>
      </c>
      <c r="V80" s="10" t="s">
        <v>38</v>
      </c>
      <c r="W80" s="10" t="s">
        <v>43</v>
      </c>
      <c r="X80" s="10">
        <v>0.5</v>
      </c>
      <c r="Y80" s="10">
        <v>1</v>
      </c>
      <c r="Z80" s="10" t="s">
        <v>339</v>
      </c>
      <c r="AA80" s="10">
        <v>0.38600000000000001</v>
      </c>
      <c r="AB80" s="10" t="s">
        <v>34</v>
      </c>
      <c r="AC80" s="10" t="s">
        <v>399</v>
      </c>
      <c r="AD80" s="10" t="s">
        <v>277</v>
      </c>
      <c r="AE80" s="10">
        <v>0.86780000000000002</v>
      </c>
      <c r="AF80" s="10" t="s">
        <v>395</v>
      </c>
      <c r="AG80" s="10">
        <v>2024</v>
      </c>
      <c r="AH80" s="10" t="s">
        <v>396</v>
      </c>
      <c r="AI80" s="2">
        <v>50</v>
      </c>
      <c r="AJ80" s="2">
        <v>2</v>
      </c>
      <c r="AK80" s="2" t="s">
        <v>34</v>
      </c>
      <c r="AL80" s="2" t="str">
        <f t="shared" si="2"/>
        <v>Cui et al. (2024)</v>
      </c>
    </row>
    <row r="81" spans="1:38" s="2" customFormat="1" ht="15.6" x14ac:dyDescent="0.3">
      <c r="A81" s="11">
        <v>11.929733246584201</v>
      </c>
      <c r="B81" s="11">
        <v>482.64729620661802</v>
      </c>
      <c r="C81" s="10" t="s">
        <v>34</v>
      </c>
      <c r="D81" s="10" t="s">
        <v>394</v>
      </c>
      <c r="E81" s="10" t="s">
        <v>387</v>
      </c>
      <c r="F81" s="10" t="s">
        <v>34</v>
      </c>
      <c r="G81" s="10" t="s">
        <v>34</v>
      </c>
      <c r="H81" s="10" t="s">
        <v>34</v>
      </c>
      <c r="I81" s="10" t="s">
        <v>34</v>
      </c>
      <c r="J81" s="10" t="s">
        <v>34</v>
      </c>
      <c r="K81" s="10" t="s">
        <v>34</v>
      </c>
      <c r="L81" s="10">
        <v>0</v>
      </c>
      <c r="M81" s="10">
        <v>34.1</v>
      </c>
      <c r="N81" s="10">
        <v>1400.49</v>
      </c>
      <c r="O81" s="10">
        <v>1.143</v>
      </c>
      <c r="P81" s="10">
        <v>0.84099999999999997</v>
      </c>
      <c r="Q81" s="10">
        <v>36.4</v>
      </c>
      <c r="R81" s="10">
        <v>2.8570000000000002</v>
      </c>
      <c r="S81" s="10" t="s">
        <v>34</v>
      </c>
      <c r="T81" s="10" t="s">
        <v>49</v>
      </c>
      <c r="U81" s="10" t="s">
        <v>362</v>
      </c>
      <c r="V81" s="10" t="s">
        <v>38</v>
      </c>
      <c r="W81" s="10" t="s">
        <v>43</v>
      </c>
      <c r="X81" s="10">
        <v>0.5</v>
      </c>
      <c r="Y81" s="10">
        <v>1</v>
      </c>
      <c r="Z81" s="10" t="s">
        <v>339</v>
      </c>
      <c r="AA81" s="10">
        <v>0.38600000000000001</v>
      </c>
      <c r="AB81" s="10" t="s">
        <v>34</v>
      </c>
      <c r="AC81" s="10" t="s">
        <v>399</v>
      </c>
      <c r="AD81" s="10" t="s">
        <v>277</v>
      </c>
      <c r="AE81" s="10">
        <v>0.86780000000000002</v>
      </c>
      <c r="AF81" s="10" t="s">
        <v>395</v>
      </c>
      <c r="AG81" s="10">
        <v>2024</v>
      </c>
      <c r="AH81" s="10" t="s">
        <v>396</v>
      </c>
      <c r="AI81" s="2">
        <v>50</v>
      </c>
      <c r="AJ81" s="2">
        <v>2</v>
      </c>
      <c r="AK81" s="2" t="s">
        <v>34</v>
      </c>
      <c r="AL81" s="2" t="str">
        <f t="shared" si="2"/>
        <v>Cui et al. (2024)</v>
      </c>
    </row>
    <row r="82" spans="1:38" s="2" customFormat="1" ht="15.6" x14ac:dyDescent="0.3">
      <c r="A82" s="11">
        <v>12.2836694860117</v>
      </c>
      <c r="B82" s="11">
        <v>728.00645682001596</v>
      </c>
      <c r="C82" s="10" t="s">
        <v>34</v>
      </c>
      <c r="D82" s="10" t="s">
        <v>394</v>
      </c>
      <c r="E82" s="10" t="s">
        <v>387</v>
      </c>
      <c r="F82" s="10" t="s">
        <v>34</v>
      </c>
      <c r="G82" s="10" t="s">
        <v>34</v>
      </c>
      <c r="H82" s="10" t="s">
        <v>34</v>
      </c>
      <c r="I82" s="10" t="s">
        <v>34</v>
      </c>
      <c r="J82" s="10" t="s">
        <v>34</v>
      </c>
      <c r="K82" s="10" t="s">
        <v>34</v>
      </c>
      <c r="L82" s="10">
        <v>0</v>
      </c>
      <c r="M82" s="10">
        <v>34.1</v>
      </c>
      <c r="N82" s="10">
        <v>1400.49</v>
      </c>
      <c r="O82" s="10">
        <v>1.143</v>
      </c>
      <c r="P82" s="10">
        <v>0.84099999999999997</v>
      </c>
      <c r="Q82" s="10">
        <v>36.4</v>
      </c>
      <c r="R82" s="10">
        <v>2.8570000000000002</v>
      </c>
      <c r="S82" s="10" t="s">
        <v>34</v>
      </c>
      <c r="T82" s="10" t="s">
        <v>49</v>
      </c>
      <c r="U82" s="10" t="s">
        <v>362</v>
      </c>
      <c r="V82" s="10" t="s">
        <v>38</v>
      </c>
      <c r="W82" s="10" t="s">
        <v>43</v>
      </c>
      <c r="X82" s="10">
        <v>0.5</v>
      </c>
      <c r="Y82" s="10">
        <v>1</v>
      </c>
      <c r="Z82" s="10" t="s">
        <v>339</v>
      </c>
      <c r="AA82" s="10">
        <v>0.38600000000000001</v>
      </c>
      <c r="AB82" s="10" t="s">
        <v>34</v>
      </c>
      <c r="AC82" s="10" t="s">
        <v>399</v>
      </c>
      <c r="AD82" s="10" t="s">
        <v>277</v>
      </c>
      <c r="AE82" s="10">
        <v>0.86780000000000002</v>
      </c>
      <c r="AF82" s="10" t="s">
        <v>395</v>
      </c>
      <c r="AG82" s="10">
        <v>2024</v>
      </c>
      <c r="AH82" s="10" t="s">
        <v>396</v>
      </c>
      <c r="AI82" s="2">
        <v>50</v>
      </c>
      <c r="AJ82" s="2">
        <v>2</v>
      </c>
      <c r="AK82" s="2" t="s">
        <v>34</v>
      </c>
      <c r="AL82" s="2" t="str">
        <f t="shared" si="2"/>
        <v>Cui et al. (2024)</v>
      </c>
    </row>
    <row r="83" spans="1:38" s="2" customFormat="1" ht="16.2" thickBot="1" x14ac:dyDescent="0.35">
      <c r="A83" s="17">
        <v>11.81522446324</v>
      </c>
      <c r="B83" s="17">
        <v>900.72639225181604</v>
      </c>
      <c r="C83" s="14" t="s">
        <v>34</v>
      </c>
      <c r="D83" s="14" t="s">
        <v>394</v>
      </c>
      <c r="E83" s="14" t="s">
        <v>387</v>
      </c>
      <c r="F83" s="14" t="s">
        <v>34</v>
      </c>
      <c r="G83" s="14" t="s">
        <v>34</v>
      </c>
      <c r="H83" s="14" t="s">
        <v>34</v>
      </c>
      <c r="I83" s="14" t="s">
        <v>34</v>
      </c>
      <c r="J83" s="14" t="s">
        <v>34</v>
      </c>
      <c r="K83" s="14" t="s">
        <v>34</v>
      </c>
      <c r="L83" s="14">
        <v>0</v>
      </c>
      <c r="M83" s="14">
        <v>34.1</v>
      </c>
      <c r="N83" s="14">
        <v>1400.49</v>
      </c>
      <c r="O83" s="14">
        <v>1.143</v>
      </c>
      <c r="P83" s="14">
        <v>0.84099999999999997</v>
      </c>
      <c r="Q83" s="14">
        <v>36.4</v>
      </c>
      <c r="R83" s="14">
        <v>2.8570000000000002</v>
      </c>
      <c r="S83" s="14" t="s">
        <v>34</v>
      </c>
      <c r="T83" s="14" t="s">
        <v>49</v>
      </c>
      <c r="U83" s="14" t="s">
        <v>362</v>
      </c>
      <c r="V83" s="14" t="s">
        <v>38</v>
      </c>
      <c r="W83" s="14" t="s">
        <v>43</v>
      </c>
      <c r="X83" s="14">
        <v>0.5</v>
      </c>
      <c r="Y83" s="14">
        <v>1</v>
      </c>
      <c r="Z83" s="14" t="s">
        <v>339</v>
      </c>
      <c r="AA83" s="14">
        <v>0.38600000000000001</v>
      </c>
      <c r="AB83" s="14" t="s">
        <v>34</v>
      </c>
      <c r="AC83" s="14" t="s">
        <v>399</v>
      </c>
      <c r="AD83" s="14" t="s">
        <v>277</v>
      </c>
      <c r="AE83" s="14">
        <v>0.86780000000000002</v>
      </c>
      <c r="AF83" s="14" t="s">
        <v>395</v>
      </c>
      <c r="AG83" s="14">
        <v>2024</v>
      </c>
      <c r="AH83" s="14" t="s">
        <v>396</v>
      </c>
      <c r="AI83" s="15">
        <v>50</v>
      </c>
      <c r="AJ83" s="15">
        <v>2</v>
      </c>
      <c r="AK83" s="15" t="s">
        <v>34</v>
      </c>
      <c r="AL83" s="2" t="str">
        <f t="shared" si="2"/>
        <v>Cui et al. (2024)</v>
      </c>
    </row>
  </sheetData>
  <dataValidations count="2">
    <dataValidation type="list" allowBlank="1" showInputMessage="1" showErrorMessage="1" sqref="V2:V40" xr:uid="{9E47993D-2FB2-475A-8197-266616196BD7}">
      <formula1>"IMMERSION,PERCOLATION,MIX-COMPACT,INJECTION"</formula1>
    </dataValidation>
    <dataValidation type="list" allowBlank="1" showInputMessage="1" showErrorMessage="1" sqref="U2:U40" xr:uid="{447185D6-C4E8-4F50-A0D0-F63A9FB5F1C3}">
      <formula1>"Augmented, Stimulated, Jack Beans, Soybeans, Commercial, 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35F06-D4E7-4760-B5C6-75B3A8222A93}">
  <dimension ref="A1:AL21"/>
  <sheetViews>
    <sheetView topLeftCell="U13" workbookViewId="0">
      <selection activeCell="Y26" sqref="Y26"/>
    </sheetView>
  </sheetViews>
  <sheetFormatPr defaultRowHeight="14.4" x14ac:dyDescent="0.3"/>
  <cols>
    <col min="2" max="2" width="20" customWidth="1"/>
  </cols>
  <sheetData>
    <row r="1" spans="1:38" s="1" customFormat="1" ht="78" x14ac:dyDescent="0.3">
      <c r="A1" s="16" t="s">
        <v>0</v>
      </c>
      <c r="B1" s="16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416</v>
      </c>
      <c r="O1" s="3" t="s">
        <v>14</v>
      </c>
      <c r="P1" s="3" t="s">
        <v>15</v>
      </c>
      <c r="Q1" s="3" t="s">
        <v>44</v>
      </c>
      <c r="R1" s="3" t="s">
        <v>30</v>
      </c>
      <c r="S1" s="3" t="s">
        <v>417</v>
      </c>
      <c r="T1" s="4" t="s">
        <v>17</v>
      </c>
      <c r="U1" s="4" t="s">
        <v>18</v>
      </c>
      <c r="V1" s="4" t="s">
        <v>19</v>
      </c>
      <c r="W1" s="4" t="s">
        <v>20</v>
      </c>
      <c r="X1" s="5" t="s">
        <v>21</v>
      </c>
      <c r="Y1" s="5" t="s">
        <v>22</v>
      </c>
      <c r="Z1" s="5" t="s">
        <v>23</v>
      </c>
      <c r="AA1" s="5" t="s">
        <v>415</v>
      </c>
      <c r="AB1" s="5" t="s">
        <v>52</v>
      </c>
      <c r="AC1" s="6" t="s">
        <v>26</v>
      </c>
      <c r="AD1" s="7" t="s">
        <v>31</v>
      </c>
      <c r="AE1" s="8" t="s">
        <v>25</v>
      </c>
      <c r="AF1" s="9" t="s">
        <v>27</v>
      </c>
      <c r="AG1" s="9" t="s">
        <v>28</v>
      </c>
      <c r="AH1" s="9" t="s">
        <v>29</v>
      </c>
      <c r="AI1" s="58" t="s">
        <v>376</v>
      </c>
      <c r="AJ1" s="58" t="s">
        <v>377</v>
      </c>
      <c r="AK1" s="58" t="s">
        <v>378</v>
      </c>
      <c r="AL1" s="1" t="s">
        <v>418</v>
      </c>
    </row>
    <row r="2" spans="1:38" s="2" customFormat="1" ht="15.6" x14ac:dyDescent="0.3">
      <c r="A2" s="12">
        <v>7.8082191780821901</v>
      </c>
      <c r="B2" s="12">
        <v>10545.4545454545</v>
      </c>
      <c r="C2" s="13" t="s">
        <v>34</v>
      </c>
      <c r="D2" s="13" t="s">
        <v>174</v>
      </c>
      <c r="E2" s="13" t="s">
        <v>170</v>
      </c>
      <c r="F2" s="13">
        <v>1</v>
      </c>
      <c r="G2" s="13" t="s">
        <v>34</v>
      </c>
      <c r="H2" s="13" t="s">
        <v>34</v>
      </c>
      <c r="I2" s="13" t="s">
        <v>34</v>
      </c>
      <c r="J2" s="13" t="s">
        <v>34</v>
      </c>
      <c r="K2" s="13" t="s">
        <v>34</v>
      </c>
      <c r="L2" s="13" t="s">
        <v>34</v>
      </c>
      <c r="M2" s="13" t="s">
        <v>34</v>
      </c>
      <c r="N2" s="13" t="s">
        <v>34</v>
      </c>
      <c r="O2" s="13" t="s">
        <v>34</v>
      </c>
      <c r="P2" s="13" t="s">
        <v>34</v>
      </c>
      <c r="Q2" s="13">
        <v>0</v>
      </c>
      <c r="R2" s="13" t="s">
        <v>34</v>
      </c>
      <c r="S2" s="13" t="s">
        <v>34</v>
      </c>
      <c r="T2" s="13" t="s">
        <v>49</v>
      </c>
      <c r="U2" s="13" t="s">
        <v>50</v>
      </c>
      <c r="V2" s="13" t="s">
        <v>38</v>
      </c>
      <c r="W2" s="13" t="s">
        <v>34</v>
      </c>
      <c r="X2" s="13">
        <v>0.33</v>
      </c>
      <c r="Y2" s="13">
        <v>1</v>
      </c>
      <c r="Z2" s="13" t="s">
        <v>177</v>
      </c>
      <c r="AA2" s="13" t="s">
        <v>34</v>
      </c>
      <c r="AB2" s="13" t="s">
        <v>34</v>
      </c>
      <c r="AC2" s="13" t="s">
        <v>40</v>
      </c>
      <c r="AD2" s="13" t="s">
        <v>32</v>
      </c>
      <c r="AE2" s="13">
        <v>6.9900000000000004E-2</v>
      </c>
      <c r="AF2" s="13" t="s">
        <v>178</v>
      </c>
      <c r="AG2" s="13">
        <v>2018</v>
      </c>
      <c r="AH2" s="13" t="s">
        <v>179</v>
      </c>
      <c r="AI2" s="2">
        <v>25</v>
      </c>
      <c r="AJ2" s="2">
        <v>2</v>
      </c>
      <c r="AK2" s="2" t="s">
        <v>34</v>
      </c>
      <c r="AL2" s="2" t="s">
        <v>419</v>
      </c>
    </row>
    <row r="3" spans="1:38" s="2" customFormat="1" ht="15.6" x14ac:dyDescent="0.3">
      <c r="A3" s="11">
        <v>11.0326659641728</v>
      </c>
      <c r="B3" s="11">
        <v>10969.696969696899</v>
      </c>
      <c r="C3" s="13" t="s">
        <v>34</v>
      </c>
      <c r="D3" s="10" t="s">
        <v>174</v>
      </c>
      <c r="E3" s="13" t="s">
        <v>170</v>
      </c>
      <c r="F3" s="13">
        <v>1</v>
      </c>
      <c r="G3" s="13" t="s">
        <v>34</v>
      </c>
      <c r="H3" s="13" t="s">
        <v>34</v>
      </c>
      <c r="I3" s="13" t="s">
        <v>34</v>
      </c>
      <c r="J3" s="13" t="s">
        <v>34</v>
      </c>
      <c r="K3" s="13" t="s">
        <v>34</v>
      </c>
      <c r="L3" s="13" t="s">
        <v>34</v>
      </c>
      <c r="M3" s="13" t="s">
        <v>34</v>
      </c>
      <c r="N3" s="13" t="s">
        <v>34</v>
      </c>
      <c r="O3" s="13" t="s">
        <v>34</v>
      </c>
      <c r="P3" s="13" t="s">
        <v>34</v>
      </c>
      <c r="Q3" s="13">
        <v>0</v>
      </c>
      <c r="R3" s="13" t="s">
        <v>34</v>
      </c>
      <c r="S3" s="13" t="s">
        <v>34</v>
      </c>
      <c r="T3" s="13" t="s">
        <v>49</v>
      </c>
      <c r="U3" s="13" t="s">
        <v>50</v>
      </c>
      <c r="V3" s="13" t="s">
        <v>38</v>
      </c>
      <c r="W3" s="13" t="s">
        <v>34</v>
      </c>
      <c r="X3" s="13">
        <v>0.33</v>
      </c>
      <c r="Y3" s="13">
        <v>1</v>
      </c>
      <c r="Z3" s="13" t="s">
        <v>177</v>
      </c>
      <c r="AA3" s="13" t="s">
        <v>34</v>
      </c>
      <c r="AB3" s="13" t="s">
        <v>34</v>
      </c>
      <c r="AC3" s="13" t="s">
        <v>40</v>
      </c>
      <c r="AD3" s="13" t="s">
        <v>32</v>
      </c>
      <c r="AE3" s="13">
        <v>6.9900000000000004E-2</v>
      </c>
      <c r="AF3" s="13" t="s">
        <v>178</v>
      </c>
      <c r="AG3" s="13">
        <v>2018</v>
      </c>
      <c r="AH3" s="13" t="s">
        <v>179</v>
      </c>
      <c r="AI3" s="2">
        <v>25</v>
      </c>
      <c r="AJ3" s="2">
        <v>2</v>
      </c>
      <c r="AK3" s="2" t="s">
        <v>34</v>
      </c>
      <c r="AL3" s="2" t="s">
        <v>419</v>
      </c>
    </row>
    <row r="4" spans="1:38" s="2" customFormat="1" ht="15.6" x14ac:dyDescent="0.3">
      <c r="A4" s="11">
        <v>13.6880927291886</v>
      </c>
      <c r="B4" s="11">
        <v>10545.4545454545</v>
      </c>
      <c r="C4" s="13" t="s">
        <v>34</v>
      </c>
      <c r="D4" s="13" t="s">
        <v>174</v>
      </c>
      <c r="E4" s="13" t="s">
        <v>170</v>
      </c>
      <c r="F4" s="13">
        <v>1</v>
      </c>
      <c r="G4" s="13" t="s">
        <v>34</v>
      </c>
      <c r="H4" s="13" t="s">
        <v>34</v>
      </c>
      <c r="I4" s="13" t="s">
        <v>34</v>
      </c>
      <c r="J4" s="13" t="s">
        <v>34</v>
      </c>
      <c r="K4" s="13" t="s">
        <v>34</v>
      </c>
      <c r="L4" s="13" t="s">
        <v>34</v>
      </c>
      <c r="M4" s="13" t="s">
        <v>34</v>
      </c>
      <c r="N4" s="13" t="s">
        <v>34</v>
      </c>
      <c r="O4" s="13" t="s">
        <v>34</v>
      </c>
      <c r="P4" s="13" t="s">
        <v>34</v>
      </c>
      <c r="Q4" s="13">
        <v>0</v>
      </c>
      <c r="R4" s="13" t="s">
        <v>34</v>
      </c>
      <c r="S4" s="13" t="s">
        <v>34</v>
      </c>
      <c r="T4" s="13" t="s">
        <v>49</v>
      </c>
      <c r="U4" s="13" t="s">
        <v>50</v>
      </c>
      <c r="V4" s="13" t="s">
        <v>38</v>
      </c>
      <c r="W4" s="13" t="s">
        <v>34</v>
      </c>
      <c r="X4" s="13">
        <v>0.33</v>
      </c>
      <c r="Y4" s="13">
        <v>1</v>
      </c>
      <c r="Z4" s="13" t="s">
        <v>177</v>
      </c>
      <c r="AA4" s="13" t="s">
        <v>34</v>
      </c>
      <c r="AB4" s="13" t="s">
        <v>34</v>
      </c>
      <c r="AC4" s="13" t="s">
        <v>40</v>
      </c>
      <c r="AD4" s="13" t="s">
        <v>32</v>
      </c>
      <c r="AE4" s="13">
        <v>6.9900000000000004E-2</v>
      </c>
      <c r="AF4" s="13" t="s">
        <v>178</v>
      </c>
      <c r="AG4" s="13">
        <v>2018</v>
      </c>
      <c r="AH4" s="13" t="s">
        <v>179</v>
      </c>
      <c r="AI4" s="2">
        <v>25</v>
      </c>
      <c r="AJ4" s="2">
        <v>2</v>
      </c>
      <c r="AK4" s="2" t="s">
        <v>34</v>
      </c>
      <c r="AL4" s="2" t="s">
        <v>419</v>
      </c>
    </row>
    <row r="5" spans="1:38" s="2" customFormat="1" ht="15.6" x14ac:dyDescent="0.3">
      <c r="A5" s="11">
        <v>10.686373467916299</v>
      </c>
      <c r="B5" s="11">
        <v>8392.2822053603504</v>
      </c>
      <c r="C5" s="13" t="s">
        <v>34</v>
      </c>
      <c r="D5" s="13" t="s">
        <v>174</v>
      </c>
      <c r="E5" s="13" t="s">
        <v>170</v>
      </c>
      <c r="F5" s="13">
        <v>1</v>
      </c>
      <c r="G5" s="13" t="s">
        <v>34</v>
      </c>
      <c r="H5" s="13" t="s">
        <v>34</v>
      </c>
      <c r="I5" s="13" t="s">
        <v>34</v>
      </c>
      <c r="J5" s="13" t="s">
        <v>34</v>
      </c>
      <c r="K5" s="13" t="s">
        <v>34</v>
      </c>
      <c r="L5" s="13" t="s">
        <v>34</v>
      </c>
      <c r="M5" s="13" t="s">
        <v>34</v>
      </c>
      <c r="N5" s="13" t="s">
        <v>34</v>
      </c>
      <c r="O5" s="13" t="s">
        <v>34</v>
      </c>
      <c r="P5" s="13" t="s">
        <v>34</v>
      </c>
      <c r="Q5" s="13">
        <v>0</v>
      </c>
      <c r="R5" s="13" t="s">
        <v>34</v>
      </c>
      <c r="S5" s="13" t="s">
        <v>34</v>
      </c>
      <c r="T5" s="13" t="s">
        <v>49</v>
      </c>
      <c r="U5" s="13" t="s">
        <v>50</v>
      </c>
      <c r="V5" s="13" t="s">
        <v>38</v>
      </c>
      <c r="W5" s="13" t="s">
        <v>34</v>
      </c>
      <c r="X5" s="13">
        <v>0.33</v>
      </c>
      <c r="Y5" s="13">
        <v>1</v>
      </c>
      <c r="Z5" s="13" t="s">
        <v>177</v>
      </c>
      <c r="AA5" s="13" t="s">
        <v>34</v>
      </c>
      <c r="AB5" s="13" t="s">
        <v>34</v>
      </c>
      <c r="AC5" s="13" t="s">
        <v>40</v>
      </c>
      <c r="AD5" s="13" t="s">
        <v>32</v>
      </c>
      <c r="AE5" s="13">
        <v>6.9900000000000004E-2</v>
      </c>
      <c r="AF5" s="13" t="s">
        <v>178</v>
      </c>
      <c r="AG5" s="13">
        <v>2018</v>
      </c>
      <c r="AH5" s="13" t="s">
        <v>179</v>
      </c>
      <c r="AI5" s="2">
        <v>50</v>
      </c>
      <c r="AJ5" s="2">
        <v>2</v>
      </c>
      <c r="AK5" s="2" t="s">
        <v>34</v>
      </c>
      <c r="AL5" s="2" t="s">
        <v>419</v>
      </c>
    </row>
    <row r="6" spans="1:38" s="2" customFormat="1" ht="15.6" x14ac:dyDescent="0.3">
      <c r="A6" s="11">
        <v>11.370232747305501</v>
      </c>
      <c r="B6" s="11">
        <v>7798.8218173226096</v>
      </c>
      <c r="C6" s="13" t="s">
        <v>34</v>
      </c>
      <c r="D6" s="13" t="s">
        <v>174</v>
      </c>
      <c r="E6" s="13" t="s">
        <v>170</v>
      </c>
      <c r="F6" s="13">
        <v>1</v>
      </c>
      <c r="G6" s="13" t="s">
        <v>34</v>
      </c>
      <c r="H6" s="13" t="s">
        <v>34</v>
      </c>
      <c r="I6" s="13" t="s">
        <v>34</v>
      </c>
      <c r="J6" s="13" t="s">
        <v>34</v>
      </c>
      <c r="K6" s="13" t="s">
        <v>34</v>
      </c>
      <c r="L6" s="13" t="s">
        <v>34</v>
      </c>
      <c r="M6" s="13" t="s">
        <v>34</v>
      </c>
      <c r="N6" s="13" t="s">
        <v>34</v>
      </c>
      <c r="O6" s="13" t="s">
        <v>34</v>
      </c>
      <c r="P6" s="13" t="s">
        <v>34</v>
      </c>
      <c r="Q6" s="13">
        <v>0</v>
      </c>
      <c r="R6" s="13" t="s">
        <v>34</v>
      </c>
      <c r="S6" s="13" t="s">
        <v>34</v>
      </c>
      <c r="T6" s="13" t="s">
        <v>49</v>
      </c>
      <c r="U6" s="13" t="s">
        <v>50</v>
      </c>
      <c r="V6" s="13" t="s">
        <v>38</v>
      </c>
      <c r="W6" s="13" t="s">
        <v>34</v>
      </c>
      <c r="X6" s="13">
        <v>0.33</v>
      </c>
      <c r="Y6" s="13">
        <v>1</v>
      </c>
      <c r="Z6" s="13" t="s">
        <v>177</v>
      </c>
      <c r="AA6" s="13" t="s">
        <v>34</v>
      </c>
      <c r="AB6" s="13" t="s">
        <v>34</v>
      </c>
      <c r="AC6" s="13" t="s">
        <v>40</v>
      </c>
      <c r="AD6" s="13" t="s">
        <v>32</v>
      </c>
      <c r="AE6" s="13">
        <v>6.9900000000000004E-2</v>
      </c>
      <c r="AF6" s="13" t="s">
        <v>178</v>
      </c>
      <c r="AG6" s="13">
        <v>2018</v>
      </c>
      <c r="AH6" s="13" t="s">
        <v>179</v>
      </c>
      <c r="AI6" s="2">
        <v>50</v>
      </c>
      <c r="AJ6" s="2">
        <v>2</v>
      </c>
      <c r="AK6" s="2" t="s">
        <v>34</v>
      </c>
      <c r="AL6" s="2" t="s">
        <v>419</v>
      </c>
    </row>
    <row r="7" spans="1:38" s="2" customFormat="1" ht="15.6" x14ac:dyDescent="0.3">
      <c r="A7" s="11">
        <v>6.5437302423603798</v>
      </c>
      <c r="B7" s="11">
        <v>9979.7979797979788</v>
      </c>
      <c r="C7" s="13" t="s">
        <v>34</v>
      </c>
      <c r="D7" s="13" t="s">
        <v>174</v>
      </c>
      <c r="E7" s="13" t="s">
        <v>170</v>
      </c>
      <c r="F7" s="13">
        <v>1</v>
      </c>
      <c r="G7" s="13" t="s">
        <v>34</v>
      </c>
      <c r="H7" s="13" t="s">
        <v>34</v>
      </c>
      <c r="I7" s="13" t="s">
        <v>34</v>
      </c>
      <c r="J7" s="13" t="s">
        <v>34</v>
      </c>
      <c r="K7" s="13" t="s">
        <v>34</v>
      </c>
      <c r="L7" s="13" t="s">
        <v>34</v>
      </c>
      <c r="M7" s="13" t="s">
        <v>34</v>
      </c>
      <c r="N7" s="13" t="s">
        <v>34</v>
      </c>
      <c r="O7" s="13" t="s">
        <v>34</v>
      </c>
      <c r="P7" s="13" t="s">
        <v>34</v>
      </c>
      <c r="Q7" s="13">
        <v>0</v>
      </c>
      <c r="R7" s="13" t="s">
        <v>34</v>
      </c>
      <c r="S7" s="13" t="s">
        <v>34</v>
      </c>
      <c r="T7" s="10" t="s">
        <v>180</v>
      </c>
      <c r="U7" s="10" t="s">
        <v>37</v>
      </c>
      <c r="V7" s="13" t="s">
        <v>38</v>
      </c>
      <c r="W7" s="13" t="s">
        <v>34</v>
      </c>
      <c r="X7" s="13">
        <v>0.33</v>
      </c>
      <c r="Y7" s="13">
        <v>1</v>
      </c>
      <c r="Z7" s="10" t="s">
        <v>181</v>
      </c>
      <c r="AA7" s="13" t="s">
        <v>34</v>
      </c>
      <c r="AB7" s="13" t="s">
        <v>34</v>
      </c>
      <c r="AC7" s="10" t="s">
        <v>182</v>
      </c>
      <c r="AD7" s="13" t="s">
        <v>32</v>
      </c>
      <c r="AE7" s="13">
        <v>6.9900000000000004E-2</v>
      </c>
      <c r="AF7" s="13" t="s">
        <v>178</v>
      </c>
      <c r="AG7" s="13">
        <v>2018</v>
      </c>
      <c r="AH7" s="13" t="s">
        <v>179</v>
      </c>
      <c r="AI7" s="2">
        <v>50</v>
      </c>
      <c r="AJ7" s="2">
        <v>2</v>
      </c>
      <c r="AK7" s="2" t="s">
        <v>34</v>
      </c>
      <c r="AL7" s="2" t="s">
        <v>419</v>
      </c>
    </row>
    <row r="8" spans="1:38" s="2" customFormat="1" ht="15.6" x14ac:dyDescent="0.3">
      <c r="A8" s="11">
        <v>6.2908324552160098</v>
      </c>
      <c r="B8" s="11">
        <v>9595.9595959595899</v>
      </c>
      <c r="C8" s="13" t="s">
        <v>34</v>
      </c>
      <c r="D8" s="13" t="s">
        <v>174</v>
      </c>
      <c r="E8" s="13" t="s">
        <v>170</v>
      </c>
      <c r="F8" s="13">
        <v>1</v>
      </c>
      <c r="G8" s="13" t="s">
        <v>34</v>
      </c>
      <c r="H8" s="13" t="s">
        <v>34</v>
      </c>
      <c r="I8" s="13" t="s">
        <v>34</v>
      </c>
      <c r="J8" s="13" t="s">
        <v>34</v>
      </c>
      <c r="K8" s="13" t="s">
        <v>34</v>
      </c>
      <c r="L8" s="13" t="s">
        <v>34</v>
      </c>
      <c r="M8" s="13" t="s">
        <v>34</v>
      </c>
      <c r="N8" s="13" t="s">
        <v>34</v>
      </c>
      <c r="O8" s="13" t="s">
        <v>34</v>
      </c>
      <c r="P8" s="13" t="s">
        <v>34</v>
      </c>
      <c r="Q8" s="13">
        <v>0</v>
      </c>
      <c r="R8" s="13" t="s">
        <v>34</v>
      </c>
      <c r="S8" s="13" t="s">
        <v>34</v>
      </c>
      <c r="T8" s="10" t="s">
        <v>180</v>
      </c>
      <c r="U8" s="10" t="s">
        <v>37</v>
      </c>
      <c r="V8" s="13" t="s">
        <v>38</v>
      </c>
      <c r="W8" s="13" t="s">
        <v>34</v>
      </c>
      <c r="X8" s="13">
        <v>0.33</v>
      </c>
      <c r="Y8" s="13">
        <v>1</v>
      </c>
      <c r="Z8" s="10" t="s">
        <v>181</v>
      </c>
      <c r="AA8" s="13" t="s">
        <v>34</v>
      </c>
      <c r="AB8" s="13" t="s">
        <v>34</v>
      </c>
      <c r="AC8" s="10" t="s">
        <v>182</v>
      </c>
      <c r="AD8" s="13" t="s">
        <v>32</v>
      </c>
      <c r="AE8" s="13">
        <v>6.9900000000000004E-2</v>
      </c>
      <c r="AF8" s="13" t="s">
        <v>178</v>
      </c>
      <c r="AG8" s="13">
        <v>2018</v>
      </c>
      <c r="AH8" s="13" t="s">
        <v>179</v>
      </c>
      <c r="AI8" s="2">
        <v>50</v>
      </c>
      <c r="AJ8" s="2">
        <v>2</v>
      </c>
      <c r="AK8" s="2" t="s">
        <v>34</v>
      </c>
      <c r="AL8" s="2" t="s">
        <v>419</v>
      </c>
    </row>
    <row r="9" spans="1:38" s="2" customFormat="1" ht="15.6" x14ac:dyDescent="0.3">
      <c r="A9" s="11">
        <v>6.2908324552160098</v>
      </c>
      <c r="B9" s="11">
        <v>9111.1111111111113</v>
      </c>
      <c r="C9" s="13" t="s">
        <v>34</v>
      </c>
      <c r="D9" s="13" t="s">
        <v>174</v>
      </c>
      <c r="E9" s="13" t="s">
        <v>170</v>
      </c>
      <c r="F9" s="13">
        <v>1</v>
      </c>
      <c r="G9" s="13" t="s">
        <v>34</v>
      </c>
      <c r="H9" s="13" t="s">
        <v>34</v>
      </c>
      <c r="I9" s="13" t="s">
        <v>34</v>
      </c>
      <c r="J9" s="13" t="s">
        <v>34</v>
      </c>
      <c r="K9" s="13" t="s">
        <v>34</v>
      </c>
      <c r="L9" s="13" t="s">
        <v>34</v>
      </c>
      <c r="M9" s="13" t="s">
        <v>34</v>
      </c>
      <c r="N9" s="13" t="s">
        <v>34</v>
      </c>
      <c r="O9" s="13" t="s">
        <v>34</v>
      </c>
      <c r="P9" s="13" t="s">
        <v>34</v>
      </c>
      <c r="Q9" s="13">
        <v>0</v>
      </c>
      <c r="R9" s="13" t="s">
        <v>34</v>
      </c>
      <c r="S9" s="13" t="s">
        <v>34</v>
      </c>
      <c r="T9" s="10" t="s">
        <v>180</v>
      </c>
      <c r="U9" s="10" t="s">
        <v>37</v>
      </c>
      <c r="V9" s="13" t="s">
        <v>38</v>
      </c>
      <c r="W9" s="13" t="s">
        <v>34</v>
      </c>
      <c r="X9" s="13">
        <v>0.33</v>
      </c>
      <c r="Y9" s="13">
        <v>1</v>
      </c>
      <c r="Z9" s="10" t="s">
        <v>181</v>
      </c>
      <c r="AA9" s="13" t="s">
        <v>34</v>
      </c>
      <c r="AB9" s="13" t="s">
        <v>34</v>
      </c>
      <c r="AC9" s="10" t="s">
        <v>182</v>
      </c>
      <c r="AD9" s="13" t="s">
        <v>32</v>
      </c>
      <c r="AE9" s="13">
        <v>6.9900000000000004E-2</v>
      </c>
      <c r="AF9" s="13" t="s">
        <v>178</v>
      </c>
      <c r="AG9" s="13">
        <v>2018</v>
      </c>
      <c r="AH9" s="13" t="s">
        <v>179</v>
      </c>
      <c r="AI9" s="2">
        <v>50</v>
      </c>
      <c r="AJ9" s="2">
        <v>2</v>
      </c>
      <c r="AK9" s="2" t="s">
        <v>34</v>
      </c>
      <c r="AL9" s="2" t="s">
        <v>419</v>
      </c>
    </row>
    <row r="10" spans="1:38" s="2" customFormat="1" ht="15.6" x14ac:dyDescent="0.3">
      <c r="A10" s="11">
        <v>10.6533192834562</v>
      </c>
      <c r="B10" s="11">
        <v>10121.2121212121</v>
      </c>
      <c r="C10" s="13" t="s">
        <v>34</v>
      </c>
      <c r="D10" s="13" t="s">
        <v>174</v>
      </c>
      <c r="E10" s="13" t="s">
        <v>170</v>
      </c>
      <c r="F10" s="13">
        <v>1</v>
      </c>
      <c r="G10" s="13" t="s">
        <v>34</v>
      </c>
      <c r="H10" s="13" t="s">
        <v>34</v>
      </c>
      <c r="I10" s="13" t="s">
        <v>34</v>
      </c>
      <c r="J10" s="13" t="s">
        <v>34</v>
      </c>
      <c r="K10" s="13" t="s">
        <v>34</v>
      </c>
      <c r="L10" s="13" t="s">
        <v>34</v>
      </c>
      <c r="M10" s="13" t="s">
        <v>34</v>
      </c>
      <c r="N10" s="13" t="s">
        <v>34</v>
      </c>
      <c r="O10" s="13" t="s">
        <v>34</v>
      </c>
      <c r="P10" s="13" t="s">
        <v>34</v>
      </c>
      <c r="Q10" s="13">
        <v>0</v>
      </c>
      <c r="R10" s="13" t="s">
        <v>34</v>
      </c>
      <c r="S10" s="13" t="s">
        <v>34</v>
      </c>
      <c r="T10" s="10" t="s">
        <v>36</v>
      </c>
      <c r="U10" s="10" t="s">
        <v>37</v>
      </c>
      <c r="V10" s="13" t="s">
        <v>38</v>
      </c>
      <c r="W10" s="10" t="s">
        <v>34</v>
      </c>
      <c r="X10" s="13">
        <v>0.33</v>
      </c>
      <c r="Y10" s="13">
        <v>1</v>
      </c>
      <c r="Z10" s="13" t="s">
        <v>39</v>
      </c>
      <c r="AA10" s="13" t="s">
        <v>34</v>
      </c>
      <c r="AB10" s="13" t="s">
        <v>34</v>
      </c>
      <c r="AC10" s="13" t="s">
        <v>40</v>
      </c>
      <c r="AD10" s="13" t="s">
        <v>32</v>
      </c>
      <c r="AE10" s="13">
        <v>6.9900000000000004E-2</v>
      </c>
      <c r="AF10" s="13" t="s">
        <v>178</v>
      </c>
      <c r="AG10" s="13">
        <v>2018</v>
      </c>
      <c r="AH10" s="13" t="s">
        <v>179</v>
      </c>
      <c r="AI10" s="2">
        <v>50</v>
      </c>
      <c r="AJ10" s="2">
        <v>2</v>
      </c>
      <c r="AK10" s="2" t="s">
        <v>34</v>
      </c>
      <c r="AL10" s="2" t="s">
        <v>419</v>
      </c>
    </row>
    <row r="11" spans="1:38" s="2" customFormat="1" ht="15.6" x14ac:dyDescent="0.3">
      <c r="A11" s="11">
        <v>11.4436248682824</v>
      </c>
      <c r="B11" s="11">
        <v>10424.2424242424</v>
      </c>
      <c r="C11" s="13" t="s">
        <v>34</v>
      </c>
      <c r="D11" s="13" t="s">
        <v>174</v>
      </c>
      <c r="E11" s="13" t="s">
        <v>170</v>
      </c>
      <c r="F11" s="13">
        <v>1</v>
      </c>
      <c r="G11" s="13" t="s">
        <v>34</v>
      </c>
      <c r="H11" s="13" t="s">
        <v>34</v>
      </c>
      <c r="I11" s="13" t="s">
        <v>34</v>
      </c>
      <c r="J11" s="13" t="s">
        <v>34</v>
      </c>
      <c r="K11" s="13" t="s">
        <v>34</v>
      </c>
      <c r="L11" s="13" t="s">
        <v>34</v>
      </c>
      <c r="M11" s="13" t="s">
        <v>34</v>
      </c>
      <c r="N11" s="13" t="s">
        <v>34</v>
      </c>
      <c r="O11" s="13" t="s">
        <v>34</v>
      </c>
      <c r="P11" s="13" t="s">
        <v>34</v>
      </c>
      <c r="Q11" s="13">
        <v>0</v>
      </c>
      <c r="R11" s="13" t="s">
        <v>34</v>
      </c>
      <c r="S11" s="13" t="s">
        <v>34</v>
      </c>
      <c r="T11" s="10" t="s">
        <v>36</v>
      </c>
      <c r="U11" s="10" t="s">
        <v>37</v>
      </c>
      <c r="V11" s="13" t="s">
        <v>38</v>
      </c>
      <c r="W11" s="10" t="s">
        <v>34</v>
      </c>
      <c r="X11" s="13">
        <v>0.33</v>
      </c>
      <c r="Y11" s="13">
        <v>1</v>
      </c>
      <c r="Z11" s="13" t="s">
        <v>39</v>
      </c>
      <c r="AA11" s="13" t="s">
        <v>34</v>
      </c>
      <c r="AB11" s="13" t="s">
        <v>34</v>
      </c>
      <c r="AC11" s="13" t="s">
        <v>40</v>
      </c>
      <c r="AD11" s="13" t="s">
        <v>32</v>
      </c>
      <c r="AE11" s="13">
        <v>6.9900000000000004E-2</v>
      </c>
      <c r="AF11" s="13" t="s">
        <v>178</v>
      </c>
      <c r="AG11" s="13">
        <v>2018</v>
      </c>
      <c r="AH11" s="13" t="s">
        <v>179</v>
      </c>
      <c r="AI11" s="2">
        <v>50</v>
      </c>
      <c r="AJ11" s="2">
        <v>2</v>
      </c>
      <c r="AK11" s="2" t="s">
        <v>34</v>
      </c>
      <c r="AL11" s="2" t="s">
        <v>419</v>
      </c>
    </row>
    <row r="12" spans="1:38" s="2" customFormat="1" ht="15.6" x14ac:dyDescent="0.3">
      <c r="A12" s="11">
        <v>14.3835616438356</v>
      </c>
      <c r="B12" s="11">
        <v>10484.848484848399</v>
      </c>
      <c r="C12" s="13" t="s">
        <v>34</v>
      </c>
      <c r="D12" s="13" t="s">
        <v>174</v>
      </c>
      <c r="E12" s="13" t="s">
        <v>170</v>
      </c>
      <c r="F12" s="13">
        <v>1</v>
      </c>
      <c r="G12" s="13" t="s">
        <v>34</v>
      </c>
      <c r="H12" s="13" t="s">
        <v>34</v>
      </c>
      <c r="I12" s="13" t="s">
        <v>34</v>
      </c>
      <c r="J12" s="13" t="s">
        <v>34</v>
      </c>
      <c r="K12" s="13" t="s">
        <v>34</v>
      </c>
      <c r="L12" s="13" t="s">
        <v>34</v>
      </c>
      <c r="M12" s="13" t="s">
        <v>34</v>
      </c>
      <c r="N12" s="13" t="s">
        <v>34</v>
      </c>
      <c r="O12" s="13" t="s">
        <v>34</v>
      </c>
      <c r="P12" s="13" t="s">
        <v>34</v>
      </c>
      <c r="Q12" s="13">
        <v>0</v>
      </c>
      <c r="R12" s="13" t="s">
        <v>34</v>
      </c>
      <c r="S12" s="13" t="s">
        <v>34</v>
      </c>
      <c r="T12" s="10" t="s">
        <v>36</v>
      </c>
      <c r="U12" s="10" t="s">
        <v>37</v>
      </c>
      <c r="V12" s="13" t="s">
        <v>38</v>
      </c>
      <c r="W12" s="10" t="s">
        <v>34</v>
      </c>
      <c r="X12" s="13">
        <v>0.33</v>
      </c>
      <c r="Y12" s="13">
        <v>1</v>
      </c>
      <c r="Z12" s="13" t="s">
        <v>39</v>
      </c>
      <c r="AA12" s="13" t="s">
        <v>34</v>
      </c>
      <c r="AB12" s="13" t="s">
        <v>34</v>
      </c>
      <c r="AC12" s="13" t="s">
        <v>40</v>
      </c>
      <c r="AD12" s="13" t="s">
        <v>32</v>
      </c>
      <c r="AE12" s="13">
        <v>6.9900000000000004E-2</v>
      </c>
      <c r="AF12" s="13" t="s">
        <v>178</v>
      </c>
      <c r="AG12" s="13">
        <v>2018</v>
      </c>
      <c r="AH12" s="13" t="s">
        <v>179</v>
      </c>
      <c r="AI12" s="2">
        <v>50</v>
      </c>
      <c r="AJ12" s="2">
        <v>2</v>
      </c>
      <c r="AK12" s="2" t="s">
        <v>34</v>
      </c>
      <c r="AL12" s="2" t="s">
        <v>419</v>
      </c>
    </row>
    <row r="13" spans="1:38" s="2" customFormat="1" ht="15.6" x14ac:dyDescent="0.3">
      <c r="A13" s="11">
        <v>5.9430979978925196</v>
      </c>
      <c r="B13" s="11">
        <v>10161.616161616101</v>
      </c>
      <c r="C13" s="13" t="s">
        <v>34</v>
      </c>
      <c r="D13" s="13" t="s">
        <v>174</v>
      </c>
      <c r="E13" s="13" t="s">
        <v>170</v>
      </c>
      <c r="F13" s="13">
        <v>1</v>
      </c>
      <c r="G13" s="13" t="s">
        <v>34</v>
      </c>
      <c r="H13" s="13" t="s">
        <v>34</v>
      </c>
      <c r="I13" s="13" t="s">
        <v>34</v>
      </c>
      <c r="J13" s="13" t="s">
        <v>34</v>
      </c>
      <c r="K13" s="13" t="s">
        <v>34</v>
      </c>
      <c r="L13" s="13" t="s">
        <v>34</v>
      </c>
      <c r="M13" s="13" t="s">
        <v>34</v>
      </c>
      <c r="N13" s="13" t="s">
        <v>34</v>
      </c>
      <c r="O13" s="13" t="s">
        <v>34</v>
      </c>
      <c r="P13" s="13" t="s">
        <v>34</v>
      </c>
      <c r="Q13" s="13">
        <v>0</v>
      </c>
      <c r="R13" s="13" t="s">
        <v>34</v>
      </c>
      <c r="S13" s="13" t="s">
        <v>34</v>
      </c>
      <c r="T13" s="10" t="s">
        <v>36</v>
      </c>
      <c r="U13" s="10" t="s">
        <v>37</v>
      </c>
      <c r="V13" s="13" t="s">
        <v>38</v>
      </c>
      <c r="W13" s="10" t="s">
        <v>34</v>
      </c>
      <c r="X13" s="13">
        <v>0.33</v>
      </c>
      <c r="Y13" s="13">
        <v>1</v>
      </c>
      <c r="Z13" s="13" t="s">
        <v>39</v>
      </c>
      <c r="AA13" s="13" t="s">
        <v>34</v>
      </c>
      <c r="AB13" s="13" t="s">
        <v>34</v>
      </c>
      <c r="AC13" s="13" t="s">
        <v>40</v>
      </c>
      <c r="AD13" s="13" t="s">
        <v>32</v>
      </c>
      <c r="AE13" s="13">
        <v>6.9900000000000004E-2</v>
      </c>
      <c r="AF13" s="13" t="s">
        <v>178</v>
      </c>
      <c r="AG13" s="13">
        <v>2018</v>
      </c>
      <c r="AH13" s="13" t="s">
        <v>179</v>
      </c>
      <c r="AI13" s="2">
        <v>50</v>
      </c>
      <c r="AJ13" s="2">
        <v>2</v>
      </c>
      <c r="AK13" s="2" t="s">
        <v>34</v>
      </c>
      <c r="AL13" s="2" t="s">
        <v>419</v>
      </c>
    </row>
    <row r="14" spans="1:38" s="2" customFormat="1" ht="15.6" x14ac:dyDescent="0.3">
      <c r="A14" s="11">
        <v>6.13277133825079</v>
      </c>
      <c r="B14" s="11">
        <v>9333.3333333333303</v>
      </c>
      <c r="C14" s="13" t="s">
        <v>34</v>
      </c>
      <c r="D14" s="13" t="s">
        <v>174</v>
      </c>
      <c r="E14" s="13" t="s">
        <v>170</v>
      </c>
      <c r="F14" s="13">
        <v>1</v>
      </c>
      <c r="G14" s="13" t="s">
        <v>34</v>
      </c>
      <c r="H14" s="13" t="s">
        <v>34</v>
      </c>
      <c r="I14" s="13" t="s">
        <v>34</v>
      </c>
      <c r="J14" s="13" t="s">
        <v>34</v>
      </c>
      <c r="K14" s="13" t="s">
        <v>34</v>
      </c>
      <c r="L14" s="13" t="s">
        <v>34</v>
      </c>
      <c r="M14" s="13" t="s">
        <v>34</v>
      </c>
      <c r="N14" s="13" t="s">
        <v>34</v>
      </c>
      <c r="O14" s="13" t="s">
        <v>34</v>
      </c>
      <c r="P14" s="13" t="s">
        <v>34</v>
      </c>
      <c r="Q14" s="13">
        <v>0</v>
      </c>
      <c r="R14" s="13" t="s">
        <v>34</v>
      </c>
      <c r="S14" s="13" t="s">
        <v>34</v>
      </c>
      <c r="T14" s="10" t="s">
        <v>36</v>
      </c>
      <c r="U14" s="10" t="s">
        <v>37</v>
      </c>
      <c r="V14" s="13" t="s">
        <v>38</v>
      </c>
      <c r="W14" s="10" t="s">
        <v>34</v>
      </c>
      <c r="X14" s="13">
        <v>0.33</v>
      </c>
      <c r="Y14" s="13">
        <v>1</v>
      </c>
      <c r="Z14" s="13" t="s">
        <v>39</v>
      </c>
      <c r="AA14" s="13" t="s">
        <v>34</v>
      </c>
      <c r="AB14" s="13" t="s">
        <v>34</v>
      </c>
      <c r="AC14" s="13" t="s">
        <v>40</v>
      </c>
      <c r="AD14" s="13" t="s">
        <v>32</v>
      </c>
      <c r="AE14" s="13">
        <v>6.9900000000000004E-2</v>
      </c>
      <c r="AF14" s="13" t="s">
        <v>178</v>
      </c>
      <c r="AG14" s="13">
        <v>2018</v>
      </c>
      <c r="AH14" s="13" t="s">
        <v>179</v>
      </c>
      <c r="AI14" s="2">
        <v>50</v>
      </c>
      <c r="AJ14" s="2">
        <v>2</v>
      </c>
      <c r="AK14" s="2" t="s">
        <v>34</v>
      </c>
      <c r="AL14" s="2" t="s">
        <v>419</v>
      </c>
    </row>
    <row r="15" spans="1:38" s="2" customFormat="1" ht="15.6" x14ac:dyDescent="0.3">
      <c r="A15" s="11">
        <v>7.3340358271865096</v>
      </c>
      <c r="B15" s="11">
        <v>8424.2424242424204</v>
      </c>
      <c r="C15" s="13" t="s">
        <v>34</v>
      </c>
      <c r="D15" s="13" t="s">
        <v>174</v>
      </c>
      <c r="E15" s="13" t="s">
        <v>170</v>
      </c>
      <c r="F15" s="13">
        <v>1</v>
      </c>
      <c r="G15" s="13" t="s">
        <v>34</v>
      </c>
      <c r="H15" s="13" t="s">
        <v>34</v>
      </c>
      <c r="I15" s="13" t="s">
        <v>34</v>
      </c>
      <c r="J15" s="13" t="s">
        <v>34</v>
      </c>
      <c r="K15" s="13" t="s">
        <v>34</v>
      </c>
      <c r="L15" s="13" t="s">
        <v>34</v>
      </c>
      <c r="M15" s="13" t="s">
        <v>34</v>
      </c>
      <c r="N15" s="13" t="s">
        <v>34</v>
      </c>
      <c r="O15" s="13" t="s">
        <v>34</v>
      </c>
      <c r="P15" s="13" t="s">
        <v>34</v>
      </c>
      <c r="Q15" s="13">
        <v>0</v>
      </c>
      <c r="R15" s="13" t="s">
        <v>34</v>
      </c>
      <c r="S15" s="13" t="s">
        <v>34</v>
      </c>
      <c r="T15" s="10" t="s">
        <v>36</v>
      </c>
      <c r="U15" s="10" t="s">
        <v>37</v>
      </c>
      <c r="V15" s="13" t="s">
        <v>38</v>
      </c>
      <c r="W15" s="10" t="s">
        <v>34</v>
      </c>
      <c r="X15" s="13">
        <v>0.33</v>
      </c>
      <c r="Y15" s="13">
        <v>1</v>
      </c>
      <c r="Z15" s="13" t="s">
        <v>39</v>
      </c>
      <c r="AA15" s="13" t="s">
        <v>34</v>
      </c>
      <c r="AB15" s="13" t="s">
        <v>34</v>
      </c>
      <c r="AC15" s="13" t="s">
        <v>40</v>
      </c>
      <c r="AD15" s="13" t="s">
        <v>32</v>
      </c>
      <c r="AE15" s="13">
        <v>6.9900000000000004E-2</v>
      </c>
      <c r="AF15" s="13" t="s">
        <v>178</v>
      </c>
      <c r="AG15" s="13">
        <v>2018</v>
      </c>
      <c r="AH15" s="13" t="s">
        <v>179</v>
      </c>
      <c r="AI15" s="2">
        <v>50</v>
      </c>
      <c r="AJ15" s="2">
        <v>2</v>
      </c>
      <c r="AK15" s="2" t="s">
        <v>34</v>
      </c>
      <c r="AL15" s="2" t="s">
        <v>419</v>
      </c>
    </row>
    <row r="16" spans="1:38" s="2" customFormat="1" ht="15.6" x14ac:dyDescent="0.3">
      <c r="A16" s="11">
        <v>6.8598524762908299</v>
      </c>
      <c r="B16" s="11">
        <v>9959.5959595959594</v>
      </c>
      <c r="C16" s="13" t="s">
        <v>34</v>
      </c>
      <c r="D16" s="13" t="s">
        <v>174</v>
      </c>
      <c r="E16" s="13" t="s">
        <v>170</v>
      </c>
      <c r="F16" s="13">
        <v>1</v>
      </c>
      <c r="G16" s="13" t="s">
        <v>34</v>
      </c>
      <c r="H16" s="13" t="s">
        <v>34</v>
      </c>
      <c r="I16" s="13" t="s">
        <v>34</v>
      </c>
      <c r="J16" s="13" t="s">
        <v>34</v>
      </c>
      <c r="K16" s="13" t="s">
        <v>34</v>
      </c>
      <c r="L16" s="13" t="s">
        <v>34</v>
      </c>
      <c r="M16" s="13" t="s">
        <v>34</v>
      </c>
      <c r="N16" s="13" t="s">
        <v>34</v>
      </c>
      <c r="O16" s="13" t="s">
        <v>34</v>
      </c>
      <c r="P16" s="13" t="s">
        <v>34</v>
      </c>
      <c r="Q16" s="13">
        <v>0</v>
      </c>
      <c r="R16" s="13" t="s">
        <v>34</v>
      </c>
      <c r="S16" s="13" t="s">
        <v>34</v>
      </c>
      <c r="T16" s="10" t="s">
        <v>183</v>
      </c>
      <c r="U16" s="10" t="s">
        <v>50</v>
      </c>
      <c r="V16" s="10" t="s">
        <v>38</v>
      </c>
      <c r="W16" s="10" t="s">
        <v>34</v>
      </c>
      <c r="X16" s="13">
        <v>0.33</v>
      </c>
      <c r="Y16" s="13">
        <v>1</v>
      </c>
      <c r="Z16" s="10" t="s">
        <v>177</v>
      </c>
      <c r="AA16" s="10" t="s">
        <v>34</v>
      </c>
      <c r="AB16" s="13" t="s">
        <v>34</v>
      </c>
      <c r="AC16" s="10" t="s">
        <v>184</v>
      </c>
      <c r="AD16" s="13" t="s">
        <v>32</v>
      </c>
      <c r="AE16" s="13">
        <v>6.9900000000000004E-2</v>
      </c>
      <c r="AF16" s="13" t="s">
        <v>178</v>
      </c>
      <c r="AG16" s="13">
        <v>2018</v>
      </c>
      <c r="AH16" s="13" t="s">
        <v>179</v>
      </c>
      <c r="AI16" s="2">
        <v>50</v>
      </c>
      <c r="AJ16" s="2">
        <v>2</v>
      </c>
      <c r="AK16" s="2" t="s">
        <v>34</v>
      </c>
      <c r="AL16" s="2" t="s">
        <v>419</v>
      </c>
    </row>
    <row r="17" spans="1:38" s="2" customFormat="1" ht="15.6" x14ac:dyDescent="0.3">
      <c r="A17" s="11">
        <v>6.3540569020020996</v>
      </c>
      <c r="B17" s="11">
        <v>8949.4949494949506</v>
      </c>
      <c r="C17" s="13" t="s">
        <v>34</v>
      </c>
      <c r="D17" s="13" t="s">
        <v>174</v>
      </c>
      <c r="E17" s="13" t="s">
        <v>170</v>
      </c>
      <c r="F17" s="13">
        <v>1</v>
      </c>
      <c r="G17" s="13" t="s">
        <v>34</v>
      </c>
      <c r="H17" s="13" t="s">
        <v>34</v>
      </c>
      <c r="I17" s="13" t="s">
        <v>34</v>
      </c>
      <c r="J17" s="13" t="s">
        <v>34</v>
      </c>
      <c r="K17" s="13" t="s">
        <v>34</v>
      </c>
      <c r="L17" s="13" t="s">
        <v>34</v>
      </c>
      <c r="M17" s="13" t="s">
        <v>34</v>
      </c>
      <c r="N17" s="13" t="s">
        <v>34</v>
      </c>
      <c r="O17" s="13" t="s">
        <v>34</v>
      </c>
      <c r="P17" s="13" t="s">
        <v>34</v>
      </c>
      <c r="Q17" s="13">
        <v>0</v>
      </c>
      <c r="R17" s="13" t="s">
        <v>34</v>
      </c>
      <c r="S17" s="13" t="s">
        <v>34</v>
      </c>
      <c r="T17" s="10" t="s">
        <v>183</v>
      </c>
      <c r="U17" s="10" t="s">
        <v>50</v>
      </c>
      <c r="V17" s="10" t="s">
        <v>38</v>
      </c>
      <c r="W17" s="10" t="s">
        <v>34</v>
      </c>
      <c r="X17" s="13">
        <v>0.33</v>
      </c>
      <c r="Y17" s="13">
        <v>1</v>
      </c>
      <c r="Z17" s="10" t="s">
        <v>177</v>
      </c>
      <c r="AA17" s="10" t="s">
        <v>34</v>
      </c>
      <c r="AB17" s="13" t="s">
        <v>34</v>
      </c>
      <c r="AC17" s="10" t="s">
        <v>184</v>
      </c>
      <c r="AD17" s="13" t="s">
        <v>32</v>
      </c>
      <c r="AE17" s="13">
        <v>6.9900000000000004E-2</v>
      </c>
      <c r="AF17" s="13" t="s">
        <v>178</v>
      </c>
      <c r="AG17" s="13">
        <v>2018</v>
      </c>
      <c r="AH17" s="13" t="s">
        <v>179</v>
      </c>
      <c r="AI17" s="2">
        <v>50</v>
      </c>
      <c r="AJ17" s="2">
        <v>2</v>
      </c>
      <c r="AK17" s="2" t="s">
        <v>34</v>
      </c>
      <c r="AL17" s="2" t="s">
        <v>419</v>
      </c>
    </row>
    <row r="18" spans="1:38" s="15" customFormat="1" ht="16.2" thickBot="1" x14ac:dyDescent="0.35">
      <c r="A18" s="17">
        <v>6.4488935721812402</v>
      </c>
      <c r="B18" s="17">
        <v>8787.8787878787807</v>
      </c>
      <c r="C18" s="18" t="s">
        <v>34</v>
      </c>
      <c r="D18" s="18" t="s">
        <v>174</v>
      </c>
      <c r="E18" s="18" t="s">
        <v>170</v>
      </c>
      <c r="F18" s="18">
        <v>1</v>
      </c>
      <c r="G18" s="18" t="s">
        <v>34</v>
      </c>
      <c r="H18" s="18" t="s">
        <v>34</v>
      </c>
      <c r="I18" s="18" t="s">
        <v>34</v>
      </c>
      <c r="J18" s="18" t="s">
        <v>34</v>
      </c>
      <c r="K18" s="18" t="s">
        <v>34</v>
      </c>
      <c r="L18" s="18" t="s">
        <v>34</v>
      </c>
      <c r="M18" s="18" t="s">
        <v>34</v>
      </c>
      <c r="N18" s="18" t="s">
        <v>34</v>
      </c>
      <c r="O18" s="18" t="s">
        <v>34</v>
      </c>
      <c r="P18" s="18" t="s">
        <v>34</v>
      </c>
      <c r="Q18" s="18">
        <v>0</v>
      </c>
      <c r="R18" s="18" t="s">
        <v>34</v>
      </c>
      <c r="S18" s="18" t="s">
        <v>34</v>
      </c>
      <c r="T18" s="14" t="s">
        <v>183</v>
      </c>
      <c r="U18" s="14" t="s">
        <v>50</v>
      </c>
      <c r="V18" s="14" t="s">
        <v>38</v>
      </c>
      <c r="W18" s="14" t="s">
        <v>34</v>
      </c>
      <c r="X18" s="18">
        <v>0.33</v>
      </c>
      <c r="Y18" s="18">
        <v>1</v>
      </c>
      <c r="Z18" s="14" t="s">
        <v>177</v>
      </c>
      <c r="AA18" s="14" t="s">
        <v>34</v>
      </c>
      <c r="AB18" s="18" t="s">
        <v>34</v>
      </c>
      <c r="AC18" s="14" t="s">
        <v>184</v>
      </c>
      <c r="AD18" s="18" t="s">
        <v>32</v>
      </c>
      <c r="AE18" s="18">
        <v>6.9900000000000004E-2</v>
      </c>
      <c r="AF18" s="18" t="s">
        <v>178</v>
      </c>
      <c r="AG18" s="18">
        <v>2018</v>
      </c>
      <c r="AH18" s="18" t="s">
        <v>179</v>
      </c>
      <c r="AI18" s="62">
        <v>50</v>
      </c>
      <c r="AJ18" s="34">
        <v>2</v>
      </c>
      <c r="AK18" s="34" t="s">
        <v>34</v>
      </c>
      <c r="AL18" s="2" t="s">
        <v>419</v>
      </c>
    </row>
    <row r="19" spans="1:38" s="2" customFormat="1" ht="15.6" x14ac:dyDescent="0.3">
      <c r="A19" s="12">
        <v>22.747479376718498</v>
      </c>
      <c r="B19" s="12">
        <v>492.45049504950504</v>
      </c>
      <c r="C19" s="13" t="s">
        <v>33</v>
      </c>
      <c r="D19" s="13" t="s">
        <v>35</v>
      </c>
      <c r="E19" s="10" t="s">
        <v>170</v>
      </c>
      <c r="F19" s="20">
        <v>0.15</v>
      </c>
      <c r="G19" s="13" t="s">
        <v>34</v>
      </c>
      <c r="H19" s="13" t="s">
        <v>34</v>
      </c>
      <c r="I19" s="13" t="s">
        <v>34</v>
      </c>
      <c r="J19" s="13" t="s">
        <v>34</v>
      </c>
      <c r="K19" s="13" t="s">
        <v>34</v>
      </c>
      <c r="L19" s="13" t="s">
        <v>34</v>
      </c>
      <c r="M19" s="13" t="s">
        <v>34</v>
      </c>
      <c r="N19" s="13" t="s">
        <v>34</v>
      </c>
      <c r="O19" s="13" t="s">
        <v>34</v>
      </c>
      <c r="P19" s="13" t="s">
        <v>34</v>
      </c>
      <c r="Q19" s="13" t="s">
        <v>34</v>
      </c>
      <c r="R19" s="13" t="s">
        <v>34</v>
      </c>
      <c r="S19" s="13" t="s">
        <v>34</v>
      </c>
      <c r="T19" s="13" t="s">
        <v>36</v>
      </c>
      <c r="U19" s="20" t="s">
        <v>37</v>
      </c>
      <c r="V19" s="20" t="s">
        <v>38</v>
      </c>
      <c r="W19" s="20">
        <v>2</v>
      </c>
      <c r="X19" s="20">
        <v>2</v>
      </c>
      <c r="Y19" s="20">
        <v>1</v>
      </c>
      <c r="Z19" s="20" t="s">
        <v>166</v>
      </c>
      <c r="AA19" s="20">
        <f>4.4*10^-3*60</f>
        <v>0.26400000000000001</v>
      </c>
      <c r="AB19" s="13" t="s">
        <v>34</v>
      </c>
      <c r="AC19" s="13" t="s">
        <v>40</v>
      </c>
      <c r="AD19" s="13" t="s">
        <v>32</v>
      </c>
      <c r="AE19" s="12">
        <v>0.99419999999999997</v>
      </c>
      <c r="AF19" s="13" t="s">
        <v>167</v>
      </c>
      <c r="AG19" s="13">
        <v>2011</v>
      </c>
      <c r="AH19" s="21" t="s">
        <v>168</v>
      </c>
      <c r="AI19" s="2">
        <v>30</v>
      </c>
      <c r="AJ19" s="2">
        <v>2</v>
      </c>
      <c r="AK19" s="2">
        <v>1</v>
      </c>
      <c r="AL19" s="2" t="str">
        <f>CONCATENATE(AF19, " et al. (",AG19,")")</f>
        <v>Hui et al. (2011)</v>
      </c>
    </row>
    <row r="20" spans="1:38" s="2" customFormat="1" ht="15.6" x14ac:dyDescent="0.3">
      <c r="A20" s="11">
        <v>31.620073327222624</v>
      </c>
      <c r="B20" s="11">
        <v>806.55940594059405</v>
      </c>
      <c r="C20" s="13" t="s">
        <v>33</v>
      </c>
      <c r="D20" s="13" t="s">
        <v>35</v>
      </c>
      <c r="E20" s="10" t="s">
        <v>170</v>
      </c>
      <c r="F20" s="20">
        <v>0.15</v>
      </c>
      <c r="G20" s="13" t="s">
        <v>34</v>
      </c>
      <c r="H20" s="13" t="s">
        <v>34</v>
      </c>
      <c r="I20" s="13" t="s">
        <v>34</v>
      </c>
      <c r="J20" s="13" t="s">
        <v>34</v>
      </c>
      <c r="K20" s="13" t="s">
        <v>34</v>
      </c>
      <c r="L20" s="13" t="s">
        <v>34</v>
      </c>
      <c r="M20" s="13" t="s">
        <v>34</v>
      </c>
      <c r="N20" s="13" t="s">
        <v>34</v>
      </c>
      <c r="O20" s="13" t="s">
        <v>34</v>
      </c>
      <c r="P20" s="13" t="s">
        <v>34</v>
      </c>
      <c r="Q20" s="13" t="s">
        <v>34</v>
      </c>
      <c r="R20" s="13" t="s">
        <v>34</v>
      </c>
      <c r="S20" s="13" t="s">
        <v>34</v>
      </c>
      <c r="T20" s="13" t="s">
        <v>36</v>
      </c>
      <c r="U20" s="20" t="s">
        <v>37</v>
      </c>
      <c r="V20" s="20" t="s">
        <v>38</v>
      </c>
      <c r="W20" s="20">
        <v>2</v>
      </c>
      <c r="X20" s="20">
        <v>2</v>
      </c>
      <c r="Y20" s="20">
        <v>1</v>
      </c>
      <c r="Z20" s="20" t="s">
        <v>166</v>
      </c>
      <c r="AA20" s="20">
        <f>4.4*10^-3*60</f>
        <v>0.26400000000000001</v>
      </c>
      <c r="AB20" s="13" t="s">
        <v>34</v>
      </c>
      <c r="AC20" s="13" t="s">
        <v>40</v>
      </c>
      <c r="AD20" s="13" t="s">
        <v>32</v>
      </c>
      <c r="AE20" s="12">
        <v>0.99419999999999997</v>
      </c>
      <c r="AF20" s="13" t="s">
        <v>167</v>
      </c>
      <c r="AG20" s="13">
        <v>2011</v>
      </c>
      <c r="AH20" s="21" t="s">
        <v>168</v>
      </c>
      <c r="AI20" s="59">
        <v>30</v>
      </c>
      <c r="AJ20" s="59">
        <v>2</v>
      </c>
      <c r="AK20" s="59">
        <v>1</v>
      </c>
      <c r="AL20" s="2" t="str">
        <f>CONCATENATE(AF20, " et al. (",AG20,")")</f>
        <v>Hui et al. (2011)</v>
      </c>
    </row>
    <row r="21" spans="1:38" s="15" customFormat="1" ht="16.2" thickBot="1" x14ac:dyDescent="0.35">
      <c r="A21" s="17">
        <v>45.38267644362962</v>
      </c>
      <c r="B21" s="17">
        <v>1216.4603960396</v>
      </c>
      <c r="C21" s="18" t="s">
        <v>33</v>
      </c>
      <c r="D21" s="18" t="s">
        <v>35</v>
      </c>
      <c r="E21" s="14" t="s">
        <v>170</v>
      </c>
      <c r="F21" s="22">
        <v>0.15</v>
      </c>
      <c r="G21" s="18" t="s">
        <v>34</v>
      </c>
      <c r="H21" s="18" t="s">
        <v>34</v>
      </c>
      <c r="I21" s="18" t="s">
        <v>34</v>
      </c>
      <c r="J21" s="18" t="s">
        <v>34</v>
      </c>
      <c r="K21" s="18" t="s">
        <v>34</v>
      </c>
      <c r="L21" s="18" t="s">
        <v>34</v>
      </c>
      <c r="M21" s="18" t="s">
        <v>34</v>
      </c>
      <c r="N21" s="18" t="s">
        <v>34</v>
      </c>
      <c r="O21" s="18" t="s">
        <v>34</v>
      </c>
      <c r="P21" s="18" t="s">
        <v>34</v>
      </c>
      <c r="Q21" s="18" t="s">
        <v>34</v>
      </c>
      <c r="R21" s="18" t="s">
        <v>34</v>
      </c>
      <c r="S21" s="18" t="s">
        <v>34</v>
      </c>
      <c r="T21" s="18" t="s">
        <v>36</v>
      </c>
      <c r="U21" s="22" t="s">
        <v>37</v>
      </c>
      <c r="V21" s="22" t="s">
        <v>38</v>
      </c>
      <c r="W21" s="22">
        <v>2</v>
      </c>
      <c r="X21" s="22">
        <v>2</v>
      </c>
      <c r="Y21" s="22">
        <v>1</v>
      </c>
      <c r="Z21" s="22" t="s">
        <v>166</v>
      </c>
      <c r="AA21" s="22">
        <f>4.4*10^-3*60</f>
        <v>0.26400000000000001</v>
      </c>
      <c r="AB21" s="18" t="s">
        <v>34</v>
      </c>
      <c r="AC21" s="18" t="s">
        <v>40</v>
      </c>
      <c r="AD21" s="18" t="s">
        <v>32</v>
      </c>
      <c r="AE21" s="19">
        <v>0.99419999999999997</v>
      </c>
      <c r="AF21" s="18" t="s">
        <v>167</v>
      </c>
      <c r="AG21" s="18">
        <v>2011</v>
      </c>
      <c r="AH21" s="23" t="s">
        <v>168</v>
      </c>
      <c r="AI21" s="15">
        <v>30</v>
      </c>
      <c r="AJ21" s="15">
        <v>2</v>
      </c>
      <c r="AK21" s="15">
        <v>1</v>
      </c>
      <c r="AL21" s="2" t="str">
        <f>CONCATENATE(AF21, " et al. (",AG21,")")</f>
        <v>Hui et al. (2011)</v>
      </c>
    </row>
  </sheetData>
  <dataValidations count="2">
    <dataValidation type="list" allowBlank="1" showInputMessage="1" showErrorMessage="1" sqref="U19:U21" xr:uid="{C8687E0F-B60B-4B86-A442-41B3AE53461E}">
      <formula1>"Augmented, Stimulated, Jack Beans, Soybeans, Commercial, "</formula1>
    </dataValidation>
    <dataValidation type="list" allowBlank="1" showInputMessage="1" showErrorMessage="1" sqref="V19:V21" xr:uid="{8E35E57D-4525-4A78-8AC4-D4F0B3731C28}">
      <formula1>"IMMERSION,PERCOLATION,MIX-COMPACT,INJECTION"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FE8A8-5E9A-49F3-865A-563E37A5DD7A}">
  <dimension ref="A3:E4"/>
  <sheetViews>
    <sheetView workbookViewId="0">
      <selection activeCell="B4" sqref="B4"/>
    </sheetView>
  </sheetViews>
  <sheetFormatPr defaultRowHeight="14.4" x14ac:dyDescent="0.3"/>
  <sheetData>
    <row r="3" spans="1:5" x14ac:dyDescent="0.3">
      <c r="B3" t="s">
        <v>463</v>
      </c>
      <c r="C3" t="s">
        <v>464</v>
      </c>
      <c r="D3" t="s">
        <v>465</v>
      </c>
      <c r="E3" t="s">
        <v>430</v>
      </c>
    </row>
    <row r="4" spans="1:5" x14ac:dyDescent="0.3">
      <c r="A4" t="s">
        <v>425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87E04-35D9-4969-BDFF-ABEB21EFA2A2}">
  <dimension ref="A1:AI446"/>
  <sheetViews>
    <sheetView workbookViewId="0">
      <pane ySplit="1" topLeftCell="A187" activePane="bottomLeft" state="frozen"/>
      <selection pane="bottomLeft" activeCell="AG279" sqref="AG279"/>
    </sheetView>
  </sheetViews>
  <sheetFormatPr defaultColWidth="15.77734375" defaultRowHeight="15.6" x14ac:dyDescent="0.3"/>
  <cols>
    <col min="1" max="1" width="15.77734375" style="11"/>
    <col min="2" max="2" width="15.77734375" style="45"/>
    <col min="3" max="33" width="15.77734375" style="10"/>
    <col min="34" max="34" width="94.109375" style="10" bestFit="1" customWidth="1"/>
    <col min="35" max="16384" width="15.77734375" style="2"/>
  </cols>
  <sheetData>
    <row r="1" spans="1:35" s="1" customFormat="1" ht="46.8" x14ac:dyDescent="0.3">
      <c r="A1" s="16" t="s">
        <v>0</v>
      </c>
      <c r="B1" s="46" t="s">
        <v>317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416</v>
      </c>
      <c r="O1" s="3" t="s">
        <v>14</v>
      </c>
      <c r="P1" s="3" t="s">
        <v>15</v>
      </c>
      <c r="Q1" s="3" t="s">
        <v>44</v>
      </c>
      <c r="R1" s="3" t="s">
        <v>30</v>
      </c>
      <c r="S1" s="3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52</v>
      </c>
      <c r="AC1" s="6" t="s">
        <v>26</v>
      </c>
      <c r="AD1" s="7" t="s">
        <v>31</v>
      </c>
      <c r="AE1" s="8" t="s">
        <v>25</v>
      </c>
      <c r="AF1" s="9" t="s">
        <v>27</v>
      </c>
      <c r="AG1" s="9" t="s">
        <v>28</v>
      </c>
      <c r="AH1" s="9" t="s">
        <v>29</v>
      </c>
      <c r="AI1" s="1" t="s">
        <v>440</v>
      </c>
    </row>
    <row r="2" spans="1:35" x14ac:dyDescent="0.3">
      <c r="A2" s="12">
        <v>0</v>
      </c>
      <c r="B2" s="36">
        <v>1.27407407407407E-4</v>
      </c>
      <c r="C2" s="13" t="s">
        <v>33</v>
      </c>
      <c r="D2" s="13" t="s">
        <v>35</v>
      </c>
      <c r="E2" s="13" t="s">
        <v>170</v>
      </c>
      <c r="F2" s="10" t="s">
        <v>34</v>
      </c>
      <c r="G2" s="20">
        <v>0.16500000000000001</v>
      </c>
      <c r="H2" s="13" t="s">
        <v>34</v>
      </c>
      <c r="I2" s="13" t="s">
        <v>34</v>
      </c>
      <c r="J2" s="13" t="s">
        <v>34</v>
      </c>
      <c r="K2" s="13" t="s">
        <v>34</v>
      </c>
      <c r="L2" s="13" t="s">
        <v>34</v>
      </c>
      <c r="M2" s="13">
        <v>26</v>
      </c>
      <c r="N2" s="13" t="s">
        <v>43</v>
      </c>
      <c r="O2" s="13">
        <v>0.98750000000000004</v>
      </c>
      <c r="P2" s="13">
        <v>0.58499999999999996</v>
      </c>
      <c r="Q2" s="13">
        <v>0</v>
      </c>
      <c r="R2" s="13" t="s">
        <v>34</v>
      </c>
      <c r="S2" s="36">
        <f>B2</f>
        <v>1.27407407407407E-4</v>
      </c>
      <c r="T2" s="13" t="s">
        <v>36</v>
      </c>
      <c r="U2" s="13" t="s">
        <v>37</v>
      </c>
      <c r="V2" s="13" t="s">
        <v>38</v>
      </c>
      <c r="W2" s="13" t="s">
        <v>34</v>
      </c>
      <c r="X2" s="13">
        <v>0.25</v>
      </c>
      <c r="Y2" s="13">
        <v>1</v>
      </c>
      <c r="Z2" s="13" t="s">
        <v>39</v>
      </c>
      <c r="AA2" s="13" t="s">
        <v>34</v>
      </c>
      <c r="AB2" s="13" t="s">
        <v>34</v>
      </c>
      <c r="AC2" s="13" t="s">
        <v>40</v>
      </c>
      <c r="AD2" s="13" t="s">
        <v>32</v>
      </c>
      <c r="AE2" s="13">
        <v>0.46910000000000002</v>
      </c>
      <c r="AF2" s="21" t="s">
        <v>45</v>
      </c>
      <c r="AG2" s="13">
        <v>2013</v>
      </c>
      <c r="AH2" s="21" t="s">
        <v>46</v>
      </c>
      <c r="AI2" s="99">
        <f>B2/S2</f>
        <v>1</v>
      </c>
    </row>
    <row r="3" spans="1:35" x14ac:dyDescent="0.3">
      <c r="A3" s="11">
        <v>0.28785982478097599</v>
      </c>
      <c r="B3" s="45">
        <v>1.27407407407407E-4</v>
      </c>
      <c r="C3" s="10" t="s">
        <v>33</v>
      </c>
      <c r="D3" s="10" t="s">
        <v>35</v>
      </c>
      <c r="E3" s="10" t="s">
        <v>170</v>
      </c>
      <c r="F3" s="10" t="s">
        <v>34</v>
      </c>
      <c r="G3" s="20">
        <v>0.16500000000000001</v>
      </c>
      <c r="H3" s="13" t="s">
        <v>34</v>
      </c>
      <c r="I3" s="13" t="s">
        <v>34</v>
      </c>
      <c r="J3" s="13" t="s">
        <v>34</v>
      </c>
      <c r="K3" s="13" t="s">
        <v>34</v>
      </c>
      <c r="L3" s="13" t="s">
        <v>34</v>
      </c>
      <c r="M3" s="13">
        <v>26</v>
      </c>
      <c r="N3" s="13" t="s">
        <v>43</v>
      </c>
      <c r="O3" s="13">
        <v>0.98750000000000004</v>
      </c>
      <c r="P3" s="13">
        <v>0.58499999999999996</v>
      </c>
      <c r="Q3" s="13">
        <v>0</v>
      </c>
      <c r="R3" s="13" t="s">
        <v>34</v>
      </c>
      <c r="S3" s="36">
        <f>IF(A3=0,B3,S2)</f>
        <v>1.27407407407407E-4</v>
      </c>
      <c r="T3" s="13" t="s">
        <v>36</v>
      </c>
      <c r="U3" s="13" t="s">
        <v>37</v>
      </c>
      <c r="V3" s="13" t="s">
        <v>38</v>
      </c>
      <c r="W3" s="13" t="s">
        <v>34</v>
      </c>
      <c r="X3" s="13">
        <v>0.25</v>
      </c>
      <c r="Y3" s="13">
        <v>1</v>
      </c>
      <c r="Z3" s="13" t="s">
        <v>39</v>
      </c>
      <c r="AA3" s="13" t="s">
        <v>34</v>
      </c>
      <c r="AB3" s="13" t="s">
        <v>34</v>
      </c>
      <c r="AC3" s="13" t="s">
        <v>40</v>
      </c>
      <c r="AD3" s="13" t="s">
        <v>32</v>
      </c>
      <c r="AE3" s="13">
        <v>0.46910000000000002</v>
      </c>
      <c r="AF3" s="21" t="s">
        <v>45</v>
      </c>
      <c r="AG3" s="13">
        <v>2013</v>
      </c>
      <c r="AH3" s="21" t="s">
        <v>46</v>
      </c>
      <c r="AI3" s="99">
        <f t="shared" ref="AI3:AI66" si="0">B3/S3</f>
        <v>1</v>
      </c>
    </row>
    <row r="4" spans="1:35" x14ac:dyDescent="0.3">
      <c r="A4" s="11">
        <v>0.78848560700876003</v>
      </c>
      <c r="B4" s="45">
        <v>1.06666666666666E-4</v>
      </c>
      <c r="C4" s="10" t="s">
        <v>33</v>
      </c>
      <c r="D4" s="10" t="s">
        <v>35</v>
      </c>
      <c r="E4" s="10" t="s">
        <v>170</v>
      </c>
      <c r="F4" s="10" t="s">
        <v>34</v>
      </c>
      <c r="G4" s="20">
        <v>0.16500000000000001</v>
      </c>
      <c r="H4" s="13" t="s">
        <v>34</v>
      </c>
      <c r="I4" s="13" t="s">
        <v>34</v>
      </c>
      <c r="J4" s="13" t="s">
        <v>34</v>
      </c>
      <c r="K4" s="13" t="s">
        <v>34</v>
      </c>
      <c r="L4" s="13" t="s">
        <v>34</v>
      </c>
      <c r="M4" s="13">
        <v>26</v>
      </c>
      <c r="N4" s="13" t="s">
        <v>43</v>
      </c>
      <c r="O4" s="13">
        <v>0.98750000000000004</v>
      </c>
      <c r="P4" s="13">
        <v>0.58499999999999996</v>
      </c>
      <c r="Q4" s="13">
        <v>0</v>
      </c>
      <c r="R4" s="13" t="s">
        <v>34</v>
      </c>
      <c r="S4" s="36">
        <f t="shared" ref="S4:S67" si="1">IF(A4=0,B4,S3)</f>
        <v>1.27407407407407E-4</v>
      </c>
      <c r="T4" s="13" t="s">
        <v>36</v>
      </c>
      <c r="U4" s="13" t="s">
        <v>37</v>
      </c>
      <c r="V4" s="13" t="s">
        <v>38</v>
      </c>
      <c r="W4" s="13" t="s">
        <v>34</v>
      </c>
      <c r="X4" s="13">
        <v>0.25</v>
      </c>
      <c r="Y4" s="13">
        <v>1</v>
      </c>
      <c r="Z4" s="13" t="s">
        <v>39</v>
      </c>
      <c r="AA4" s="13" t="s">
        <v>34</v>
      </c>
      <c r="AB4" s="13" t="s">
        <v>34</v>
      </c>
      <c r="AC4" s="13" t="s">
        <v>40</v>
      </c>
      <c r="AD4" s="13" t="s">
        <v>32</v>
      </c>
      <c r="AE4" s="13">
        <v>0.46910000000000002</v>
      </c>
      <c r="AF4" s="21" t="s">
        <v>45</v>
      </c>
      <c r="AG4" s="13">
        <v>2013</v>
      </c>
      <c r="AH4" s="21" t="s">
        <v>46</v>
      </c>
      <c r="AI4" s="99">
        <f t="shared" si="0"/>
        <v>0.83720930232557889</v>
      </c>
    </row>
    <row r="5" spans="1:35" x14ac:dyDescent="0.3">
      <c r="A5" s="11">
        <v>1.32665832290362</v>
      </c>
      <c r="B5" s="45">
        <v>8.0000000000000007E-5</v>
      </c>
      <c r="C5" s="10" t="s">
        <v>33</v>
      </c>
      <c r="D5" s="10" t="s">
        <v>35</v>
      </c>
      <c r="E5" s="10" t="s">
        <v>170</v>
      </c>
      <c r="F5" s="10" t="s">
        <v>34</v>
      </c>
      <c r="G5" s="20">
        <v>0.16500000000000001</v>
      </c>
      <c r="H5" s="13" t="s">
        <v>34</v>
      </c>
      <c r="I5" s="13" t="s">
        <v>34</v>
      </c>
      <c r="J5" s="13" t="s">
        <v>34</v>
      </c>
      <c r="K5" s="13" t="s">
        <v>34</v>
      </c>
      <c r="L5" s="13" t="s">
        <v>34</v>
      </c>
      <c r="M5" s="13">
        <v>26</v>
      </c>
      <c r="N5" s="13" t="s">
        <v>43</v>
      </c>
      <c r="O5" s="13">
        <v>0.98750000000000004</v>
      </c>
      <c r="P5" s="13">
        <v>0.58499999999999996</v>
      </c>
      <c r="Q5" s="13">
        <v>0</v>
      </c>
      <c r="R5" s="13" t="s">
        <v>34</v>
      </c>
      <c r="S5" s="36">
        <f t="shared" si="1"/>
        <v>1.27407407407407E-4</v>
      </c>
      <c r="T5" s="13" t="s">
        <v>36</v>
      </c>
      <c r="U5" s="13" t="s">
        <v>37</v>
      </c>
      <c r="V5" s="13" t="s">
        <v>38</v>
      </c>
      <c r="W5" s="13" t="s">
        <v>34</v>
      </c>
      <c r="X5" s="13">
        <v>0.25</v>
      </c>
      <c r="Y5" s="13">
        <v>1</v>
      </c>
      <c r="Z5" s="13" t="s">
        <v>39</v>
      </c>
      <c r="AA5" s="13" t="s">
        <v>34</v>
      </c>
      <c r="AB5" s="13" t="s">
        <v>34</v>
      </c>
      <c r="AC5" s="13" t="s">
        <v>40</v>
      </c>
      <c r="AD5" s="13" t="s">
        <v>32</v>
      </c>
      <c r="AE5" s="13">
        <v>0.46910000000000002</v>
      </c>
      <c r="AF5" s="21" t="s">
        <v>45</v>
      </c>
      <c r="AG5" s="13">
        <v>2013</v>
      </c>
      <c r="AH5" s="21" t="s">
        <v>46</v>
      </c>
      <c r="AI5" s="99">
        <f t="shared" si="0"/>
        <v>0.62790697674418816</v>
      </c>
    </row>
    <row r="6" spans="1:35" x14ac:dyDescent="0.3">
      <c r="A6" s="11">
        <v>1.8397997496870999</v>
      </c>
      <c r="B6" s="45">
        <v>6.2962962962962894E-5</v>
      </c>
      <c r="C6" s="10" t="s">
        <v>33</v>
      </c>
      <c r="D6" s="10" t="s">
        <v>35</v>
      </c>
      <c r="E6" s="10" t="s">
        <v>170</v>
      </c>
      <c r="F6" s="10" t="s">
        <v>34</v>
      </c>
      <c r="G6" s="20">
        <v>0.16500000000000001</v>
      </c>
      <c r="H6" s="13" t="s">
        <v>34</v>
      </c>
      <c r="I6" s="13" t="s">
        <v>34</v>
      </c>
      <c r="J6" s="13" t="s">
        <v>34</v>
      </c>
      <c r="K6" s="13" t="s">
        <v>34</v>
      </c>
      <c r="L6" s="13" t="s">
        <v>34</v>
      </c>
      <c r="M6" s="13">
        <v>26</v>
      </c>
      <c r="N6" s="13" t="s">
        <v>43</v>
      </c>
      <c r="O6" s="13">
        <v>0.98750000000000004</v>
      </c>
      <c r="P6" s="13">
        <v>0.58499999999999996</v>
      </c>
      <c r="Q6" s="13">
        <v>0</v>
      </c>
      <c r="R6" s="13" t="s">
        <v>34</v>
      </c>
      <c r="S6" s="36">
        <f t="shared" si="1"/>
        <v>1.27407407407407E-4</v>
      </c>
      <c r="T6" s="13" t="s">
        <v>36</v>
      </c>
      <c r="U6" s="13" t="s">
        <v>37</v>
      </c>
      <c r="V6" s="13" t="s">
        <v>38</v>
      </c>
      <c r="W6" s="13" t="s">
        <v>34</v>
      </c>
      <c r="X6" s="13">
        <v>0.25</v>
      </c>
      <c r="Y6" s="13">
        <v>1</v>
      </c>
      <c r="Z6" s="13" t="s">
        <v>39</v>
      </c>
      <c r="AA6" s="13" t="s">
        <v>34</v>
      </c>
      <c r="AB6" s="13" t="s">
        <v>34</v>
      </c>
      <c r="AC6" s="13" t="s">
        <v>40</v>
      </c>
      <c r="AD6" s="13" t="s">
        <v>32</v>
      </c>
      <c r="AE6" s="13">
        <v>0.46910000000000002</v>
      </c>
      <c r="AF6" s="21" t="s">
        <v>45</v>
      </c>
      <c r="AG6" s="13">
        <v>2013</v>
      </c>
      <c r="AH6" s="21" t="s">
        <v>46</v>
      </c>
      <c r="AI6" s="99">
        <f t="shared" si="0"/>
        <v>0.49418604651162895</v>
      </c>
    </row>
    <row r="7" spans="1:35" x14ac:dyDescent="0.3">
      <c r="A7" s="11">
        <v>2.3591989987484299</v>
      </c>
      <c r="B7" s="45">
        <v>4.5555555555555498E-5</v>
      </c>
      <c r="C7" s="10" t="s">
        <v>33</v>
      </c>
      <c r="D7" s="10" t="s">
        <v>35</v>
      </c>
      <c r="E7" s="10" t="s">
        <v>170</v>
      </c>
      <c r="F7" s="10" t="s">
        <v>34</v>
      </c>
      <c r="G7" s="20">
        <v>0.16500000000000001</v>
      </c>
      <c r="H7" s="13" t="s">
        <v>34</v>
      </c>
      <c r="I7" s="13" t="s">
        <v>34</v>
      </c>
      <c r="J7" s="13" t="s">
        <v>34</v>
      </c>
      <c r="K7" s="13" t="s">
        <v>34</v>
      </c>
      <c r="L7" s="13" t="s">
        <v>34</v>
      </c>
      <c r="M7" s="13">
        <v>26</v>
      </c>
      <c r="N7" s="13" t="s">
        <v>43</v>
      </c>
      <c r="O7" s="13">
        <v>0.98750000000000004</v>
      </c>
      <c r="P7" s="13">
        <v>0.58499999999999996</v>
      </c>
      <c r="Q7" s="13">
        <v>0</v>
      </c>
      <c r="R7" s="13" t="s">
        <v>34</v>
      </c>
      <c r="S7" s="36">
        <f t="shared" si="1"/>
        <v>1.27407407407407E-4</v>
      </c>
      <c r="T7" s="13" t="s">
        <v>36</v>
      </c>
      <c r="U7" s="13" t="s">
        <v>37</v>
      </c>
      <c r="V7" s="13" t="s">
        <v>38</v>
      </c>
      <c r="W7" s="13" t="s">
        <v>34</v>
      </c>
      <c r="X7" s="13">
        <v>0.25</v>
      </c>
      <c r="Y7" s="13">
        <v>1</v>
      </c>
      <c r="Z7" s="13" t="s">
        <v>39</v>
      </c>
      <c r="AA7" s="13" t="s">
        <v>34</v>
      </c>
      <c r="AB7" s="13" t="s">
        <v>34</v>
      </c>
      <c r="AC7" s="13" t="s">
        <v>40</v>
      </c>
      <c r="AD7" s="13" t="s">
        <v>32</v>
      </c>
      <c r="AE7" s="13">
        <v>0.46910000000000002</v>
      </c>
      <c r="AF7" s="21" t="s">
        <v>45</v>
      </c>
      <c r="AG7" s="13">
        <v>2013</v>
      </c>
      <c r="AH7" s="21" t="s">
        <v>46</v>
      </c>
      <c r="AI7" s="99">
        <f t="shared" si="0"/>
        <v>0.35755813953488441</v>
      </c>
    </row>
    <row r="8" spans="1:35" x14ac:dyDescent="0.3">
      <c r="A8" s="11">
        <v>2.8911138923654498</v>
      </c>
      <c r="B8" s="45">
        <v>3.53703703703703E-5</v>
      </c>
      <c r="C8" s="10" t="s">
        <v>33</v>
      </c>
      <c r="D8" s="10" t="s">
        <v>35</v>
      </c>
      <c r="E8" s="10" t="s">
        <v>170</v>
      </c>
      <c r="F8" s="10" t="s">
        <v>34</v>
      </c>
      <c r="G8" s="20">
        <v>0.16500000000000001</v>
      </c>
      <c r="H8" s="13" t="s">
        <v>34</v>
      </c>
      <c r="I8" s="13" t="s">
        <v>34</v>
      </c>
      <c r="J8" s="13" t="s">
        <v>34</v>
      </c>
      <c r="K8" s="13" t="s">
        <v>34</v>
      </c>
      <c r="L8" s="13" t="s">
        <v>34</v>
      </c>
      <c r="M8" s="13">
        <v>26</v>
      </c>
      <c r="N8" s="13" t="s">
        <v>43</v>
      </c>
      <c r="O8" s="13">
        <v>0.98750000000000004</v>
      </c>
      <c r="P8" s="13">
        <v>0.58499999999999996</v>
      </c>
      <c r="Q8" s="13">
        <v>0</v>
      </c>
      <c r="R8" s="13" t="s">
        <v>34</v>
      </c>
      <c r="S8" s="36">
        <f t="shared" si="1"/>
        <v>1.27407407407407E-4</v>
      </c>
      <c r="T8" s="13" t="s">
        <v>36</v>
      </c>
      <c r="U8" s="13" t="s">
        <v>37</v>
      </c>
      <c r="V8" s="13" t="s">
        <v>38</v>
      </c>
      <c r="W8" s="13" t="s">
        <v>34</v>
      </c>
      <c r="X8" s="13">
        <v>0.25</v>
      </c>
      <c r="Y8" s="13">
        <v>1</v>
      </c>
      <c r="Z8" s="13" t="s">
        <v>39</v>
      </c>
      <c r="AA8" s="13" t="s">
        <v>34</v>
      </c>
      <c r="AB8" s="13" t="s">
        <v>34</v>
      </c>
      <c r="AC8" s="13" t="s">
        <v>40</v>
      </c>
      <c r="AD8" s="13" t="s">
        <v>32</v>
      </c>
      <c r="AE8" s="13">
        <v>0.46910000000000002</v>
      </c>
      <c r="AF8" s="21" t="s">
        <v>45</v>
      </c>
      <c r="AG8" s="13">
        <v>2013</v>
      </c>
      <c r="AH8" s="21" t="s">
        <v>46</v>
      </c>
      <c r="AI8" s="99">
        <f t="shared" si="0"/>
        <v>0.27761627906976777</v>
      </c>
    </row>
    <row r="9" spans="1:35" x14ac:dyDescent="0.3">
      <c r="A9" s="11">
        <v>3.40425531914893</v>
      </c>
      <c r="B9" s="45">
        <v>3.9814814814814798E-5</v>
      </c>
      <c r="C9" s="10" t="s">
        <v>33</v>
      </c>
      <c r="D9" s="10" t="s">
        <v>35</v>
      </c>
      <c r="E9" s="10" t="s">
        <v>170</v>
      </c>
      <c r="F9" s="10" t="s">
        <v>34</v>
      </c>
      <c r="G9" s="20">
        <v>0.16500000000000001</v>
      </c>
      <c r="H9" s="13" t="s">
        <v>34</v>
      </c>
      <c r="I9" s="13" t="s">
        <v>34</v>
      </c>
      <c r="J9" s="13" t="s">
        <v>34</v>
      </c>
      <c r="K9" s="13" t="s">
        <v>34</v>
      </c>
      <c r="L9" s="13" t="s">
        <v>34</v>
      </c>
      <c r="M9" s="13">
        <v>26</v>
      </c>
      <c r="N9" s="13" t="s">
        <v>43</v>
      </c>
      <c r="O9" s="13">
        <v>0.98750000000000004</v>
      </c>
      <c r="P9" s="13">
        <v>0.58499999999999996</v>
      </c>
      <c r="Q9" s="13">
        <v>0</v>
      </c>
      <c r="R9" s="13" t="s">
        <v>34</v>
      </c>
      <c r="S9" s="36">
        <f t="shared" si="1"/>
        <v>1.27407407407407E-4</v>
      </c>
      <c r="T9" s="13" t="s">
        <v>36</v>
      </c>
      <c r="U9" s="13" t="s">
        <v>37</v>
      </c>
      <c r="V9" s="13" t="s">
        <v>38</v>
      </c>
      <c r="W9" s="13" t="s">
        <v>34</v>
      </c>
      <c r="X9" s="13">
        <v>0.25</v>
      </c>
      <c r="Y9" s="13">
        <v>1</v>
      </c>
      <c r="Z9" s="13" t="s">
        <v>39</v>
      </c>
      <c r="AA9" s="13" t="s">
        <v>34</v>
      </c>
      <c r="AB9" s="13" t="s">
        <v>34</v>
      </c>
      <c r="AC9" s="13" t="s">
        <v>40</v>
      </c>
      <c r="AD9" s="13" t="s">
        <v>32</v>
      </c>
      <c r="AE9" s="13">
        <v>0.46910000000000002</v>
      </c>
      <c r="AF9" s="21" t="s">
        <v>45</v>
      </c>
      <c r="AG9" s="13">
        <v>2013</v>
      </c>
      <c r="AH9" s="21" t="s">
        <v>46</v>
      </c>
      <c r="AI9" s="99">
        <f t="shared" si="0"/>
        <v>0.31250000000000089</v>
      </c>
    </row>
    <row r="10" spans="1:35" x14ac:dyDescent="0.3">
      <c r="A10" s="11">
        <v>3.9236545682102602</v>
      </c>
      <c r="B10" s="45">
        <v>3.9814814814814798E-5</v>
      </c>
      <c r="C10" s="10" t="s">
        <v>33</v>
      </c>
      <c r="D10" s="10" t="s">
        <v>35</v>
      </c>
      <c r="E10" s="10" t="s">
        <v>170</v>
      </c>
      <c r="F10" s="10" t="s">
        <v>34</v>
      </c>
      <c r="G10" s="20">
        <v>0.16500000000000001</v>
      </c>
      <c r="H10" s="13" t="s">
        <v>34</v>
      </c>
      <c r="I10" s="13" t="s">
        <v>34</v>
      </c>
      <c r="J10" s="13" t="s">
        <v>34</v>
      </c>
      <c r="K10" s="13" t="s">
        <v>34</v>
      </c>
      <c r="L10" s="13" t="s">
        <v>34</v>
      </c>
      <c r="M10" s="13">
        <v>26</v>
      </c>
      <c r="N10" s="13" t="s">
        <v>43</v>
      </c>
      <c r="O10" s="13">
        <v>0.98750000000000004</v>
      </c>
      <c r="P10" s="13">
        <v>0.58499999999999996</v>
      </c>
      <c r="Q10" s="13">
        <v>0</v>
      </c>
      <c r="R10" s="13" t="s">
        <v>34</v>
      </c>
      <c r="S10" s="36">
        <f t="shared" si="1"/>
        <v>1.27407407407407E-4</v>
      </c>
      <c r="T10" s="13" t="s">
        <v>36</v>
      </c>
      <c r="U10" s="13" t="s">
        <v>37</v>
      </c>
      <c r="V10" s="13" t="s">
        <v>38</v>
      </c>
      <c r="W10" s="13" t="s">
        <v>34</v>
      </c>
      <c r="X10" s="13">
        <v>0.25</v>
      </c>
      <c r="Y10" s="13">
        <v>1</v>
      </c>
      <c r="Z10" s="13" t="s">
        <v>39</v>
      </c>
      <c r="AA10" s="13" t="s">
        <v>34</v>
      </c>
      <c r="AB10" s="13" t="s">
        <v>34</v>
      </c>
      <c r="AC10" s="13" t="s">
        <v>40</v>
      </c>
      <c r="AD10" s="13" t="s">
        <v>32</v>
      </c>
      <c r="AE10" s="13">
        <v>0.46910000000000002</v>
      </c>
      <c r="AF10" s="21" t="s">
        <v>45</v>
      </c>
      <c r="AG10" s="13">
        <v>2013</v>
      </c>
      <c r="AH10" s="21" t="s">
        <v>46</v>
      </c>
      <c r="AI10" s="99">
        <f t="shared" si="0"/>
        <v>0.31250000000000089</v>
      </c>
    </row>
    <row r="11" spans="1:35" x14ac:dyDescent="0.3">
      <c r="A11" s="11">
        <v>4.4493116395494301</v>
      </c>
      <c r="B11" s="45">
        <v>4.24074074074074E-5</v>
      </c>
      <c r="C11" s="10" t="s">
        <v>33</v>
      </c>
      <c r="D11" s="10" t="s">
        <v>35</v>
      </c>
      <c r="E11" s="10" t="s">
        <v>170</v>
      </c>
      <c r="F11" s="10" t="s">
        <v>34</v>
      </c>
      <c r="G11" s="20">
        <v>0.16500000000000001</v>
      </c>
      <c r="H11" s="13" t="s">
        <v>34</v>
      </c>
      <c r="I11" s="13" t="s">
        <v>34</v>
      </c>
      <c r="J11" s="13" t="s">
        <v>34</v>
      </c>
      <c r="K11" s="13" t="s">
        <v>34</v>
      </c>
      <c r="L11" s="13" t="s">
        <v>34</v>
      </c>
      <c r="M11" s="13">
        <v>26</v>
      </c>
      <c r="N11" s="13" t="s">
        <v>43</v>
      </c>
      <c r="O11" s="13">
        <v>0.98750000000000004</v>
      </c>
      <c r="P11" s="13">
        <v>0.58499999999999996</v>
      </c>
      <c r="Q11" s="13">
        <v>0</v>
      </c>
      <c r="R11" s="13" t="s">
        <v>34</v>
      </c>
      <c r="S11" s="36">
        <f t="shared" si="1"/>
        <v>1.27407407407407E-4</v>
      </c>
      <c r="T11" s="13" t="s">
        <v>36</v>
      </c>
      <c r="U11" s="13" t="s">
        <v>37</v>
      </c>
      <c r="V11" s="13" t="s">
        <v>38</v>
      </c>
      <c r="W11" s="13" t="s">
        <v>34</v>
      </c>
      <c r="X11" s="13">
        <v>0.25</v>
      </c>
      <c r="Y11" s="13">
        <v>1</v>
      </c>
      <c r="Z11" s="13" t="s">
        <v>39</v>
      </c>
      <c r="AA11" s="13" t="s">
        <v>34</v>
      </c>
      <c r="AB11" s="13" t="s">
        <v>34</v>
      </c>
      <c r="AC11" s="13" t="s">
        <v>40</v>
      </c>
      <c r="AD11" s="13" t="s">
        <v>32</v>
      </c>
      <c r="AE11" s="13">
        <v>0.46910000000000002</v>
      </c>
      <c r="AF11" s="21" t="s">
        <v>45</v>
      </c>
      <c r="AG11" s="13">
        <v>2013</v>
      </c>
      <c r="AH11" s="21" t="s">
        <v>46</v>
      </c>
      <c r="AI11" s="99">
        <f t="shared" si="0"/>
        <v>0.33284883720930336</v>
      </c>
    </row>
    <row r="12" spans="1:35" x14ac:dyDescent="0.3">
      <c r="A12" s="11">
        <v>4.9687108886107598</v>
      </c>
      <c r="B12" s="45">
        <v>4.24074074074074E-5</v>
      </c>
      <c r="C12" s="10" t="s">
        <v>33</v>
      </c>
      <c r="D12" s="10" t="s">
        <v>35</v>
      </c>
      <c r="E12" s="10" t="s">
        <v>170</v>
      </c>
      <c r="F12" s="10" t="s">
        <v>34</v>
      </c>
      <c r="G12" s="20">
        <v>0.16500000000000001</v>
      </c>
      <c r="H12" s="13" t="s">
        <v>34</v>
      </c>
      <c r="I12" s="13" t="s">
        <v>34</v>
      </c>
      <c r="J12" s="13" t="s">
        <v>34</v>
      </c>
      <c r="K12" s="13" t="s">
        <v>34</v>
      </c>
      <c r="L12" s="13" t="s">
        <v>34</v>
      </c>
      <c r="M12" s="13">
        <v>26</v>
      </c>
      <c r="N12" s="13" t="s">
        <v>43</v>
      </c>
      <c r="O12" s="13">
        <v>0.98750000000000004</v>
      </c>
      <c r="P12" s="13">
        <v>0.58499999999999996</v>
      </c>
      <c r="Q12" s="13">
        <v>0</v>
      </c>
      <c r="R12" s="13" t="s">
        <v>34</v>
      </c>
      <c r="S12" s="36">
        <f t="shared" si="1"/>
        <v>1.27407407407407E-4</v>
      </c>
      <c r="T12" s="13" t="s">
        <v>36</v>
      </c>
      <c r="U12" s="13" t="s">
        <v>37</v>
      </c>
      <c r="V12" s="13" t="s">
        <v>38</v>
      </c>
      <c r="W12" s="13" t="s">
        <v>34</v>
      </c>
      <c r="X12" s="13">
        <v>0.25</v>
      </c>
      <c r="Y12" s="13">
        <v>1</v>
      </c>
      <c r="Z12" s="13" t="s">
        <v>39</v>
      </c>
      <c r="AA12" s="13" t="s">
        <v>34</v>
      </c>
      <c r="AB12" s="13" t="s">
        <v>34</v>
      </c>
      <c r="AC12" s="13" t="s">
        <v>40</v>
      </c>
      <c r="AD12" s="13" t="s">
        <v>32</v>
      </c>
      <c r="AE12" s="13">
        <v>0.46910000000000002</v>
      </c>
      <c r="AF12" s="21" t="s">
        <v>45</v>
      </c>
      <c r="AG12" s="13">
        <v>2013</v>
      </c>
      <c r="AH12" s="21" t="s">
        <v>46</v>
      </c>
      <c r="AI12" s="99">
        <f t="shared" si="0"/>
        <v>0.33284883720930336</v>
      </c>
    </row>
    <row r="13" spans="1:35" x14ac:dyDescent="0.3">
      <c r="A13" s="11">
        <v>5.4881101376720904</v>
      </c>
      <c r="B13" s="45">
        <v>3.7222222222222202E-5</v>
      </c>
      <c r="C13" s="10" t="s">
        <v>33</v>
      </c>
      <c r="D13" s="10" t="s">
        <v>35</v>
      </c>
      <c r="E13" s="10" t="s">
        <v>170</v>
      </c>
      <c r="F13" s="10" t="s">
        <v>34</v>
      </c>
      <c r="G13" s="20">
        <v>0.16500000000000001</v>
      </c>
      <c r="H13" s="13" t="s">
        <v>34</v>
      </c>
      <c r="I13" s="13" t="s">
        <v>34</v>
      </c>
      <c r="J13" s="13" t="s">
        <v>34</v>
      </c>
      <c r="K13" s="13" t="s">
        <v>34</v>
      </c>
      <c r="L13" s="13" t="s">
        <v>34</v>
      </c>
      <c r="M13" s="13">
        <v>26</v>
      </c>
      <c r="N13" s="13" t="s">
        <v>43</v>
      </c>
      <c r="O13" s="13">
        <v>0.98750000000000004</v>
      </c>
      <c r="P13" s="13">
        <v>0.58499999999999996</v>
      </c>
      <c r="Q13" s="13">
        <v>0</v>
      </c>
      <c r="R13" s="13" t="s">
        <v>34</v>
      </c>
      <c r="S13" s="36">
        <f t="shared" si="1"/>
        <v>1.27407407407407E-4</v>
      </c>
      <c r="T13" s="13" t="s">
        <v>36</v>
      </c>
      <c r="U13" s="13" t="s">
        <v>37</v>
      </c>
      <c r="V13" s="13" t="s">
        <v>38</v>
      </c>
      <c r="W13" s="13" t="s">
        <v>34</v>
      </c>
      <c r="X13" s="13">
        <v>0.25</v>
      </c>
      <c r="Y13" s="13">
        <v>1</v>
      </c>
      <c r="Z13" s="13" t="s">
        <v>39</v>
      </c>
      <c r="AA13" s="13" t="s">
        <v>34</v>
      </c>
      <c r="AB13" s="13" t="s">
        <v>34</v>
      </c>
      <c r="AC13" s="13" t="s">
        <v>40</v>
      </c>
      <c r="AD13" s="13" t="s">
        <v>32</v>
      </c>
      <c r="AE13" s="13">
        <v>0.46910000000000002</v>
      </c>
      <c r="AF13" s="21" t="s">
        <v>45</v>
      </c>
      <c r="AG13" s="13">
        <v>2013</v>
      </c>
      <c r="AH13" s="21" t="s">
        <v>46</v>
      </c>
      <c r="AI13" s="99">
        <f t="shared" si="0"/>
        <v>0.29215116279069847</v>
      </c>
    </row>
    <row r="14" spans="1:35" x14ac:dyDescent="0.3">
      <c r="A14" s="11">
        <v>6.0450563204004997</v>
      </c>
      <c r="B14" s="45">
        <v>3.5555555555555499E-5</v>
      </c>
      <c r="C14" s="10" t="s">
        <v>33</v>
      </c>
      <c r="D14" s="10" t="s">
        <v>35</v>
      </c>
      <c r="E14" s="10" t="s">
        <v>170</v>
      </c>
      <c r="F14" s="10" t="s">
        <v>34</v>
      </c>
      <c r="G14" s="20">
        <v>0.16500000000000001</v>
      </c>
      <c r="H14" s="13" t="s">
        <v>34</v>
      </c>
      <c r="I14" s="13" t="s">
        <v>34</v>
      </c>
      <c r="J14" s="13" t="s">
        <v>34</v>
      </c>
      <c r="K14" s="13" t="s">
        <v>34</v>
      </c>
      <c r="L14" s="13" t="s">
        <v>34</v>
      </c>
      <c r="M14" s="13">
        <v>26</v>
      </c>
      <c r="N14" s="13" t="s">
        <v>43</v>
      </c>
      <c r="O14" s="13">
        <v>0.98750000000000004</v>
      </c>
      <c r="P14" s="13">
        <v>0.58499999999999996</v>
      </c>
      <c r="Q14" s="13">
        <v>0</v>
      </c>
      <c r="R14" s="13" t="s">
        <v>34</v>
      </c>
      <c r="S14" s="36">
        <f t="shared" si="1"/>
        <v>1.27407407407407E-4</v>
      </c>
      <c r="T14" s="13" t="s">
        <v>36</v>
      </c>
      <c r="U14" s="13" t="s">
        <v>37</v>
      </c>
      <c r="V14" s="13" t="s">
        <v>38</v>
      </c>
      <c r="W14" s="13" t="s">
        <v>34</v>
      </c>
      <c r="X14" s="13">
        <v>0.25</v>
      </c>
      <c r="Y14" s="13">
        <v>1</v>
      </c>
      <c r="Z14" s="13" t="s">
        <v>39</v>
      </c>
      <c r="AA14" s="13" t="s">
        <v>34</v>
      </c>
      <c r="AB14" s="13" t="s">
        <v>34</v>
      </c>
      <c r="AC14" s="13" t="s">
        <v>40</v>
      </c>
      <c r="AD14" s="13" t="s">
        <v>32</v>
      </c>
      <c r="AE14" s="13">
        <v>0.46910000000000002</v>
      </c>
      <c r="AF14" s="21" t="s">
        <v>45</v>
      </c>
      <c r="AG14" s="13">
        <v>2013</v>
      </c>
      <c r="AH14" s="21" t="s">
        <v>46</v>
      </c>
      <c r="AI14" s="99">
        <f t="shared" si="0"/>
        <v>0.27906976744186091</v>
      </c>
    </row>
    <row r="15" spans="1:35" x14ac:dyDescent="0.3">
      <c r="A15" s="11">
        <v>6.5331664580725901</v>
      </c>
      <c r="B15" s="45">
        <v>3.3703703703703699E-5</v>
      </c>
      <c r="C15" s="10" t="s">
        <v>33</v>
      </c>
      <c r="D15" s="10" t="s">
        <v>35</v>
      </c>
      <c r="E15" s="10" t="s">
        <v>170</v>
      </c>
      <c r="F15" s="10" t="s">
        <v>34</v>
      </c>
      <c r="G15" s="20">
        <v>0.16500000000000001</v>
      </c>
      <c r="H15" s="13" t="s">
        <v>34</v>
      </c>
      <c r="I15" s="13" t="s">
        <v>34</v>
      </c>
      <c r="J15" s="13" t="s">
        <v>34</v>
      </c>
      <c r="K15" s="13" t="s">
        <v>34</v>
      </c>
      <c r="L15" s="13" t="s">
        <v>34</v>
      </c>
      <c r="M15" s="13">
        <v>26</v>
      </c>
      <c r="N15" s="13" t="s">
        <v>43</v>
      </c>
      <c r="O15" s="13">
        <v>0.98750000000000004</v>
      </c>
      <c r="P15" s="13">
        <v>0.58499999999999996</v>
      </c>
      <c r="Q15" s="13">
        <v>0</v>
      </c>
      <c r="R15" s="13" t="s">
        <v>34</v>
      </c>
      <c r="S15" s="36">
        <f t="shared" si="1"/>
        <v>1.27407407407407E-4</v>
      </c>
      <c r="T15" s="13" t="s">
        <v>36</v>
      </c>
      <c r="U15" s="13" t="s">
        <v>37</v>
      </c>
      <c r="V15" s="13" t="s">
        <v>38</v>
      </c>
      <c r="W15" s="13" t="s">
        <v>34</v>
      </c>
      <c r="X15" s="13">
        <v>0.25</v>
      </c>
      <c r="Y15" s="13">
        <v>1</v>
      </c>
      <c r="Z15" s="13" t="s">
        <v>39</v>
      </c>
      <c r="AA15" s="13" t="s">
        <v>34</v>
      </c>
      <c r="AB15" s="13" t="s">
        <v>34</v>
      </c>
      <c r="AC15" s="13" t="s">
        <v>40</v>
      </c>
      <c r="AD15" s="13" t="s">
        <v>32</v>
      </c>
      <c r="AE15" s="13">
        <v>0.46910000000000002</v>
      </c>
      <c r="AF15" s="21" t="s">
        <v>45</v>
      </c>
      <c r="AG15" s="13">
        <v>2013</v>
      </c>
      <c r="AH15" s="21" t="s">
        <v>46</v>
      </c>
      <c r="AI15" s="99">
        <f t="shared" si="0"/>
        <v>0.26453488372093104</v>
      </c>
    </row>
    <row r="16" spans="1:35" x14ac:dyDescent="0.3">
      <c r="A16" s="11">
        <v>7.0588235294117601</v>
      </c>
      <c r="B16" s="45">
        <v>3.5555555555555499E-5</v>
      </c>
      <c r="C16" s="10" t="s">
        <v>33</v>
      </c>
      <c r="D16" s="10" t="s">
        <v>35</v>
      </c>
      <c r="E16" s="10" t="s">
        <v>170</v>
      </c>
      <c r="F16" s="10" t="s">
        <v>34</v>
      </c>
      <c r="G16" s="20">
        <v>0.16500000000000001</v>
      </c>
      <c r="H16" s="13" t="s">
        <v>34</v>
      </c>
      <c r="I16" s="13" t="s">
        <v>34</v>
      </c>
      <c r="J16" s="13" t="s">
        <v>34</v>
      </c>
      <c r="K16" s="13" t="s">
        <v>34</v>
      </c>
      <c r="L16" s="13" t="s">
        <v>34</v>
      </c>
      <c r="M16" s="13">
        <v>26</v>
      </c>
      <c r="N16" s="13" t="s">
        <v>43</v>
      </c>
      <c r="O16" s="13">
        <v>0.98750000000000004</v>
      </c>
      <c r="P16" s="13">
        <v>0.58499999999999996</v>
      </c>
      <c r="Q16" s="13">
        <v>0</v>
      </c>
      <c r="R16" s="13" t="s">
        <v>34</v>
      </c>
      <c r="S16" s="36">
        <f t="shared" si="1"/>
        <v>1.27407407407407E-4</v>
      </c>
      <c r="T16" s="13" t="s">
        <v>36</v>
      </c>
      <c r="U16" s="13" t="s">
        <v>37</v>
      </c>
      <c r="V16" s="13" t="s">
        <v>38</v>
      </c>
      <c r="W16" s="13" t="s">
        <v>34</v>
      </c>
      <c r="X16" s="13">
        <v>0.25</v>
      </c>
      <c r="Y16" s="13">
        <v>1</v>
      </c>
      <c r="Z16" s="13" t="s">
        <v>39</v>
      </c>
      <c r="AA16" s="13" t="s">
        <v>34</v>
      </c>
      <c r="AB16" s="13" t="s">
        <v>34</v>
      </c>
      <c r="AC16" s="13" t="s">
        <v>40</v>
      </c>
      <c r="AD16" s="13" t="s">
        <v>32</v>
      </c>
      <c r="AE16" s="13">
        <v>0.46910000000000002</v>
      </c>
      <c r="AF16" s="21" t="s">
        <v>45</v>
      </c>
      <c r="AG16" s="13">
        <v>2013</v>
      </c>
      <c r="AH16" s="21" t="s">
        <v>46</v>
      </c>
      <c r="AI16" s="99">
        <f t="shared" si="0"/>
        <v>0.27906976744186091</v>
      </c>
    </row>
    <row r="17" spans="1:35" x14ac:dyDescent="0.3">
      <c r="A17" s="11">
        <v>7.59699624530663</v>
      </c>
      <c r="B17" s="45">
        <v>3.5555555555555499E-5</v>
      </c>
      <c r="C17" s="10" t="s">
        <v>33</v>
      </c>
      <c r="D17" s="10" t="s">
        <v>35</v>
      </c>
      <c r="E17" s="10" t="s">
        <v>170</v>
      </c>
      <c r="F17" s="10" t="s">
        <v>34</v>
      </c>
      <c r="G17" s="20">
        <v>0.16500000000000001</v>
      </c>
      <c r="H17" s="13" t="s">
        <v>34</v>
      </c>
      <c r="I17" s="13" t="s">
        <v>34</v>
      </c>
      <c r="J17" s="13" t="s">
        <v>34</v>
      </c>
      <c r="K17" s="13" t="s">
        <v>34</v>
      </c>
      <c r="L17" s="13" t="s">
        <v>34</v>
      </c>
      <c r="M17" s="13">
        <v>26</v>
      </c>
      <c r="N17" s="13" t="s">
        <v>43</v>
      </c>
      <c r="O17" s="13">
        <v>0.98750000000000004</v>
      </c>
      <c r="P17" s="13">
        <v>0.58499999999999996</v>
      </c>
      <c r="Q17" s="13">
        <v>0</v>
      </c>
      <c r="R17" s="13" t="s">
        <v>34</v>
      </c>
      <c r="S17" s="36">
        <f t="shared" si="1"/>
        <v>1.27407407407407E-4</v>
      </c>
      <c r="T17" s="13" t="s">
        <v>36</v>
      </c>
      <c r="U17" s="13" t="s">
        <v>37</v>
      </c>
      <c r="V17" s="13" t="s">
        <v>38</v>
      </c>
      <c r="W17" s="13" t="s">
        <v>34</v>
      </c>
      <c r="X17" s="13">
        <v>0.25</v>
      </c>
      <c r="Y17" s="13">
        <v>1</v>
      </c>
      <c r="Z17" s="13" t="s">
        <v>39</v>
      </c>
      <c r="AA17" s="13" t="s">
        <v>34</v>
      </c>
      <c r="AB17" s="13" t="s">
        <v>34</v>
      </c>
      <c r="AC17" s="13" t="s">
        <v>40</v>
      </c>
      <c r="AD17" s="13" t="s">
        <v>32</v>
      </c>
      <c r="AE17" s="13">
        <v>0.46910000000000002</v>
      </c>
      <c r="AF17" s="21" t="s">
        <v>45</v>
      </c>
      <c r="AG17" s="13">
        <v>2013</v>
      </c>
      <c r="AH17" s="21" t="s">
        <v>46</v>
      </c>
      <c r="AI17" s="99">
        <f t="shared" si="0"/>
        <v>0.27906976744186091</v>
      </c>
    </row>
    <row r="18" spans="1:35" x14ac:dyDescent="0.3">
      <c r="A18" s="11">
        <v>1.2515644555694601E-2</v>
      </c>
      <c r="B18" s="45">
        <v>7.8888888888888894E-5</v>
      </c>
      <c r="C18" s="10" t="s">
        <v>33</v>
      </c>
      <c r="D18" s="10" t="s">
        <v>35</v>
      </c>
      <c r="E18" s="10" t="s">
        <v>170</v>
      </c>
      <c r="F18" s="10" t="s">
        <v>34</v>
      </c>
      <c r="G18" s="20">
        <v>0.16500000000000001</v>
      </c>
      <c r="H18" s="13" t="s">
        <v>34</v>
      </c>
      <c r="I18" s="13" t="s">
        <v>34</v>
      </c>
      <c r="J18" s="13" t="s">
        <v>34</v>
      </c>
      <c r="K18" s="13" t="s">
        <v>34</v>
      </c>
      <c r="L18" s="13" t="s">
        <v>34</v>
      </c>
      <c r="M18" s="13">
        <v>65</v>
      </c>
      <c r="N18" s="13" t="s">
        <v>43</v>
      </c>
      <c r="O18" s="13">
        <v>0.98750000000000004</v>
      </c>
      <c r="P18" s="13">
        <v>0.58499999999999996</v>
      </c>
      <c r="Q18" s="13">
        <v>0</v>
      </c>
      <c r="R18" s="13" t="s">
        <v>34</v>
      </c>
      <c r="S18" s="36">
        <f t="shared" si="1"/>
        <v>1.27407407407407E-4</v>
      </c>
      <c r="T18" s="13" t="s">
        <v>36</v>
      </c>
      <c r="U18" s="13" t="s">
        <v>37</v>
      </c>
      <c r="V18" s="13" t="s">
        <v>38</v>
      </c>
      <c r="W18" s="13" t="s">
        <v>34</v>
      </c>
      <c r="X18" s="13">
        <v>0.25</v>
      </c>
      <c r="Y18" s="13">
        <v>1</v>
      </c>
      <c r="Z18" s="13" t="s">
        <v>39</v>
      </c>
      <c r="AA18" s="13" t="s">
        <v>34</v>
      </c>
      <c r="AB18" s="13" t="s">
        <v>34</v>
      </c>
      <c r="AC18" s="13" t="s">
        <v>40</v>
      </c>
      <c r="AD18" s="13" t="s">
        <v>32</v>
      </c>
      <c r="AE18" s="13">
        <v>0.46910000000000002</v>
      </c>
      <c r="AF18" s="21" t="s">
        <v>45</v>
      </c>
      <c r="AG18" s="13">
        <v>2013</v>
      </c>
      <c r="AH18" s="21" t="s">
        <v>46</v>
      </c>
      <c r="AI18" s="99">
        <f t="shared" si="0"/>
        <v>0.6191860465116299</v>
      </c>
    </row>
    <row r="19" spans="1:35" x14ac:dyDescent="0.3">
      <c r="A19" s="11">
        <v>0.93867334167709604</v>
      </c>
      <c r="B19" s="45">
        <v>7.8518518518518496E-5</v>
      </c>
      <c r="C19" s="10" t="s">
        <v>33</v>
      </c>
      <c r="D19" s="10" t="s">
        <v>35</v>
      </c>
      <c r="E19" s="10" t="s">
        <v>170</v>
      </c>
      <c r="F19" s="10" t="s">
        <v>34</v>
      </c>
      <c r="G19" s="20">
        <v>0.16500000000000001</v>
      </c>
      <c r="H19" s="13" t="s">
        <v>34</v>
      </c>
      <c r="I19" s="13" t="s">
        <v>34</v>
      </c>
      <c r="J19" s="13" t="s">
        <v>34</v>
      </c>
      <c r="K19" s="13" t="s">
        <v>34</v>
      </c>
      <c r="L19" s="13" t="s">
        <v>34</v>
      </c>
      <c r="M19" s="13">
        <v>65</v>
      </c>
      <c r="N19" s="13" t="s">
        <v>43</v>
      </c>
      <c r="O19" s="13">
        <v>0.98750000000000004</v>
      </c>
      <c r="P19" s="13">
        <v>0.58499999999999996</v>
      </c>
      <c r="Q19" s="13">
        <v>0</v>
      </c>
      <c r="R19" s="13" t="s">
        <v>34</v>
      </c>
      <c r="S19" s="36">
        <f t="shared" si="1"/>
        <v>1.27407407407407E-4</v>
      </c>
      <c r="T19" s="13" t="s">
        <v>36</v>
      </c>
      <c r="U19" s="13" t="s">
        <v>37</v>
      </c>
      <c r="V19" s="13" t="s">
        <v>38</v>
      </c>
      <c r="W19" s="13" t="s">
        <v>34</v>
      </c>
      <c r="X19" s="13">
        <v>0.25</v>
      </c>
      <c r="Y19" s="13">
        <v>1</v>
      </c>
      <c r="Z19" s="13" t="s">
        <v>39</v>
      </c>
      <c r="AA19" s="13" t="s">
        <v>34</v>
      </c>
      <c r="AB19" s="13" t="s">
        <v>34</v>
      </c>
      <c r="AC19" s="13" t="s">
        <v>40</v>
      </c>
      <c r="AD19" s="13" t="s">
        <v>32</v>
      </c>
      <c r="AE19" s="13">
        <v>0.46910000000000002</v>
      </c>
      <c r="AF19" s="21" t="s">
        <v>45</v>
      </c>
      <c r="AG19" s="13">
        <v>2013</v>
      </c>
      <c r="AH19" s="21" t="s">
        <v>46</v>
      </c>
      <c r="AI19" s="99">
        <f t="shared" si="0"/>
        <v>0.61627906976744362</v>
      </c>
    </row>
    <row r="20" spans="1:35" x14ac:dyDescent="0.3">
      <c r="A20" s="11">
        <v>1.2140175219023699</v>
      </c>
      <c r="B20" s="45">
        <v>7.8888888888888894E-5</v>
      </c>
      <c r="C20" s="10" t="s">
        <v>33</v>
      </c>
      <c r="D20" s="10" t="s">
        <v>35</v>
      </c>
      <c r="E20" s="10" t="s">
        <v>170</v>
      </c>
      <c r="F20" s="10" t="s">
        <v>34</v>
      </c>
      <c r="G20" s="20">
        <v>0.16500000000000001</v>
      </c>
      <c r="H20" s="13" t="s">
        <v>34</v>
      </c>
      <c r="I20" s="13" t="s">
        <v>34</v>
      </c>
      <c r="J20" s="13" t="s">
        <v>34</v>
      </c>
      <c r="K20" s="13" t="s">
        <v>34</v>
      </c>
      <c r="L20" s="13" t="s">
        <v>34</v>
      </c>
      <c r="M20" s="13">
        <v>65</v>
      </c>
      <c r="N20" s="13" t="s">
        <v>43</v>
      </c>
      <c r="O20" s="13">
        <v>0.98750000000000004</v>
      </c>
      <c r="P20" s="13">
        <v>0.58499999999999996</v>
      </c>
      <c r="Q20" s="13">
        <v>0</v>
      </c>
      <c r="R20" s="13" t="s">
        <v>34</v>
      </c>
      <c r="S20" s="36">
        <f t="shared" si="1"/>
        <v>1.27407407407407E-4</v>
      </c>
      <c r="T20" s="13" t="s">
        <v>36</v>
      </c>
      <c r="U20" s="13" t="s">
        <v>37</v>
      </c>
      <c r="V20" s="13" t="s">
        <v>38</v>
      </c>
      <c r="W20" s="13" t="s">
        <v>34</v>
      </c>
      <c r="X20" s="13">
        <v>0.25</v>
      </c>
      <c r="Y20" s="13">
        <v>1</v>
      </c>
      <c r="Z20" s="13" t="s">
        <v>39</v>
      </c>
      <c r="AA20" s="13" t="s">
        <v>34</v>
      </c>
      <c r="AB20" s="13" t="s">
        <v>34</v>
      </c>
      <c r="AC20" s="13" t="s">
        <v>40</v>
      </c>
      <c r="AD20" s="13" t="s">
        <v>32</v>
      </c>
      <c r="AE20" s="13">
        <v>0.46910000000000002</v>
      </c>
      <c r="AF20" s="21" t="s">
        <v>45</v>
      </c>
      <c r="AG20" s="13">
        <v>2013</v>
      </c>
      <c r="AH20" s="21" t="s">
        <v>46</v>
      </c>
      <c r="AI20" s="99">
        <f t="shared" si="0"/>
        <v>0.6191860465116299</v>
      </c>
    </row>
    <row r="21" spans="1:35" x14ac:dyDescent="0.3">
      <c r="A21" s="11">
        <v>1.8397997496870999</v>
      </c>
      <c r="B21" s="45">
        <v>6.2962962962962894E-5</v>
      </c>
      <c r="C21" s="10" t="s">
        <v>33</v>
      </c>
      <c r="D21" s="10" t="s">
        <v>35</v>
      </c>
      <c r="E21" s="10" t="s">
        <v>170</v>
      </c>
      <c r="F21" s="10" t="s">
        <v>34</v>
      </c>
      <c r="G21" s="20">
        <v>0.16500000000000001</v>
      </c>
      <c r="H21" s="13" t="s">
        <v>34</v>
      </c>
      <c r="I21" s="13" t="s">
        <v>34</v>
      </c>
      <c r="J21" s="13" t="s">
        <v>34</v>
      </c>
      <c r="K21" s="13" t="s">
        <v>34</v>
      </c>
      <c r="L21" s="13" t="s">
        <v>34</v>
      </c>
      <c r="M21" s="13">
        <v>65</v>
      </c>
      <c r="N21" s="13" t="s">
        <v>43</v>
      </c>
      <c r="O21" s="13">
        <v>0.98750000000000004</v>
      </c>
      <c r="P21" s="13">
        <v>0.58499999999999996</v>
      </c>
      <c r="Q21" s="13">
        <v>0</v>
      </c>
      <c r="R21" s="13" t="s">
        <v>34</v>
      </c>
      <c r="S21" s="36">
        <f t="shared" si="1"/>
        <v>1.27407407407407E-4</v>
      </c>
      <c r="T21" s="13" t="s">
        <v>36</v>
      </c>
      <c r="U21" s="13" t="s">
        <v>37</v>
      </c>
      <c r="V21" s="13" t="s">
        <v>38</v>
      </c>
      <c r="W21" s="13" t="s">
        <v>34</v>
      </c>
      <c r="X21" s="13">
        <v>0.25</v>
      </c>
      <c r="Y21" s="13">
        <v>1</v>
      </c>
      <c r="Z21" s="13" t="s">
        <v>39</v>
      </c>
      <c r="AA21" s="13" t="s">
        <v>34</v>
      </c>
      <c r="AB21" s="13" t="s">
        <v>34</v>
      </c>
      <c r="AC21" s="13" t="s">
        <v>40</v>
      </c>
      <c r="AD21" s="13" t="s">
        <v>32</v>
      </c>
      <c r="AE21" s="13">
        <v>0.46910000000000002</v>
      </c>
      <c r="AF21" s="21" t="s">
        <v>45</v>
      </c>
      <c r="AG21" s="13">
        <v>2013</v>
      </c>
      <c r="AH21" s="21" t="s">
        <v>46</v>
      </c>
      <c r="AI21" s="99">
        <f t="shared" si="0"/>
        <v>0.49418604651162895</v>
      </c>
    </row>
    <row r="22" spans="1:35" x14ac:dyDescent="0.3">
      <c r="A22" s="11">
        <v>2.1526908635794699</v>
      </c>
      <c r="B22" s="45">
        <v>5.7037037037037001E-5</v>
      </c>
      <c r="C22" s="10" t="s">
        <v>33</v>
      </c>
      <c r="D22" s="10" t="s">
        <v>35</v>
      </c>
      <c r="E22" s="10" t="s">
        <v>170</v>
      </c>
      <c r="F22" s="10" t="s">
        <v>34</v>
      </c>
      <c r="G22" s="20">
        <v>0.16500000000000001</v>
      </c>
      <c r="H22" s="13" t="s">
        <v>34</v>
      </c>
      <c r="I22" s="13" t="s">
        <v>34</v>
      </c>
      <c r="J22" s="13" t="s">
        <v>34</v>
      </c>
      <c r="K22" s="13" t="s">
        <v>34</v>
      </c>
      <c r="L22" s="13" t="s">
        <v>34</v>
      </c>
      <c r="M22" s="13">
        <v>65</v>
      </c>
      <c r="N22" s="13" t="s">
        <v>43</v>
      </c>
      <c r="O22" s="13">
        <v>0.98750000000000004</v>
      </c>
      <c r="P22" s="13">
        <v>0.58499999999999996</v>
      </c>
      <c r="Q22" s="13">
        <v>0</v>
      </c>
      <c r="R22" s="13" t="s">
        <v>34</v>
      </c>
      <c r="S22" s="36">
        <f t="shared" si="1"/>
        <v>1.27407407407407E-4</v>
      </c>
      <c r="T22" s="13" t="s">
        <v>36</v>
      </c>
      <c r="U22" s="13" t="s">
        <v>37</v>
      </c>
      <c r="V22" s="13" t="s">
        <v>38</v>
      </c>
      <c r="W22" s="13" t="s">
        <v>34</v>
      </c>
      <c r="X22" s="13">
        <v>0.25</v>
      </c>
      <c r="Y22" s="13">
        <v>1</v>
      </c>
      <c r="Z22" s="13" t="s">
        <v>39</v>
      </c>
      <c r="AA22" s="13" t="s">
        <v>34</v>
      </c>
      <c r="AB22" s="13" t="s">
        <v>34</v>
      </c>
      <c r="AC22" s="13" t="s">
        <v>40</v>
      </c>
      <c r="AD22" s="13" t="s">
        <v>32</v>
      </c>
      <c r="AE22" s="13">
        <v>0.46910000000000002</v>
      </c>
      <c r="AF22" s="21" t="s">
        <v>45</v>
      </c>
      <c r="AG22" s="13">
        <v>2013</v>
      </c>
      <c r="AH22" s="21" t="s">
        <v>46</v>
      </c>
      <c r="AI22" s="99">
        <f t="shared" si="0"/>
        <v>0.44767441860465229</v>
      </c>
    </row>
    <row r="23" spans="1:35" x14ac:dyDescent="0.3">
      <c r="A23" s="11">
        <v>2.4593241551939902</v>
      </c>
      <c r="B23" s="45">
        <v>5.2407407407407399E-5</v>
      </c>
      <c r="C23" s="10" t="s">
        <v>33</v>
      </c>
      <c r="D23" s="10" t="s">
        <v>35</v>
      </c>
      <c r="E23" s="10" t="s">
        <v>170</v>
      </c>
      <c r="F23" s="10" t="s">
        <v>34</v>
      </c>
      <c r="G23" s="20">
        <v>0.16500000000000001</v>
      </c>
      <c r="H23" s="13" t="s">
        <v>34</v>
      </c>
      <c r="I23" s="13" t="s">
        <v>34</v>
      </c>
      <c r="J23" s="13" t="s">
        <v>34</v>
      </c>
      <c r="K23" s="13" t="s">
        <v>34</v>
      </c>
      <c r="L23" s="13" t="s">
        <v>34</v>
      </c>
      <c r="M23" s="13">
        <v>65</v>
      </c>
      <c r="N23" s="13" t="s">
        <v>43</v>
      </c>
      <c r="O23" s="13">
        <v>0.98750000000000004</v>
      </c>
      <c r="P23" s="13">
        <v>0.58499999999999996</v>
      </c>
      <c r="Q23" s="13">
        <v>0</v>
      </c>
      <c r="R23" s="13" t="s">
        <v>34</v>
      </c>
      <c r="S23" s="36">
        <f t="shared" si="1"/>
        <v>1.27407407407407E-4</v>
      </c>
      <c r="T23" s="13" t="s">
        <v>36</v>
      </c>
      <c r="U23" s="13" t="s">
        <v>37</v>
      </c>
      <c r="V23" s="13" t="s">
        <v>38</v>
      </c>
      <c r="W23" s="13" t="s">
        <v>34</v>
      </c>
      <c r="X23" s="13">
        <v>0.25</v>
      </c>
      <c r="Y23" s="13">
        <v>1</v>
      </c>
      <c r="Z23" s="13" t="s">
        <v>39</v>
      </c>
      <c r="AA23" s="13" t="s">
        <v>34</v>
      </c>
      <c r="AB23" s="13" t="s">
        <v>34</v>
      </c>
      <c r="AC23" s="13" t="s">
        <v>40</v>
      </c>
      <c r="AD23" s="13" t="s">
        <v>32</v>
      </c>
      <c r="AE23" s="13">
        <v>0.46910000000000002</v>
      </c>
      <c r="AF23" s="21" t="s">
        <v>45</v>
      </c>
      <c r="AG23" s="13">
        <v>2013</v>
      </c>
      <c r="AH23" s="21" t="s">
        <v>46</v>
      </c>
      <c r="AI23" s="99">
        <f t="shared" si="0"/>
        <v>0.41133720930232681</v>
      </c>
    </row>
    <row r="24" spans="1:35" x14ac:dyDescent="0.3">
      <c r="A24" s="11">
        <v>2.74718397997496</v>
      </c>
      <c r="B24" s="45">
        <v>5.22222222222222E-5</v>
      </c>
      <c r="C24" s="10" t="s">
        <v>33</v>
      </c>
      <c r="D24" s="10" t="s">
        <v>35</v>
      </c>
      <c r="E24" s="10" t="s">
        <v>170</v>
      </c>
      <c r="F24" s="10" t="s">
        <v>34</v>
      </c>
      <c r="G24" s="20">
        <v>0.16500000000000001</v>
      </c>
      <c r="H24" s="13" t="s">
        <v>34</v>
      </c>
      <c r="I24" s="13" t="s">
        <v>34</v>
      </c>
      <c r="J24" s="13" t="s">
        <v>34</v>
      </c>
      <c r="K24" s="13" t="s">
        <v>34</v>
      </c>
      <c r="L24" s="13" t="s">
        <v>34</v>
      </c>
      <c r="M24" s="13">
        <v>65</v>
      </c>
      <c r="N24" s="13" t="s">
        <v>43</v>
      </c>
      <c r="O24" s="13">
        <v>0.98750000000000004</v>
      </c>
      <c r="P24" s="13">
        <v>0.58499999999999996</v>
      </c>
      <c r="Q24" s="13">
        <v>0</v>
      </c>
      <c r="R24" s="13" t="s">
        <v>34</v>
      </c>
      <c r="S24" s="36">
        <f t="shared" si="1"/>
        <v>1.27407407407407E-4</v>
      </c>
      <c r="T24" s="13" t="s">
        <v>36</v>
      </c>
      <c r="U24" s="13" t="s">
        <v>37</v>
      </c>
      <c r="V24" s="13" t="s">
        <v>38</v>
      </c>
      <c r="W24" s="13" t="s">
        <v>34</v>
      </c>
      <c r="X24" s="13">
        <v>0.25</v>
      </c>
      <c r="Y24" s="13">
        <v>1</v>
      </c>
      <c r="Z24" s="13" t="s">
        <v>39</v>
      </c>
      <c r="AA24" s="13" t="s">
        <v>34</v>
      </c>
      <c r="AB24" s="13" t="s">
        <v>34</v>
      </c>
      <c r="AC24" s="13" t="s">
        <v>40</v>
      </c>
      <c r="AD24" s="13" t="s">
        <v>32</v>
      </c>
      <c r="AE24" s="13">
        <v>0.46910000000000002</v>
      </c>
      <c r="AF24" s="21" t="s">
        <v>45</v>
      </c>
      <c r="AG24" s="13">
        <v>2013</v>
      </c>
      <c r="AH24" s="21" t="s">
        <v>46</v>
      </c>
      <c r="AI24" s="99">
        <f t="shared" si="0"/>
        <v>0.40988372093023367</v>
      </c>
    </row>
    <row r="25" spans="1:35" x14ac:dyDescent="0.3">
      <c r="A25" s="11">
        <v>3.07259073842302</v>
      </c>
      <c r="B25" s="45">
        <v>6.2962962962963002E-5</v>
      </c>
      <c r="C25" s="10" t="s">
        <v>33</v>
      </c>
      <c r="D25" s="10" t="s">
        <v>35</v>
      </c>
      <c r="E25" s="10" t="s">
        <v>170</v>
      </c>
      <c r="F25" s="10" t="s">
        <v>34</v>
      </c>
      <c r="G25" s="20">
        <v>0.16500000000000001</v>
      </c>
      <c r="H25" s="13" t="s">
        <v>34</v>
      </c>
      <c r="I25" s="13" t="s">
        <v>34</v>
      </c>
      <c r="J25" s="13" t="s">
        <v>34</v>
      </c>
      <c r="K25" s="13" t="s">
        <v>34</v>
      </c>
      <c r="L25" s="13" t="s">
        <v>34</v>
      </c>
      <c r="M25" s="13">
        <v>65</v>
      </c>
      <c r="N25" s="13" t="s">
        <v>43</v>
      </c>
      <c r="O25" s="13">
        <v>0.98750000000000004</v>
      </c>
      <c r="P25" s="13">
        <v>0.58499999999999996</v>
      </c>
      <c r="Q25" s="13">
        <v>0</v>
      </c>
      <c r="R25" s="13" t="s">
        <v>34</v>
      </c>
      <c r="S25" s="36">
        <f t="shared" si="1"/>
        <v>1.27407407407407E-4</v>
      </c>
      <c r="T25" s="13" t="s">
        <v>36</v>
      </c>
      <c r="U25" s="13" t="s">
        <v>37</v>
      </c>
      <c r="V25" s="13" t="s">
        <v>38</v>
      </c>
      <c r="W25" s="13" t="s">
        <v>34</v>
      </c>
      <c r="X25" s="13">
        <v>0.25</v>
      </c>
      <c r="Y25" s="13">
        <v>1</v>
      </c>
      <c r="Z25" s="13" t="s">
        <v>39</v>
      </c>
      <c r="AA25" s="13" t="s">
        <v>34</v>
      </c>
      <c r="AB25" s="13" t="s">
        <v>34</v>
      </c>
      <c r="AC25" s="13" t="s">
        <v>40</v>
      </c>
      <c r="AD25" s="13" t="s">
        <v>32</v>
      </c>
      <c r="AE25" s="13">
        <v>0.46910000000000002</v>
      </c>
      <c r="AF25" s="21" t="s">
        <v>45</v>
      </c>
      <c r="AG25" s="13">
        <v>2013</v>
      </c>
      <c r="AH25" s="21" t="s">
        <v>46</v>
      </c>
      <c r="AI25" s="99">
        <f t="shared" si="0"/>
        <v>0.49418604651162978</v>
      </c>
    </row>
    <row r="26" spans="1:35" x14ac:dyDescent="0.3">
      <c r="A26" s="11">
        <v>3.3792240300375398</v>
      </c>
      <c r="B26" s="45">
        <v>5.22222222222222E-5</v>
      </c>
      <c r="C26" s="10" t="s">
        <v>33</v>
      </c>
      <c r="D26" s="10" t="s">
        <v>35</v>
      </c>
      <c r="E26" s="10" t="s">
        <v>170</v>
      </c>
      <c r="F26" s="10" t="s">
        <v>34</v>
      </c>
      <c r="G26" s="20">
        <v>0.16500000000000001</v>
      </c>
      <c r="H26" s="13" t="s">
        <v>34</v>
      </c>
      <c r="I26" s="13" t="s">
        <v>34</v>
      </c>
      <c r="J26" s="13" t="s">
        <v>34</v>
      </c>
      <c r="K26" s="13" t="s">
        <v>34</v>
      </c>
      <c r="L26" s="13" t="s">
        <v>34</v>
      </c>
      <c r="M26" s="13">
        <v>65</v>
      </c>
      <c r="N26" s="13" t="s">
        <v>43</v>
      </c>
      <c r="O26" s="13">
        <v>0.98750000000000004</v>
      </c>
      <c r="P26" s="13">
        <v>0.58499999999999996</v>
      </c>
      <c r="Q26" s="13">
        <v>0</v>
      </c>
      <c r="R26" s="13" t="s">
        <v>34</v>
      </c>
      <c r="S26" s="36">
        <f t="shared" si="1"/>
        <v>1.27407407407407E-4</v>
      </c>
      <c r="T26" s="13" t="s">
        <v>36</v>
      </c>
      <c r="U26" s="13" t="s">
        <v>37</v>
      </c>
      <c r="V26" s="13" t="s">
        <v>38</v>
      </c>
      <c r="W26" s="13" t="s">
        <v>34</v>
      </c>
      <c r="X26" s="13">
        <v>0.25</v>
      </c>
      <c r="Y26" s="13">
        <v>1</v>
      </c>
      <c r="Z26" s="13" t="s">
        <v>39</v>
      </c>
      <c r="AA26" s="13" t="s">
        <v>34</v>
      </c>
      <c r="AB26" s="13" t="s">
        <v>34</v>
      </c>
      <c r="AC26" s="13" t="s">
        <v>40</v>
      </c>
      <c r="AD26" s="13" t="s">
        <v>32</v>
      </c>
      <c r="AE26" s="13">
        <v>0.46910000000000002</v>
      </c>
      <c r="AF26" s="21" t="s">
        <v>45</v>
      </c>
      <c r="AG26" s="13">
        <v>2013</v>
      </c>
      <c r="AH26" s="21" t="s">
        <v>46</v>
      </c>
      <c r="AI26" s="99">
        <f t="shared" si="0"/>
        <v>0.40988372093023367</v>
      </c>
    </row>
    <row r="27" spans="1:35" x14ac:dyDescent="0.3">
      <c r="A27" s="11">
        <v>3.68585732165206</v>
      </c>
      <c r="B27" s="45">
        <v>5.2592592592592598E-5</v>
      </c>
      <c r="C27" s="10" t="s">
        <v>33</v>
      </c>
      <c r="D27" s="10" t="s">
        <v>35</v>
      </c>
      <c r="E27" s="10" t="s">
        <v>170</v>
      </c>
      <c r="F27" s="10" t="s">
        <v>34</v>
      </c>
      <c r="G27" s="20">
        <v>0.16500000000000001</v>
      </c>
      <c r="H27" s="13" t="s">
        <v>34</v>
      </c>
      <c r="I27" s="13" t="s">
        <v>34</v>
      </c>
      <c r="J27" s="13" t="s">
        <v>34</v>
      </c>
      <c r="K27" s="13" t="s">
        <v>34</v>
      </c>
      <c r="L27" s="13" t="s">
        <v>34</v>
      </c>
      <c r="M27" s="13">
        <v>65</v>
      </c>
      <c r="N27" s="13" t="s">
        <v>43</v>
      </c>
      <c r="O27" s="13">
        <v>0.98750000000000004</v>
      </c>
      <c r="P27" s="13">
        <v>0.58499999999999996</v>
      </c>
      <c r="Q27" s="13">
        <v>0</v>
      </c>
      <c r="R27" s="13" t="s">
        <v>34</v>
      </c>
      <c r="S27" s="36">
        <f t="shared" si="1"/>
        <v>1.27407407407407E-4</v>
      </c>
      <c r="T27" s="13" t="s">
        <v>36</v>
      </c>
      <c r="U27" s="13" t="s">
        <v>37</v>
      </c>
      <c r="V27" s="13" t="s">
        <v>38</v>
      </c>
      <c r="W27" s="13" t="s">
        <v>34</v>
      </c>
      <c r="X27" s="13">
        <v>0.25</v>
      </c>
      <c r="Y27" s="13">
        <v>1</v>
      </c>
      <c r="Z27" s="13" t="s">
        <v>39</v>
      </c>
      <c r="AA27" s="13" t="s">
        <v>34</v>
      </c>
      <c r="AB27" s="13" t="s">
        <v>34</v>
      </c>
      <c r="AC27" s="13" t="s">
        <v>40</v>
      </c>
      <c r="AD27" s="13" t="s">
        <v>32</v>
      </c>
      <c r="AE27" s="13">
        <v>0.46910000000000002</v>
      </c>
      <c r="AF27" s="21" t="s">
        <v>45</v>
      </c>
      <c r="AG27" s="13">
        <v>2013</v>
      </c>
      <c r="AH27" s="21" t="s">
        <v>46</v>
      </c>
      <c r="AI27" s="99">
        <f t="shared" si="0"/>
        <v>0.41279069767441995</v>
      </c>
    </row>
    <row r="28" spans="1:35" x14ac:dyDescent="0.3">
      <c r="A28" s="11">
        <v>1.5269086357947399</v>
      </c>
      <c r="B28" s="45">
        <v>6.3148148148148194E-5</v>
      </c>
      <c r="C28" s="10" t="s">
        <v>33</v>
      </c>
      <c r="D28" s="10" t="s">
        <v>35</v>
      </c>
      <c r="E28" s="10" t="s">
        <v>170</v>
      </c>
      <c r="F28" s="10" t="s">
        <v>34</v>
      </c>
      <c r="G28" s="20">
        <v>0.16500000000000001</v>
      </c>
      <c r="H28" s="13" t="s">
        <v>34</v>
      </c>
      <c r="I28" s="13" t="s">
        <v>34</v>
      </c>
      <c r="J28" s="13" t="s">
        <v>34</v>
      </c>
      <c r="K28" s="13" t="s">
        <v>34</v>
      </c>
      <c r="L28" s="13" t="s">
        <v>34</v>
      </c>
      <c r="M28" s="13">
        <v>65</v>
      </c>
      <c r="N28" s="13" t="s">
        <v>43</v>
      </c>
      <c r="O28" s="13">
        <v>0.98750000000000004</v>
      </c>
      <c r="P28" s="13">
        <v>0.58499999999999996</v>
      </c>
      <c r="Q28" s="13">
        <v>0</v>
      </c>
      <c r="R28" s="13" t="s">
        <v>34</v>
      </c>
      <c r="S28" s="36">
        <f t="shared" si="1"/>
        <v>1.27407407407407E-4</v>
      </c>
      <c r="T28" s="13" t="s">
        <v>36</v>
      </c>
      <c r="U28" s="13" t="s">
        <v>37</v>
      </c>
      <c r="V28" s="13" t="s">
        <v>38</v>
      </c>
      <c r="W28" s="13" t="s">
        <v>34</v>
      </c>
      <c r="X28" s="13">
        <v>0.25</v>
      </c>
      <c r="Y28" s="13">
        <v>1</v>
      </c>
      <c r="Z28" s="13" t="s">
        <v>39</v>
      </c>
      <c r="AA28" s="13" t="s">
        <v>34</v>
      </c>
      <c r="AB28" s="13" t="s">
        <v>34</v>
      </c>
      <c r="AC28" s="13" t="s">
        <v>40</v>
      </c>
      <c r="AD28" s="13" t="s">
        <v>32</v>
      </c>
      <c r="AE28" s="13">
        <v>0.46910000000000002</v>
      </c>
      <c r="AF28" s="21" t="s">
        <v>45</v>
      </c>
      <c r="AG28" s="13">
        <v>2013</v>
      </c>
      <c r="AH28" s="21" t="s">
        <v>46</v>
      </c>
      <c r="AI28" s="99">
        <f t="shared" si="0"/>
        <v>0.49563953488372287</v>
      </c>
    </row>
    <row r="29" spans="1:35" x14ac:dyDescent="0.3">
      <c r="A29" s="11">
        <v>0</v>
      </c>
      <c r="B29" s="45">
        <v>7.5740740740740694E-5</v>
      </c>
      <c r="C29" s="10" t="s">
        <v>33</v>
      </c>
      <c r="D29" s="10" t="s">
        <v>35</v>
      </c>
      <c r="E29" s="10" t="s">
        <v>170</v>
      </c>
      <c r="F29" s="10" t="s">
        <v>34</v>
      </c>
      <c r="G29" s="20">
        <v>0.16500000000000001</v>
      </c>
      <c r="H29" s="13" t="s">
        <v>34</v>
      </c>
      <c r="I29" s="13" t="s">
        <v>34</v>
      </c>
      <c r="J29" s="13" t="s">
        <v>34</v>
      </c>
      <c r="K29" s="13" t="s">
        <v>34</v>
      </c>
      <c r="L29" s="13" t="s">
        <v>34</v>
      </c>
      <c r="M29" s="13">
        <v>74</v>
      </c>
      <c r="N29" s="13" t="s">
        <v>43</v>
      </c>
      <c r="O29" s="13">
        <v>0.98750000000000004</v>
      </c>
      <c r="P29" s="13">
        <v>0.58499999999999996</v>
      </c>
      <c r="Q29" s="13">
        <v>0</v>
      </c>
      <c r="R29" s="13" t="s">
        <v>34</v>
      </c>
      <c r="S29" s="36">
        <f t="shared" si="1"/>
        <v>7.5740740740740694E-5</v>
      </c>
      <c r="T29" s="13" t="s">
        <v>36</v>
      </c>
      <c r="U29" s="13" t="s">
        <v>37</v>
      </c>
      <c r="V29" s="13" t="s">
        <v>38</v>
      </c>
      <c r="W29" s="13" t="s">
        <v>34</v>
      </c>
      <c r="X29" s="13">
        <v>0.25</v>
      </c>
      <c r="Y29" s="13">
        <v>1</v>
      </c>
      <c r="Z29" s="13" t="s">
        <v>39</v>
      </c>
      <c r="AA29" s="13" t="s">
        <v>34</v>
      </c>
      <c r="AB29" s="13" t="s">
        <v>34</v>
      </c>
      <c r="AC29" s="13" t="s">
        <v>40</v>
      </c>
      <c r="AD29" s="13" t="s">
        <v>32</v>
      </c>
      <c r="AE29" s="13">
        <v>0.46910000000000002</v>
      </c>
      <c r="AF29" s="21" t="s">
        <v>45</v>
      </c>
      <c r="AG29" s="13">
        <v>2013</v>
      </c>
      <c r="AH29" s="21" t="s">
        <v>46</v>
      </c>
      <c r="AI29" s="99">
        <f t="shared" si="0"/>
        <v>1</v>
      </c>
    </row>
    <row r="30" spans="1:35" x14ac:dyDescent="0.3">
      <c r="A30" s="11">
        <v>0.30037546933666998</v>
      </c>
      <c r="B30" s="45">
        <v>4.5370370370370299E-5</v>
      </c>
      <c r="C30" s="10" t="s">
        <v>33</v>
      </c>
      <c r="D30" s="10" t="s">
        <v>35</v>
      </c>
      <c r="E30" s="10" t="s">
        <v>170</v>
      </c>
      <c r="F30" s="10" t="s">
        <v>34</v>
      </c>
      <c r="G30" s="20">
        <v>0.16500000000000001</v>
      </c>
      <c r="H30" s="13" t="s">
        <v>34</v>
      </c>
      <c r="I30" s="13" t="s">
        <v>34</v>
      </c>
      <c r="J30" s="13" t="s">
        <v>34</v>
      </c>
      <c r="K30" s="13" t="s">
        <v>34</v>
      </c>
      <c r="L30" s="13" t="s">
        <v>34</v>
      </c>
      <c r="M30" s="13">
        <v>74</v>
      </c>
      <c r="N30" s="13" t="s">
        <v>43</v>
      </c>
      <c r="O30" s="13">
        <v>0.98750000000000004</v>
      </c>
      <c r="P30" s="13">
        <v>0.58499999999999996</v>
      </c>
      <c r="Q30" s="13">
        <v>0</v>
      </c>
      <c r="R30" s="13" t="s">
        <v>34</v>
      </c>
      <c r="S30" s="36">
        <f t="shared" si="1"/>
        <v>7.5740740740740694E-5</v>
      </c>
      <c r="T30" s="13" t="s">
        <v>36</v>
      </c>
      <c r="U30" s="13" t="s">
        <v>37</v>
      </c>
      <c r="V30" s="13" t="s">
        <v>38</v>
      </c>
      <c r="W30" s="13" t="s">
        <v>34</v>
      </c>
      <c r="X30" s="13">
        <v>0.25</v>
      </c>
      <c r="Y30" s="13">
        <v>1</v>
      </c>
      <c r="Z30" s="13" t="s">
        <v>39</v>
      </c>
      <c r="AA30" s="13" t="s">
        <v>34</v>
      </c>
      <c r="AB30" s="13" t="s">
        <v>34</v>
      </c>
      <c r="AC30" s="13" t="s">
        <v>40</v>
      </c>
      <c r="AD30" s="13" t="s">
        <v>32</v>
      </c>
      <c r="AE30" s="13">
        <v>0.46910000000000002</v>
      </c>
      <c r="AF30" s="21" t="s">
        <v>45</v>
      </c>
      <c r="AG30" s="13">
        <v>2013</v>
      </c>
      <c r="AH30" s="21" t="s">
        <v>46</v>
      </c>
      <c r="AI30" s="99">
        <f t="shared" si="0"/>
        <v>0.59902200488997492</v>
      </c>
    </row>
    <row r="31" spans="1:35" x14ac:dyDescent="0.3">
      <c r="A31" s="11">
        <v>0.61326658322903604</v>
      </c>
      <c r="B31" s="45">
        <v>2.9259259259259201E-5</v>
      </c>
      <c r="C31" s="10" t="s">
        <v>33</v>
      </c>
      <c r="D31" s="10" t="s">
        <v>35</v>
      </c>
      <c r="E31" s="10" t="s">
        <v>170</v>
      </c>
      <c r="F31" s="10" t="s">
        <v>34</v>
      </c>
      <c r="G31" s="20">
        <v>0.16500000000000001</v>
      </c>
      <c r="H31" s="13" t="s">
        <v>34</v>
      </c>
      <c r="I31" s="13" t="s">
        <v>34</v>
      </c>
      <c r="J31" s="13" t="s">
        <v>34</v>
      </c>
      <c r="K31" s="13" t="s">
        <v>34</v>
      </c>
      <c r="L31" s="13" t="s">
        <v>34</v>
      </c>
      <c r="M31" s="13">
        <v>74</v>
      </c>
      <c r="N31" s="13" t="s">
        <v>43</v>
      </c>
      <c r="O31" s="13">
        <v>0.98750000000000004</v>
      </c>
      <c r="P31" s="13">
        <v>0.58499999999999996</v>
      </c>
      <c r="Q31" s="13">
        <v>0</v>
      </c>
      <c r="R31" s="13" t="s">
        <v>34</v>
      </c>
      <c r="S31" s="36">
        <f t="shared" si="1"/>
        <v>7.5740740740740694E-5</v>
      </c>
      <c r="T31" s="13" t="s">
        <v>36</v>
      </c>
      <c r="U31" s="13" t="s">
        <v>37</v>
      </c>
      <c r="V31" s="13" t="s">
        <v>38</v>
      </c>
      <c r="W31" s="13" t="s">
        <v>34</v>
      </c>
      <c r="X31" s="13">
        <v>0.25</v>
      </c>
      <c r="Y31" s="13">
        <v>1</v>
      </c>
      <c r="Z31" s="13" t="s">
        <v>39</v>
      </c>
      <c r="AA31" s="13" t="s">
        <v>34</v>
      </c>
      <c r="AB31" s="13" t="s">
        <v>34</v>
      </c>
      <c r="AC31" s="13" t="s">
        <v>40</v>
      </c>
      <c r="AD31" s="13" t="s">
        <v>32</v>
      </c>
      <c r="AE31" s="13">
        <v>0.46910000000000002</v>
      </c>
      <c r="AF31" s="21" t="s">
        <v>45</v>
      </c>
      <c r="AG31" s="13">
        <v>2013</v>
      </c>
      <c r="AH31" s="21" t="s">
        <v>46</v>
      </c>
      <c r="AI31" s="99">
        <f t="shared" si="0"/>
        <v>0.38630806845965715</v>
      </c>
    </row>
    <row r="32" spans="1:35" x14ac:dyDescent="0.3">
      <c r="A32" s="11">
        <v>1.5394242803504301</v>
      </c>
      <c r="B32" s="45">
        <v>1.81481481481481E-5</v>
      </c>
      <c r="C32" s="10" t="s">
        <v>33</v>
      </c>
      <c r="D32" s="10" t="s">
        <v>35</v>
      </c>
      <c r="E32" s="10" t="s">
        <v>170</v>
      </c>
      <c r="F32" s="10" t="s">
        <v>34</v>
      </c>
      <c r="G32" s="20">
        <v>0.16500000000000001</v>
      </c>
      <c r="H32" s="13" t="s">
        <v>34</v>
      </c>
      <c r="I32" s="13" t="s">
        <v>34</v>
      </c>
      <c r="J32" s="13" t="s">
        <v>34</v>
      </c>
      <c r="K32" s="13" t="s">
        <v>34</v>
      </c>
      <c r="L32" s="13" t="s">
        <v>34</v>
      </c>
      <c r="M32" s="13">
        <v>74</v>
      </c>
      <c r="N32" s="13" t="s">
        <v>43</v>
      </c>
      <c r="O32" s="13">
        <v>0.98750000000000004</v>
      </c>
      <c r="P32" s="13">
        <v>0.58499999999999996</v>
      </c>
      <c r="Q32" s="13">
        <v>0</v>
      </c>
      <c r="R32" s="13" t="s">
        <v>34</v>
      </c>
      <c r="S32" s="36">
        <f t="shared" si="1"/>
        <v>7.5740740740740694E-5</v>
      </c>
      <c r="T32" s="13" t="s">
        <v>36</v>
      </c>
      <c r="U32" s="13" t="s">
        <v>37</v>
      </c>
      <c r="V32" s="13" t="s">
        <v>38</v>
      </c>
      <c r="W32" s="13" t="s">
        <v>34</v>
      </c>
      <c r="X32" s="13">
        <v>0.25</v>
      </c>
      <c r="Y32" s="13">
        <v>1</v>
      </c>
      <c r="Z32" s="13" t="s">
        <v>39</v>
      </c>
      <c r="AA32" s="13" t="s">
        <v>34</v>
      </c>
      <c r="AB32" s="13" t="s">
        <v>34</v>
      </c>
      <c r="AC32" s="13" t="s">
        <v>40</v>
      </c>
      <c r="AD32" s="13" t="s">
        <v>32</v>
      </c>
      <c r="AE32" s="13">
        <v>0.46910000000000002</v>
      </c>
      <c r="AF32" s="21" t="s">
        <v>45</v>
      </c>
      <c r="AG32" s="13">
        <v>2013</v>
      </c>
      <c r="AH32" s="21" t="s">
        <v>46</v>
      </c>
      <c r="AI32" s="99">
        <f t="shared" si="0"/>
        <v>0.23960880195598974</v>
      </c>
    </row>
    <row r="33" spans="1:35" x14ac:dyDescent="0.3">
      <c r="A33" s="11">
        <v>1.8272841051314099</v>
      </c>
      <c r="B33" s="45">
        <v>1.66666666666666E-5</v>
      </c>
      <c r="C33" s="10" t="s">
        <v>33</v>
      </c>
      <c r="D33" s="10" t="s">
        <v>35</v>
      </c>
      <c r="E33" s="10" t="s">
        <v>170</v>
      </c>
      <c r="F33" s="10" t="s">
        <v>34</v>
      </c>
      <c r="G33" s="20">
        <v>0.16500000000000001</v>
      </c>
      <c r="H33" s="13" t="s">
        <v>34</v>
      </c>
      <c r="I33" s="13" t="s">
        <v>34</v>
      </c>
      <c r="J33" s="13" t="s">
        <v>34</v>
      </c>
      <c r="K33" s="13" t="s">
        <v>34</v>
      </c>
      <c r="L33" s="13" t="s">
        <v>34</v>
      </c>
      <c r="M33" s="13">
        <v>74</v>
      </c>
      <c r="N33" s="13" t="s">
        <v>43</v>
      </c>
      <c r="O33" s="13">
        <v>0.98750000000000004</v>
      </c>
      <c r="P33" s="13">
        <v>0.58499999999999996</v>
      </c>
      <c r="Q33" s="13">
        <v>0</v>
      </c>
      <c r="R33" s="13" t="s">
        <v>34</v>
      </c>
      <c r="S33" s="36">
        <f t="shared" si="1"/>
        <v>7.5740740740740694E-5</v>
      </c>
      <c r="T33" s="13" t="s">
        <v>36</v>
      </c>
      <c r="U33" s="13" t="s">
        <v>37</v>
      </c>
      <c r="V33" s="13" t="s">
        <v>38</v>
      </c>
      <c r="W33" s="13" t="s">
        <v>34</v>
      </c>
      <c r="X33" s="13">
        <v>0.25</v>
      </c>
      <c r="Y33" s="13">
        <v>1</v>
      </c>
      <c r="Z33" s="13" t="s">
        <v>39</v>
      </c>
      <c r="AA33" s="13" t="s">
        <v>34</v>
      </c>
      <c r="AB33" s="13" t="s">
        <v>34</v>
      </c>
      <c r="AC33" s="13" t="s">
        <v>40</v>
      </c>
      <c r="AD33" s="13" t="s">
        <v>32</v>
      </c>
      <c r="AE33" s="13">
        <v>0.46910000000000002</v>
      </c>
      <c r="AF33" s="21" t="s">
        <v>45</v>
      </c>
      <c r="AG33" s="13">
        <v>2013</v>
      </c>
      <c r="AH33" s="21" t="s">
        <v>46</v>
      </c>
      <c r="AI33" s="99">
        <f t="shared" si="0"/>
        <v>0.22004889975550046</v>
      </c>
    </row>
    <row r="34" spans="1:35" x14ac:dyDescent="0.3">
      <c r="A34" s="11">
        <v>2.1526908635794699</v>
      </c>
      <c r="B34" s="45">
        <v>1.77777777777778E-5</v>
      </c>
      <c r="C34" s="10" t="s">
        <v>33</v>
      </c>
      <c r="D34" s="10" t="s">
        <v>35</v>
      </c>
      <c r="E34" s="10" t="s">
        <v>170</v>
      </c>
      <c r="F34" s="10" t="s">
        <v>34</v>
      </c>
      <c r="G34" s="20">
        <v>0.16500000000000001</v>
      </c>
      <c r="H34" s="13" t="s">
        <v>34</v>
      </c>
      <c r="I34" s="13" t="s">
        <v>34</v>
      </c>
      <c r="J34" s="13" t="s">
        <v>34</v>
      </c>
      <c r="K34" s="13" t="s">
        <v>34</v>
      </c>
      <c r="L34" s="13" t="s">
        <v>34</v>
      </c>
      <c r="M34" s="13">
        <v>74</v>
      </c>
      <c r="N34" s="13" t="s">
        <v>43</v>
      </c>
      <c r="O34" s="13">
        <v>0.98750000000000004</v>
      </c>
      <c r="P34" s="13">
        <v>0.58499999999999996</v>
      </c>
      <c r="Q34" s="13">
        <v>0</v>
      </c>
      <c r="R34" s="13" t="s">
        <v>34</v>
      </c>
      <c r="S34" s="36">
        <f t="shared" si="1"/>
        <v>7.5740740740740694E-5</v>
      </c>
      <c r="T34" s="13" t="s">
        <v>36</v>
      </c>
      <c r="U34" s="13" t="s">
        <v>37</v>
      </c>
      <c r="V34" s="13" t="s">
        <v>38</v>
      </c>
      <c r="W34" s="13" t="s">
        <v>34</v>
      </c>
      <c r="X34" s="13">
        <v>0.25</v>
      </c>
      <c r="Y34" s="13">
        <v>1</v>
      </c>
      <c r="Z34" s="13" t="s">
        <v>39</v>
      </c>
      <c r="AA34" s="13" t="s">
        <v>34</v>
      </c>
      <c r="AB34" s="13" t="s">
        <v>34</v>
      </c>
      <c r="AC34" s="13" t="s">
        <v>40</v>
      </c>
      <c r="AD34" s="13" t="s">
        <v>32</v>
      </c>
      <c r="AE34" s="13">
        <v>0.46910000000000002</v>
      </c>
      <c r="AF34" s="21" t="s">
        <v>45</v>
      </c>
      <c r="AG34" s="13">
        <v>2013</v>
      </c>
      <c r="AH34" s="21" t="s">
        <v>46</v>
      </c>
      <c r="AI34" s="99">
        <f t="shared" si="0"/>
        <v>0.23471882640586841</v>
      </c>
    </row>
    <row r="35" spans="1:35" x14ac:dyDescent="0.3">
      <c r="A35" s="11">
        <v>2.44055068836045</v>
      </c>
      <c r="B35" s="45">
        <v>1.29629629629629E-5</v>
      </c>
      <c r="C35" s="10" t="s">
        <v>33</v>
      </c>
      <c r="D35" s="10" t="s">
        <v>35</v>
      </c>
      <c r="E35" s="10" t="s">
        <v>170</v>
      </c>
      <c r="F35" s="10" t="s">
        <v>34</v>
      </c>
      <c r="G35" s="20">
        <v>0.16500000000000001</v>
      </c>
      <c r="H35" s="13" t="s">
        <v>34</v>
      </c>
      <c r="I35" s="13" t="s">
        <v>34</v>
      </c>
      <c r="J35" s="13" t="s">
        <v>34</v>
      </c>
      <c r="K35" s="13" t="s">
        <v>34</v>
      </c>
      <c r="L35" s="13" t="s">
        <v>34</v>
      </c>
      <c r="M35" s="13">
        <v>74</v>
      </c>
      <c r="N35" s="13" t="s">
        <v>43</v>
      </c>
      <c r="O35" s="13">
        <v>0.98750000000000004</v>
      </c>
      <c r="P35" s="13">
        <v>0.58499999999999996</v>
      </c>
      <c r="Q35" s="13">
        <v>0</v>
      </c>
      <c r="R35" s="13" t="s">
        <v>34</v>
      </c>
      <c r="S35" s="36">
        <f t="shared" si="1"/>
        <v>7.5740740740740694E-5</v>
      </c>
      <c r="T35" s="13" t="s">
        <v>36</v>
      </c>
      <c r="U35" s="13" t="s">
        <v>37</v>
      </c>
      <c r="V35" s="13" t="s">
        <v>38</v>
      </c>
      <c r="W35" s="13" t="s">
        <v>34</v>
      </c>
      <c r="X35" s="13">
        <v>0.25</v>
      </c>
      <c r="Y35" s="13">
        <v>1</v>
      </c>
      <c r="Z35" s="13" t="s">
        <v>39</v>
      </c>
      <c r="AA35" s="13" t="s">
        <v>34</v>
      </c>
      <c r="AB35" s="13" t="s">
        <v>34</v>
      </c>
      <c r="AC35" s="13" t="s">
        <v>40</v>
      </c>
      <c r="AD35" s="13" t="s">
        <v>32</v>
      </c>
      <c r="AE35" s="13">
        <v>0.46910000000000002</v>
      </c>
      <c r="AF35" s="21" t="s">
        <v>45</v>
      </c>
      <c r="AG35" s="13">
        <v>2013</v>
      </c>
      <c r="AH35" s="21" t="s">
        <v>46</v>
      </c>
      <c r="AI35" s="99">
        <f t="shared" si="0"/>
        <v>0.17114914425427799</v>
      </c>
    </row>
    <row r="36" spans="1:35" x14ac:dyDescent="0.3">
      <c r="A36" s="11">
        <v>3.07884856070087</v>
      </c>
      <c r="B36" s="45">
        <v>1.22222222222222E-5</v>
      </c>
      <c r="C36" s="10" t="s">
        <v>33</v>
      </c>
      <c r="D36" s="10" t="s">
        <v>35</v>
      </c>
      <c r="E36" s="10" t="s">
        <v>170</v>
      </c>
      <c r="F36" s="10" t="s">
        <v>34</v>
      </c>
      <c r="G36" s="20">
        <v>0.16500000000000001</v>
      </c>
      <c r="H36" s="13" t="s">
        <v>34</v>
      </c>
      <c r="I36" s="13" t="s">
        <v>34</v>
      </c>
      <c r="J36" s="13" t="s">
        <v>34</v>
      </c>
      <c r="K36" s="13" t="s">
        <v>34</v>
      </c>
      <c r="L36" s="13" t="s">
        <v>34</v>
      </c>
      <c r="M36" s="13">
        <v>74</v>
      </c>
      <c r="N36" s="13" t="s">
        <v>43</v>
      </c>
      <c r="O36" s="13">
        <v>0.98750000000000004</v>
      </c>
      <c r="P36" s="13">
        <v>0.58499999999999996</v>
      </c>
      <c r="Q36" s="13">
        <v>0</v>
      </c>
      <c r="R36" s="13" t="s">
        <v>34</v>
      </c>
      <c r="S36" s="36">
        <f t="shared" si="1"/>
        <v>7.5740740740740694E-5</v>
      </c>
      <c r="T36" s="13" t="s">
        <v>36</v>
      </c>
      <c r="U36" s="13" t="s">
        <v>37</v>
      </c>
      <c r="V36" s="13" t="s">
        <v>38</v>
      </c>
      <c r="W36" s="13" t="s">
        <v>34</v>
      </c>
      <c r="X36" s="13">
        <v>0.25</v>
      </c>
      <c r="Y36" s="13">
        <v>1</v>
      </c>
      <c r="Z36" s="13" t="s">
        <v>39</v>
      </c>
      <c r="AA36" s="13" t="s">
        <v>34</v>
      </c>
      <c r="AB36" s="13" t="s">
        <v>34</v>
      </c>
      <c r="AC36" s="13" t="s">
        <v>40</v>
      </c>
      <c r="AD36" s="13" t="s">
        <v>32</v>
      </c>
      <c r="AE36" s="13">
        <v>0.46910000000000002</v>
      </c>
      <c r="AF36" s="21" t="s">
        <v>45</v>
      </c>
      <c r="AG36" s="13">
        <v>2013</v>
      </c>
      <c r="AH36" s="21" t="s">
        <v>46</v>
      </c>
      <c r="AI36" s="99">
        <f t="shared" si="0"/>
        <v>0.16136919315403403</v>
      </c>
    </row>
    <row r="37" spans="1:35" x14ac:dyDescent="0.3">
      <c r="A37" s="11">
        <v>3.6545682102628199</v>
      </c>
      <c r="B37" s="45">
        <v>1.1851851851851801E-5</v>
      </c>
      <c r="C37" s="10" t="s">
        <v>33</v>
      </c>
      <c r="D37" s="10" t="s">
        <v>35</v>
      </c>
      <c r="E37" s="10" t="s">
        <v>170</v>
      </c>
      <c r="F37" s="10" t="s">
        <v>34</v>
      </c>
      <c r="G37" s="20">
        <v>0.16500000000000001</v>
      </c>
      <c r="H37" s="13" t="s">
        <v>34</v>
      </c>
      <c r="I37" s="13" t="s">
        <v>34</v>
      </c>
      <c r="J37" s="13" t="s">
        <v>34</v>
      </c>
      <c r="K37" s="13" t="s">
        <v>34</v>
      </c>
      <c r="L37" s="13" t="s">
        <v>34</v>
      </c>
      <c r="M37" s="13">
        <v>74</v>
      </c>
      <c r="N37" s="13" t="s">
        <v>43</v>
      </c>
      <c r="O37" s="13">
        <v>0.98750000000000004</v>
      </c>
      <c r="P37" s="13">
        <v>0.58499999999999996</v>
      </c>
      <c r="Q37" s="13">
        <v>0</v>
      </c>
      <c r="R37" s="13" t="s">
        <v>34</v>
      </c>
      <c r="S37" s="36">
        <f t="shared" si="1"/>
        <v>7.5740740740740694E-5</v>
      </c>
      <c r="T37" s="13" t="s">
        <v>36</v>
      </c>
      <c r="U37" s="13" t="s">
        <v>37</v>
      </c>
      <c r="V37" s="13" t="s">
        <v>38</v>
      </c>
      <c r="W37" s="13" t="s">
        <v>34</v>
      </c>
      <c r="X37" s="13">
        <v>0.25</v>
      </c>
      <c r="Y37" s="13">
        <v>1</v>
      </c>
      <c r="Z37" s="13" t="s">
        <v>39</v>
      </c>
      <c r="AA37" s="13" t="s">
        <v>34</v>
      </c>
      <c r="AB37" s="13" t="s">
        <v>34</v>
      </c>
      <c r="AC37" s="13" t="s">
        <v>40</v>
      </c>
      <c r="AD37" s="13" t="s">
        <v>32</v>
      </c>
      <c r="AE37" s="13">
        <v>0.46910000000000002</v>
      </c>
      <c r="AF37" s="21" t="s">
        <v>45</v>
      </c>
      <c r="AG37" s="13">
        <v>2013</v>
      </c>
      <c r="AH37" s="21" t="s">
        <v>46</v>
      </c>
      <c r="AI37" s="99">
        <f t="shared" si="0"/>
        <v>0.1564792176039114</v>
      </c>
    </row>
    <row r="38" spans="1:35" x14ac:dyDescent="0.3">
      <c r="A38" s="11">
        <v>0</v>
      </c>
      <c r="B38" s="45">
        <v>9.7777777777777698E-5</v>
      </c>
      <c r="C38" s="10" t="s">
        <v>33</v>
      </c>
      <c r="D38" s="10" t="s">
        <v>35</v>
      </c>
      <c r="E38" s="10" t="s">
        <v>170</v>
      </c>
      <c r="F38" s="10" t="s">
        <v>34</v>
      </c>
      <c r="G38" s="20">
        <v>0.16500000000000001</v>
      </c>
      <c r="H38" s="13" t="s">
        <v>34</v>
      </c>
      <c r="I38" s="13" t="s">
        <v>34</v>
      </c>
      <c r="J38" s="13" t="s">
        <v>34</v>
      </c>
      <c r="K38" s="13" t="s">
        <v>34</v>
      </c>
      <c r="L38" s="13" t="s">
        <v>34</v>
      </c>
      <c r="M38" s="13">
        <v>75</v>
      </c>
      <c r="N38" s="13" t="s">
        <v>43</v>
      </c>
      <c r="O38" s="13">
        <v>0.98750000000000004</v>
      </c>
      <c r="P38" s="13">
        <v>0.58499999999999996</v>
      </c>
      <c r="Q38" s="13">
        <v>0</v>
      </c>
      <c r="R38" s="13" t="s">
        <v>34</v>
      </c>
      <c r="S38" s="36">
        <f t="shared" si="1"/>
        <v>9.7777777777777698E-5</v>
      </c>
      <c r="T38" s="13" t="s">
        <v>36</v>
      </c>
      <c r="U38" s="13" t="s">
        <v>37</v>
      </c>
      <c r="V38" s="13" t="s">
        <v>38</v>
      </c>
      <c r="W38" s="13" t="s">
        <v>34</v>
      </c>
      <c r="X38" s="13">
        <v>0.25</v>
      </c>
      <c r="Y38" s="13">
        <v>1</v>
      </c>
      <c r="Z38" s="13" t="s">
        <v>39</v>
      </c>
      <c r="AA38" s="13" t="s">
        <v>34</v>
      </c>
      <c r="AB38" s="13" t="s">
        <v>34</v>
      </c>
      <c r="AC38" s="13" t="s">
        <v>40</v>
      </c>
      <c r="AD38" s="13" t="s">
        <v>32</v>
      </c>
      <c r="AE38" s="13">
        <v>0.46910000000000002</v>
      </c>
      <c r="AF38" s="21" t="s">
        <v>45</v>
      </c>
      <c r="AG38" s="13">
        <v>2013</v>
      </c>
      <c r="AH38" s="21" t="s">
        <v>46</v>
      </c>
      <c r="AI38" s="99">
        <f t="shared" si="0"/>
        <v>1</v>
      </c>
    </row>
    <row r="39" spans="1:35" x14ac:dyDescent="0.3">
      <c r="A39" s="11">
        <v>0.31289111389236501</v>
      </c>
      <c r="B39" s="45">
        <v>7.8518518518518496E-5</v>
      </c>
      <c r="C39" s="10" t="s">
        <v>33</v>
      </c>
      <c r="D39" s="10" t="s">
        <v>35</v>
      </c>
      <c r="E39" s="10" t="s">
        <v>170</v>
      </c>
      <c r="F39" s="10" t="s">
        <v>34</v>
      </c>
      <c r="G39" s="20">
        <v>0.16500000000000001</v>
      </c>
      <c r="H39" s="13" t="s">
        <v>34</v>
      </c>
      <c r="I39" s="13" t="s">
        <v>34</v>
      </c>
      <c r="J39" s="13" t="s">
        <v>34</v>
      </c>
      <c r="K39" s="13" t="s">
        <v>34</v>
      </c>
      <c r="L39" s="13" t="s">
        <v>34</v>
      </c>
      <c r="M39" s="13">
        <v>75</v>
      </c>
      <c r="N39" s="13" t="s">
        <v>43</v>
      </c>
      <c r="O39" s="13">
        <v>0.98750000000000004</v>
      </c>
      <c r="P39" s="13">
        <v>0.58499999999999996</v>
      </c>
      <c r="Q39" s="13">
        <v>0</v>
      </c>
      <c r="R39" s="13" t="s">
        <v>34</v>
      </c>
      <c r="S39" s="36">
        <f t="shared" si="1"/>
        <v>9.7777777777777698E-5</v>
      </c>
      <c r="T39" s="13" t="s">
        <v>36</v>
      </c>
      <c r="U39" s="13" t="s">
        <v>37</v>
      </c>
      <c r="V39" s="13" t="s">
        <v>38</v>
      </c>
      <c r="W39" s="13" t="s">
        <v>34</v>
      </c>
      <c r="X39" s="13">
        <v>0.25</v>
      </c>
      <c r="Y39" s="13">
        <v>1</v>
      </c>
      <c r="Z39" s="13" t="s">
        <v>39</v>
      </c>
      <c r="AA39" s="13" t="s">
        <v>34</v>
      </c>
      <c r="AB39" s="13" t="s">
        <v>34</v>
      </c>
      <c r="AC39" s="13" t="s">
        <v>40</v>
      </c>
      <c r="AD39" s="13" t="s">
        <v>32</v>
      </c>
      <c r="AE39" s="13">
        <v>0.46910000000000002</v>
      </c>
      <c r="AF39" s="21" t="s">
        <v>45</v>
      </c>
      <c r="AG39" s="13">
        <v>2013</v>
      </c>
      <c r="AH39" s="21" t="s">
        <v>46</v>
      </c>
      <c r="AI39" s="99">
        <f t="shared" si="0"/>
        <v>0.80303030303030343</v>
      </c>
    </row>
    <row r="40" spans="1:35" x14ac:dyDescent="0.3">
      <c r="A40" s="11">
        <v>0.61326658322903604</v>
      </c>
      <c r="B40" s="45">
        <v>6.2222222222222206E-5</v>
      </c>
      <c r="C40" s="10" t="s">
        <v>33</v>
      </c>
      <c r="D40" s="10" t="s">
        <v>35</v>
      </c>
      <c r="E40" s="10" t="s">
        <v>170</v>
      </c>
      <c r="F40" s="10" t="s">
        <v>34</v>
      </c>
      <c r="G40" s="20">
        <v>0.16500000000000001</v>
      </c>
      <c r="H40" s="13" t="s">
        <v>34</v>
      </c>
      <c r="I40" s="13" t="s">
        <v>34</v>
      </c>
      <c r="J40" s="13" t="s">
        <v>34</v>
      </c>
      <c r="K40" s="13" t="s">
        <v>34</v>
      </c>
      <c r="L40" s="13" t="s">
        <v>34</v>
      </c>
      <c r="M40" s="13">
        <v>75</v>
      </c>
      <c r="N40" s="13" t="s">
        <v>43</v>
      </c>
      <c r="O40" s="13">
        <v>0.98750000000000004</v>
      </c>
      <c r="P40" s="13">
        <v>0.58499999999999996</v>
      </c>
      <c r="Q40" s="13">
        <v>0</v>
      </c>
      <c r="R40" s="13" t="s">
        <v>34</v>
      </c>
      <c r="S40" s="36">
        <f t="shared" si="1"/>
        <v>9.7777777777777698E-5</v>
      </c>
      <c r="T40" s="13" t="s">
        <v>36</v>
      </c>
      <c r="U40" s="13" t="s">
        <v>37</v>
      </c>
      <c r="V40" s="13" t="s">
        <v>38</v>
      </c>
      <c r="W40" s="13" t="s">
        <v>34</v>
      </c>
      <c r="X40" s="13">
        <v>0.25</v>
      </c>
      <c r="Y40" s="13">
        <v>1</v>
      </c>
      <c r="Z40" s="13" t="s">
        <v>39</v>
      </c>
      <c r="AA40" s="13" t="s">
        <v>34</v>
      </c>
      <c r="AB40" s="13" t="s">
        <v>34</v>
      </c>
      <c r="AC40" s="13" t="s">
        <v>40</v>
      </c>
      <c r="AD40" s="13" t="s">
        <v>32</v>
      </c>
      <c r="AE40" s="13">
        <v>0.46910000000000002</v>
      </c>
      <c r="AF40" s="21" t="s">
        <v>45</v>
      </c>
      <c r="AG40" s="13">
        <v>2013</v>
      </c>
      <c r="AH40" s="21" t="s">
        <v>46</v>
      </c>
      <c r="AI40" s="99">
        <f t="shared" si="0"/>
        <v>0.63636363636363669</v>
      </c>
    </row>
    <row r="41" spans="1:35" x14ac:dyDescent="0.3">
      <c r="A41" s="11">
        <v>0.91364205256570596</v>
      </c>
      <c r="B41" s="45">
        <v>4.74074074074074E-5</v>
      </c>
      <c r="C41" s="10" t="s">
        <v>33</v>
      </c>
      <c r="D41" s="10" t="s">
        <v>35</v>
      </c>
      <c r="E41" s="10" t="s">
        <v>170</v>
      </c>
      <c r="F41" s="10" t="s">
        <v>34</v>
      </c>
      <c r="G41" s="20">
        <v>0.16500000000000001</v>
      </c>
      <c r="H41" s="13" t="s">
        <v>34</v>
      </c>
      <c r="I41" s="13" t="s">
        <v>34</v>
      </c>
      <c r="J41" s="13" t="s">
        <v>34</v>
      </c>
      <c r="K41" s="13" t="s">
        <v>34</v>
      </c>
      <c r="L41" s="13" t="s">
        <v>34</v>
      </c>
      <c r="M41" s="13">
        <v>75</v>
      </c>
      <c r="N41" s="13" t="s">
        <v>43</v>
      </c>
      <c r="O41" s="13">
        <v>0.98750000000000004</v>
      </c>
      <c r="P41" s="13">
        <v>0.58499999999999996</v>
      </c>
      <c r="Q41" s="13">
        <v>0</v>
      </c>
      <c r="R41" s="13" t="s">
        <v>34</v>
      </c>
      <c r="S41" s="36">
        <f t="shared" si="1"/>
        <v>9.7777777777777698E-5</v>
      </c>
      <c r="T41" s="13" t="s">
        <v>36</v>
      </c>
      <c r="U41" s="13" t="s">
        <v>37</v>
      </c>
      <c r="V41" s="13" t="s">
        <v>38</v>
      </c>
      <c r="W41" s="13" t="s">
        <v>34</v>
      </c>
      <c r="X41" s="13">
        <v>0.25</v>
      </c>
      <c r="Y41" s="13">
        <v>1</v>
      </c>
      <c r="Z41" s="13" t="s">
        <v>39</v>
      </c>
      <c r="AA41" s="13" t="s">
        <v>34</v>
      </c>
      <c r="AB41" s="13" t="s">
        <v>34</v>
      </c>
      <c r="AC41" s="13" t="s">
        <v>40</v>
      </c>
      <c r="AD41" s="13" t="s">
        <v>32</v>
      </c>
      <c r="AE41" s="13">
        <v>0.46910000000000002</v>
      </c>
      <c r="AF41" s="21" t="s">
        <v>45</v>
      </c>
      <c r="AG41" s="13">
        <v>2013</v>
      </c>
      <c r="AH41" s="21" t="s">
        <v>46</v>
      </c>
      <c r="AI41" s="99">
        <f t="shared" si="0"/>
        <v>0.48484848484848514</v>
      </c>
    </row>
    <row r="42" spans="1:35" x14ac:dyDescent="0.3">
      <c r="A42" s="11">
        <v>1.2265331664580701</v>
      </c>
      <c r="B42" s="45">
        <v>3.25925925925926E-5</v>
      </c>
      <c r="C42" s="10" t="s">
        <v>33</v>
      </c>
      <c r="D42" s="10" t="s">
        <v>35</v>
      </c>
      <c r="E42" s="10" t="s">
        <v>170</v>
      </c>
      <c r="F42" s="10" t="s">
        <v>34</v>
      </c>
      <c r="G42" s="20">
        <v>0.16500000000000001</v>
      </c>
      <c r="H42" s="13" t="s">
        <v>34</v>
      </c>
      <c r="I42" s="13" t="s">
        <v>34</v>
      </c>
      <c r="J42" s="13" t="s">
        <v>34</v>
      </c>
      <c r="K42" s="13" t="s">
        <v>34</v>
      </c>
      <c r="L42" s="13" t="s">
        <v>34</v>
      </c>
      <c r="M42" s="13">
        <v>75</v>
      </c>
      <c r="N42" s="13" t="s">
        <v>43</v>
      </c>
      <c r="O42" s="13">
        <v>0.98750000000000004</v>
      </c>
      <c r="P42" s="13">
        <v>0.58499999999999996</v>
      </c>
      <c r="Q42" s="13">
        <v>0</v>
      </c>
      <c r="R42" s="13" t="s">
        <v>34</v>
      </c>
      <c r="S42" s="36">
        <f t="shared" si="1"/>
        <v>9.7777777777777698E-5</v>
      </c>
      <c r="T42" s="13" t="s">
        <v>36</v>
      </c>
      <c r="U42" s="13" t="s">
        <v>37</v>
      </c>
      <c r="V42" s="13" t="s">
        <v>38</v>
      </c>
      <c r="W42" s="13" t="s">
        <v>34</v>
      </c>
      <c r="X42" s="13">
        <v>0.25</v>
      </c>
      <c r="Y42" s="13">
        <v>1</v>
      </c>
      <c r="Z42" s="13" t="s">
        <v>39</v>
      </c>
      <c r="AA42" s="13" t="s">
        <v>34</v>
      </c>
      <c r="AB42" s="13" t="s">
        <v>34</v>
      </c>
      <c r="AC42" s="13" t="s">
        <v>40</v>
      </c>
      <c r="AD42" s="13" t="s">
        <v>32</v>
      </c>
      <c r="AE42" s="13">
        <v>0.46910000000000002</v>
      </c>
      <c r="AF42" s="21" t="s">
        <v>45</v>
      </c>
      <c r="AG42" s="13">
        <v>2013</v>
      </c>
      <c r="AH42" s="21" t="s">
        <v>46</v>
      </c>
      <c r="AI42" s="99">
        <f t="shared" si="0"/>
        <v>0.3333333333333337</v>
      </c>
    </row>
    <row r="43" spans="1:35" x14ac:dyDescent="0.3">
      <c r="A43" s="11">
        <v>1.5394242803504301</v>
      </c>
      <c r="B43" s="45">
        <v>2.9629629629629599E-5</v>
      </c>
      <c r="C43" s="10" t="s">
        <v>33</v>
      </c>
      <c r="D43" s="10" t="s">
        <v>35</v>
      </c>
      <c r="E43" s="10" t="s">
        <v>170</v>
      </c>
      <c r="F43" s="10" t="s">
        <v>34</v>
      </c>
      <c r="G43" s="20">
        <v>0.16500000000000001</v>
      </c>
      <c r="H43" s="13" t="s">
        <v>34</v>
      </c>
      <c r="I43" s="13" t="s">
        <v>34</v>
      </c>
      <c r="J43" s="13" t="s">
        <v>34</v>
      </c>
      <c r="K43" s="13" t="s">
        <v>34</v>
      </c>
      <c r="L43" s="13" t="s">
        <v>34</v>
      </c>
      <c r="M43" s="13">
        <v>75</v>
      </c>
      <c r="N43" s="13" t="s">
        <v>43</v>
      </c>
      <c r="O43" s="13">
        <v>0.98750000000000004</v>
      </c>
      <c r="P43" s="13">
        <v>0.58499999999999996</v>
      </c>
      <c r="Q43" s="13">
        <v>0</v>
      </c>
      <c r="R43" s="13" t="s">
        <v>34</v>
      </c>
      <c r="S43" s="36">
        <f t="shared" si="1"/>
        <v>9.7777777777777698E-5</v>
      </c>
      <c r="T43" s="13" t="s">
        <v>36</v>
      </c>
      <c r="U43" s="13" t="s">
        <v>37</v>
      </c>
      <c r="V43" s="13" t="s">
        <v>38</v>
      </c>
      <c r="W43" s="13" t="s">
        <v>34</v>
      </c>
      <c r="X43" s="13">
        <v>0.25</v>
      </c>
      <c r="Y43" s="13">
        <v>1</v>
      </c>
      <c r="Z43" s="13" t="s">
        <v>39</v>
      </c>
      <c r="AA43" s="13" t="s">
        <v>34</v>
      </c>
      <c r="AB43" s="13" t="s">
        <v>34</v>
      </c>
      <c r="AC43" s="13" t="s">
        <v>40</v>
      </c>
      <c r="AD43" s="13" t="s">
        <v>32</v>
      </c>
      <c r="AE43" s="13">
        <v>0.46910000000000002</v>
      </c>
      <c r="AF43" s="21" t="s">
        <v>45</v>
      </c>
      <c r="AG43" s="13">
        <v>2013</v>
      </c>
      <c r="AH43" s="21" t="s">
        <v>46</v>
      </c>
      <c r="AI43" s="99">
        <f t="shared" si="0"/>
        <v>0.30303030303030298</v>
      </c>
    </row>
    <row r="44" spans="1:35" x14ac:dyDescent="0.3">
      <c r="A44" s="11">
        <v>1.8397997496870999</v>
      </c>
      <c r="B44" s="45">
        <v>3.25925925925926E-5</v>
      </c>
      <c r="C44" s="10" t="s">
        <v>33</v>
      </c>
      <c r="D44" s="10" t="s">
        <v>35</v>
      </c>
      <c r="E44" s="10" t="s">
        <v>170</v>
      </c>
      <c r="F44" s="10" t="s">
        <v>34</v>
      </c>
      <c r="G44" s="20">
        <v>0.16500000000000001</v>
      </c>
      <c r="H44" s="13" t="s">
        <v>34</v>
      </c>
      <c r="I44" s="13" t="s">
        <v>34</v>
      </c>
      <c r="J44" s="13" t="s">
        <v>34</v>
      </c>
      <c r="K44" s="13" t="s">
        <v>34</v>
      </c>
      <c r="L44" s="13" t="s">
        <v>34</v>
      </c>
      <c r="M44" s="13">
        <v>75</v>
      </c>
      <c r="N44" s="13" t="s">
        <v>43</v>
      </c>
      <c r="O44" s="13">
        <v>0.98750000000000004</v>
      </c>
      <c r="P44" s="13">
        <v>0.58499999999999996</v>
      </c>
      <c r="Q44" s="13">
        <v>0</v>
      </c>
      <c r="R44" s="13" t="s">
        <v>34</v>
      </c>
      <c r="S44" s="36">
        <f t="shared" si="1"/>
        <v>9.7777777777777698E-5</v>
      </c>
      <c r="T44" s="13" t="s">
        <v>36</v>
      </c>
      <c r="U44" s="13" t="s">
        <v>37</v>
      </c>
      <c r="V44" s="13" t="s">
        <v>38</v>
      </c>
      <c r="W44" s="13" t="s">
        <v>34</v>
      </c>
      <c r="X44" s="13">
        <v>0.25</v>
      </c>
      <c r="Y44" s="13">
        <v>1</v>
      </c>
      <c r="Z44" s="13" t="s">
        <v>39</v>
      </c>
      <c r="AA44" s="13" t="s">
        <v>34</v>
      </c>
      <c r="AB44" s="13" t="s">
        <v>34</v>
      </c>
      <c r="AC44" s="13" t="s">
        <v>40</v>
      </c>
      <c r="AD44" s="13" t="s">
        <v>32</v>
      </c>
      <c r="AE44" s="13">
        <v>0.46910000000000002</v>
      </c>
      <c r="AF44" s="21" t="s">
        <v>45</v>
      </c>
      <c r="AG44" s="13">
        <v>2013</v>
      </c>
      <c r="AH44" s="21" t="s">
        <v>46</v>
      </c>
      <c r="AI44" s="99">
        <f t="shared" si="0"/>
        <v>0.3333333333333337</v>
      </c>
    </row>
    <row r="45" spans="1:35" x14ac:dyDescent="0.3">
      <c r="A45" s="11">
        <v>2.1652065081351601</v>
      </c>
      <c r="B45" s="45">
        <v>3.0740740740740698E-5</v>
      </c>
      <c r="C45" s="10" t="s">
        <v>33</v>
      </c>
      <c r="D45" s="10" t="s">
        <v>35</v>
      </c>
      <c r="E45" s="10" t="s">
        <v>170</v>
      </c>
      <c r="F45" s="10" t="s">
        <v>34</v>
      </c>
      <c r="G45" s="20">
        <v>0.16500000000000001</v>
      </c>
      <c r="H45" s="13" t="s">
        <v>34</v>
      </c>
      <c r="I45" s="13" t="s">
        <v>34</v>
      </c>
      <c r="J45" s="13" t="s">
        <v>34</v>
      </c>
      <c r="K45" s="13" t="s">
        <v>34</v>
      </c>
      <c r="L45" s="13" t="s">
        <v>34</v>
      </c>
      <c r="M45" s="13">
        <v>75</v>
      </c>
      <c r="N45" s="13" t="s">
        <v>43</v>
      </c>
      <c r="O45" s="13">
        <v>0.98750000000000004</v>
      </c>
      <c r="P45" s="13">
        <v>0.58499999999999996</v>
      </c>
      <c r="Q45" s="13">
        <v>0</v>
      </c>
      <c r="R45" s="13" t="s">
        <v>34</v>
      </c>
      <c r="S45" s="36">
        <f t="shared" si="1"/>
        <v>9.7777777777777698E-5</v>
      </c>
      <c r="T45" s="13" t="s">
        <v>36</v>
      </c>
      <c r="U45" s="13" t="s">
        <v>37</v>
      </c>
      <c r="V45" s="13" t="s">
        <v>38</v>
      </c>
      <c r="W45" s="13" t="s">
        <v>34</v>
      </c>
      <c r="X45" s="13">
        <v>0.25</v>
      </c>
      <c r="Y45" s="13">
        <v>1</v>
      </c>
      <c r="Z45" s="13" t="s">
        <v>39</v>
      </c>
      <c r="AA45" s="13" t="s">
        <v>34</v>
      </c>
      <c r="AB45" s="13" t="s">
        <v>34</v>
      </c>
      <c r="AC45" s="13" t="s">
        <v>40</v>
      </c>
      <c r="AD45" s="13" t="s">
        <v>32</v>
      </c>
      <c r="AE45" s="13">
        <v>0.46910000000000002</v>
      </c>
      <c r="AF45" s="21" t="s">
        <v>45</v>
      </c>
      <c r="AG45" s="13">
        <v>2013</v>
      </c>
      <c r="AH45" s="21" t="s">
        <v>46</v>
      </c>
      <c r="AI45" s="99">
        <f t="shared" si="0"/>
        <v>0.31439393939393923</v>
      </c>
    </row>
    <row r="46" spans="1:35" x14ac:dyDescent="0.3">
      <c r="A46" s="31">
        <v>2.4530663329161402</v>
      </c>
      <c r="B46" s="47">
        <v>3.6666666666666598E-5</v>
      </c>
      <c r="C46" s="33" t="s">
        <v>33</v>
      </c>
      <c r="D46" s="33" t="s">
        <v>35</v>
      </c>
      <c r="E46" s="33" t="s">
        <v>170</v>
      </c>
      <c r="F46" s="33" t="s">
        <v>34</v>
      </c>
      <c r="G46" s="43">
        <v>0.16500000000000001</v>
      </c>
      <c r="H46" s="32" t="s">
        <v>34</v>
      </c>
      <c r="I46" s="32" t="s">
        <v>34</v>
      </c>
      <c r="J46" s="32" t="s">
        <v>34</v>
      </c>
      <c r="K46" s="32" t="s">
        <v>34</v>
      </c>
      <c r="L46" s="32" t="s">
        <v>34</v>
      </c>
      <c r="M46" s="13">
        <v>75</v>
      </c>
      <c r="N46" s="32" t="s">
        <v>43</v>
      </c>
      <c r="O46" s="32">
        <v>0.98750000000000004</v>
      </c>
      <c r="P46" s="32">
        <v>0.58499999999999996</v>
      </c>
      <c r="Q46" s="32">
        <v>0</v>
      </c>
      <c r="R46" s="32" t="s">
        <v>34</v>
      </c>
      <c r="S46" s="36">
        <f t="shared" si="1"/>
        <v>9.7777777777777698E-5</v>
      </c>
      <c r="T46" s="32" t="s">
        <v>36</v>
      </c>
      <c r="U46" s="32" t="s">
        <v>37</v>
      </c>
      <c r="V46" s="32" t="s">
        <v>38</v>
      </c>
      <c r="W46" s="32" t="s">
        <v>34</v>
      </c>
      <c r="X46" s="13">
        <v>0.25</v>
      </c>
      <c r="Y46" s="32">
        <v>1</v>
      </c>
      <c r="Z46" s="32" t="s">
        <v>39</v>
      </c>
      <c r="AA46" s="32" t="s">
        <v>34</v>
      </c>
      <c r="AB46" s="13" t="s">
        <v>34</v>
      </c>
      <c r="AC46" s="32" t="s">
        <v>318</v>
      </c>
      <c r="AD46" s="32" t="s">
        <v>32</v>
      </c>
      <c r="AE46" s="32">
        <v>0.46910000000000002</v>
      </c>
      <c r="AF46" s="44" t="s">
        <v>45</v>
      </c>
      <c r="AG46" s="32">
        <v>2013</v>
      </c>
      <c r="AH46" s="44" t="s">
        <v>46</v>
      </c>
      <c r="AI46" s="99">
        <f t="shared" si="0"/>
        <v>0.37499999999999961</v>
      </c>
    </row>
    <row r="47" spans="1:35" s="10" customFormat="1" x14ac:dyDescent="0.3">
      <c r="A47" s="11">
        <v>2.7909887359198899</v>
      </c>
      <c r="B47" s="45">
        <v>3.6666666666666598E-5</v>
      </c>
      <c r="C47" s="33" t="s">
        <v>33</v>
      </c>
      <c r="D47" s="33" t="s">
        <v>35</v>
      </c>
      <c r="E47" s="33" t="s">
        <v>170</v>
      </c>
      <c r="F47" s="33" t="s">
        <v>34</v>
      </c>
      <c r="G47" s="43">
        <v>0.16500000000000001</v>
      </c>
      <c r="H47" s="32" t="s">
        <v>34</v>
      </c>
      <c r="I47" s="32" t="s">
        <v>34</v>
      </c>
      <c r="J47" s="32" t="s">
        <v>34</v>
      </c>
      <c r="K47" s="32" t="s">
        <v>34</v>
      </c>
      <c r="L47" s="32" t="s">
        <v>34</v>
      </c>
      <c r="M47" s="13">
        <v>75</v>
      </c>
      <c r="N47" s="32" t="s">
        <v>43</v>
      </c>
      <c r="O47" s="32">
        <v>0.98750000000000004</v>
      </c>
      <c r="P47" s="32">
        <v>0.58499999999999996</v>
      </c>
      <c r="Q47" s="32">
        <v>0</v>
      </c>
      <c r="R47" s="32" t="s">
        <v>34</v>
      </c>
      <c r="S47" s="36">
        <f t="shared" si="1"/>
        <v>9.7777777777777698E-5</v>
      </c>
      <c r="T47" s="32" t="s">
        <v>36</v>
      </c>
      <c r="U47" s="32" t="s">
        <v>37</v>
      </c>
      <c r="V47" s="32" t="s">
        <v>38</v>
      </c>
      <c r="W47" s="32" t="s">
        <v>34</v>
      </c>
      <c r="X47" s="13">
        <v>0.25</v>
      </c>
      <c r="Y47" s="32">
        <v>1</v>
      </c>
      <c r="Z47" s="32" t="s">
        <v>39</v>
      </c>
      <c r="AA47" s="32" t="s">
        <v>34</v>
      </c>
      <c r="AB47" s="13" t="s">
        <v>34</v>
      </c>
      <c r="AC47" s="32" t="s">
        <v>318</v>
      </c>
      <c r="AD47" s="32" t="s">
        <v>32</v>
      </c>
      <c r="AE47" s="32">
        <v>0.46910000000000002</v>
      </c>
      <c r="AF47" s="44" t="s">
        <v>45</v>
      </c>
      <c r="AG47" s="32">
        <v>2013</v>
      </c>
      <c r="AH47" s="44" t="s">
        <v>46</v>
      </c>
      <c r="AI47" s="99">
        <f t="shared" si="0"/>
        <v>0.37499999999999961</v>
      </c>
    </row>
    <row r="48" spans="1:35" s="10" customFormat="1" x14ac:dyDescent="0.3">
      <c r="A48" s="11">
        <v>3.0663329161451802</v>
      </c>
      <c r="B48" s="45">
        <v>3.6296296296296302E-5</v>
      </c>
      <c r="C48" s="33" t="s">
        <v>33</v>
      </c>
      <c r="D48" s="33" t="s">
        <v>35</v>
      </c>
      <c r="E48" s="33" t="s">
        <v>170</v>
      </c>
      <c r="F48" s="33" t="s">
        <v>34</v>
      </c>
      <c r="G48" s="43">
        <v>0.16500000000000001</v>
      </c>
      <c r="H48" s="32" t="s">
        <v>34</v>
      </c>
      <c r="I48" s="32" t="s">
        <v>34</v>
      </c>
      <c r="J48" s="32" t="s">
        <v>34</v>
      </c>
      <c r="K48" s="32" t="s">
        <v>34</v>
      </c>
      <c r="L48" s="32" t="s">
        <v>34</v>
      </c>
      <c r="M48" s="13">
        <v>75</v>
      </c>
      <c r="N48" s="32" t="s">
        <v>43</v>
      </c>
      <c r="O48" s="32">
        <v>0.98750000000000004</v>
      </c>
      <c r="P48" s="32">
        <v>0.58499999999999996</v>
      </c>
      <c r="Q48" s="32">
        <v>0</v>
      </c>
      <c r="R48" s="32" t="s">
        <v>34</v>
      </c>
      <c r="S48" s="36">
        <f t="shared" si="1"/>
        <v>9.7777777777777698E-5</v>
      </c>
      <c r="T48" s="32" t="s">
        <v>36</v>
      </c>
      <c r="U48" s="32" t="s">
        <v>37</v>
      </c>
      <c r="V48" s="32" t="s">
        <v>38</v>
      </c>
      <c r="W48" s="32" t="s">
        <v>34</v>
      </c>
      <c r="X48" s="13">
        <v>0.25</v>
      </c>
      <c r="Y48" s="32">
        <v>1</v>
      </c>
      <c r="Z48" s="32" t="s">
        <v>39</v>
      </c>
      <c r="AA48" s="32" t="s">
        <v>34</v>
      </c>
      <c r="AB48" s="13" t="s">
        <v>34</v>
      </c>
      <c r="AC48" s="32" t="s">
        <v>318</v>
      </c>
      <c r="AD48" s="32" t="s">
        <v>32</v>
      </c>
      <c r="AE48" s="32">
        <v>0.46910000000000002</v>
      </c>
      <c r="AF48" s="44" t="s">
        <v>45</v>
      </c>
      <c r="AG48" s="32">
        <v>2013</v>
      </c>
      <c r="AH48" s="44" t="s">
        <v>46</v>
      </c>
      <c r="AI48" s="99">
        <f t="shared" si="0"/>
        <v>0.37121212121212155</v>
      </c>
    </row>
    <row r="49" spans="1:35" s="10" customFormat="1" x14ac:dyDescent="0.3">
      <c r="A49" s="11">
        <v>3.3792240300375398</v>
      </c>
      <c r="B49" s="45">
        <v>3.5925925925925897E-5</v>
      </c>
      <c r="C49" s="33" t="s">
        <v>33</v>
      </c>
      <c r="D49" s="33" t="s">
        <v>35</v>
      </c>
      <c r="E49" s="33" t="s">
        <v>170</v>
      </c>
      <c r="F49" s="33" t="s">
        <v>34</v>
      </c>
      <c r="G49" s="43">
        <v>0.16500000000000001</v>
      </c>
      <c r="H49" s="32" t="s">
        <v>34</v>
      </c>
      <c r="I49" s="32" t="s">
        <v>34</v>
      </c>
      <c r="J49" s="32" t="s">
        <v>34</v>
      </c>
      <c r="K49" s="32" t="s">
        <v>34</v>
      </c>
      <c r="L49" s="32" t="s">
        <v>34</v>
      </c>
      <c r="M49" s="13">
        <v>75</v>
      </c>
      <c r="N49" s="32" t="s">
        <v>43</v>
      </c>
      <c r="O49" s="32">
        <v>0.98750000000000004</v>
      </c>
      <c r="P49" s="32">
        <v>0.58499999999999996</v>
      </c>
      <c r="Q49" s="32">
        <v>0</v>
      </c>
      <c r="R49" s="32" t="s">
        <v>34</v>
      </c>
      <c r="S49" s="36">
        <f t="shared" si="1"/>
        <v>9.7777777777777698E-5</v>
      </c>
      <c r="T49" s="32" t="s">
        <v>36</v>
      </c>
      <c r="U49" s="32" t="s">
        <v>37</v>
      </c>
      <c r="V49" s="32" t="s">
        <v>38</v>
      </c>
      <c r="W49" s="32" t="s">
        <v>34</v>
      </c>
      <c r="X49" s="13">
        <v>0.25</v>
      </c>
      <c r="Y49" s="32">
        <v>1</v>
      </c>
      <c r="Z49" s="32" t="s">
        <v>39</v>
      </c>
      <c r="AA49" s="32" t="s">
        <v>34</v>
      </c>
      <c r="AB49" s="13" t="s">
        <v>34</v>
      </c>
      <c r="AC49" s="32" t="s">
        <v>318</v>
      </c>
      <c r="AD49" s="32" t="s">
        <v>32</v>
      </c>
      <c r="AE49" s="32">
        <v>0.46910000000000002</v>
      </c>
      <c r="AF49" s="44" t="s">
        <v>45</v>
      </c>
      <c r="AG49" s="32">
        <v>2013</v>
      </c>
      <c r="AH49" s="44" t="s">
        <v>46</v>
      </c>
      <c r="AI49" s="99">
        <f t="shared" si="0"/>
        <v>0.36742424242424243</v>
      </c>
    </row>
    <row r="50" spans="1:35" s="10" customFormat="1" x14ac:dyDescent="0.3">
      <c r="A50" s="11">
        <v>3.69211514392991</v>
      </c>
      <c r="B50" s="45">
        <v>3.6666666666666598E-5</v>
      </c>
      <c r="C50" s="33" t="s">
        <v>33</v>
      </c>
      <c r="D50" s="33" t="s">
        <v>35</v>
      </c>
      <c r="E50" s="33" t="s">
        <v>170</v>
      </c>
      <c r="F50" s="33" t="s">
        <v>34</v>
      </c>
      <c r="G50" s="43">
        <v>0.16500000000000001</v>
      </c>
      <c r="H50" s="32" t="s">
        <v>34</v>
      </c>
      <c r="I50" s="32" t="s">
        <v>34</v>
      </c>
      <c r="J50" s="32" t="s">
        <v>34</v>
      </c>
      <c r="K50" s="32" t="s">
        <v>34</v>
      </c>
      <c r="L50" s="32" t="s">
        <v>34</v>
      </c>
      <c r="M50" s="13">
        <v>75</v>
      </c>
      <c r="N50" s="32" t="s">
        <v>43</v>
      </c>
      <c r="O50" s="32">
        <v>0.98750000000000004</v>
      </c>
      <c r="P50" s="32">
        <v>0.58499999999999996</v>
      </c>
      <c r="Q50" s="32">
        <v>0</v>
      </c>
      <c r="R50" s="32" t="s">
        <v>34</v>
      </c>
      <c r="S50" s="36">
        <f t="shared" si="1"/>
        <v>9.7777777777777698E-5</v>
      </c>
      <c r="T50" s="32" t="s">
        <v>36</v>
      </c>
      <c r="U50" s="32" t="s">
        <v>37</v>
      </c>
      <c r="V50" s="32" t="s">
        <v>38</v>
      </c>
      <c r="W50" s="32" t="s">
        <v>34</v>
      </c>
      <c r="X50" s="13">
        <v>0.25</v>
      </c>
      <c r="Y50" s="32">
        <v>1</v>
      </c>
      <c r="Z50" s="32" t="s">
        <v>39</v>
      </c>
      <c r="AA50" s="32" t="s">
        <v>34</v>
      </c>
      <c r="AB50" s="13" t="s">
        <v>34</v>
      </c>
      <c r="AC50" s="32" t="s">
        <v>318</v>
      </c>
      <c r="AD50" s="32" t="s">
        <v>32</v>
      </c>
      <c r="AE50" s="32">
        <v>0.46910000000000002</v>
      </c>
      <c r="AF50" s="44" t="s">
        <v>45</v>
      </c>
      <c r="AG50" s="32">
        <v>2013</v>
      </c>
      <c r="AH50" s="44" t="s">
        <v>46</v>
      </c>
      <c r="AI50" s="99">
        <f t="shared" si="0"/>
        <v>0.37499999999999961</v>
      </c>
    </row>
    <row r="51" spans="1:35" s="10" customFormat="1" x14ac:dyDescent="0.3">
      <c r="A51" s="11">
        <v>0</v>
      </c>
      <c r="B51" s="45">
        <v>9.2777777777777699E-5</v>
      </c>
      <c r="C51" s="33" t="s">
        <v>33</v>
      </c>
      <c r="D51" s="33" t="s">
        <v>35</v>
      </c>
      <c r="E51" s="33" t="s">
        <v>170</v>
      </c>
      <c r="F51" s="33" t="s">
        <v>34</v>
      </c>
      <c r="G51" s="43">
        <v>0.16500000000000001</v>
      </c>
      <c r="H51" s="32" t="s">
        <v>34</v>
      </c>
      <c r="I51" s="32" t="s">
        <v>34</v>
      </c>
      <c r="J51" s="32" t="s">
        <v>34</v>
      </c>
      <c r="K51" s="32" t="s">
        <v>34</v>
      </c>
      <c r="L51" s="32" t="s">
        <v>34</v>
      </c>
      <c r="M51" s="10">
        <v>83</v>
      </c>
      <c r="N51" s="32" t="s">
        <v>43</v>
      </c>
      <c r="O51" s="32">
        <v>0.98750000000000004</v>
      </c>
      <c r="P51" s="32">
        <v>0.58499999999999996</v>
      </c>
      <c r="Q51" s="32">
        <v>0</v>
      </c>
      <c r="R51" s="32" t="s">
        <v>34</v>
      </c>
      <c r="S51" s="36">
        <f t="shared" si="1"/>
        <v>9.2777777777777699E-5</v>
      </c>
      <c r="T51" s="32" t="s">
        <v>36</v>
      </c>
      <c r="U51" s="32" t="s">
        <v>37</v>
      </c>
      <c r="V51" s="32" t="s">
        <v>38</v>
      </c>
      <c r="W51" s="32" t="s">
        <v>34</v>
      </c>
      <c r="X51" s="13">
        <v>0.25</v>
      </c>
      <c r="Y51" s="32">
        <v>1</v>
      </c>
      <c r="Z51" s="32" t="s">
        <v>39</v>
      </c>
      <c r="AA51" s="32" t="s">
        <v>34</v>
      </c>
      <c r="AB51" s="13" t="s">
        <v>34</v>
      </c>
      <c r="AC51" s="32" t="s">
        <v>318</v>
      </c>
      <c r="AD51" s="32" t="s">
        <v>32</v>
      </c>
      <c r="AE51" s="32">
        <v>0.46910000000000002</v>
      </c>
      <c r="AF51" s="44" t="s">
        <v>45</v>
      </c>
      <c r="AG51" s="32">
        <v>2013</v>
      </c>
      <c r="AH51" s="44" t="s">
        <v>46</v>
      </c>
      <c r="AI51" s="99">
        <f t="shared" si="0"/>
        <v>1</v>
      </c>
    </row>
    <row r="52" spans="1:35" s="10" customFormat="1" x14ac:dyDescent="0.3">
      <c r="A52" s="11">
        <v>0.26282853566958603</v>
      </c>
      <c r="B52" s="45">
        <v>4.6296296296296301E-5</v>
      </c>
      <c r="C52" s="33" t="s">
        <v>33</v>
      </c>
      <c r="D52" s="33" t="s">
        <v>35</v>
      </c>
      <c r="E52" s="33" t="s">
        <v>170</v>
      </c>
      <c r="F52" s="33" t="s">
        <v>34</v>
      </c>
      <c r="G52" s="43">
        <v>0.16500000000000001</v>
      </c>
      <c r="H52" s="32" t="s">
        <v>34</v>
      </c>
      <c r="I52" s="32" t="s">
        <v>34</v>
      </c>
      <c r="J52" s="32" t="s">
        <v>34</v>
      </c>
      <c r="K52" s="32" t="s">
        <v>34</v>
      </c>
      <c r="L52" s="32" t="s">
        <v>34</v>
      </c>
      <c r="M52" s="10">
        <v>83</v>
      </c>
      <c r="N52" s="32" t="s">
        <v>43</v>
      </c>
      <c r="O52" s="32">
        <v>0.98750000000000004</v>
      </c>
      <c r="P52" s="32">
        <v>0.58499999999999996</v>
      </c>
      <c r="Q52" s="32">
        <v>0</v>
      </c>
      <c r="R52" s="32" t="s">
        <v>34</v>
      </c>
      <c r="S52" s="36">
        <f t="shared" si="1"/>
        <v>9.2777777777777699E-5</v>
      </c>
      <c r="T52" s="32" t="s">
        <v>36</v>
      </c>
      <c r="U52" s="32" t="s">
        <v>37</v>
      </c>
      <c r="V52" s="32" t="s">
        <v>38</v>
      </c>
      <c r="W52" s="32" t="s">
        <v>34</v>
      </c>
      <c r="X52" s="13">
        <v>0.25</v>
      </c>
      <c r="Y52" s="32">
        <v>1</v>
      </c>
      <c r="Z52" s="32" t="s">
        <v>39</v>
      </c>
      <c r="AA52" s="32" t="s">
        <v>34</v>
      </c>
      <c r="AB52" s="13" t="s">
        <v>34</v>
      </c>
      <c r="AC52" s="32" t="s">
        <v>318</v>
      </c>
      <c r="AD52" s="32" t="s">
        <v>32</v>
      </c>
      <c r="AE52" s="32">
        <v>0.46910000000000002</v>
      </c>
      <c r="AF52" s="44" t="s">
        <v>45</v>
      </c>
      <c r="AG52" s="32">
        <v>2013</v>
      </c>
      <c r="AH52" s="44" t="s">
        <v>46</v>
      </c>
      <c r="AI52" s="99">
        <f t="shared" si="0"/>
        <v>0.49900199600798451</v>
      </c>
    </row>
    <row r="53" spans="1:35" s="10" customFormat="1" x14ac:dyDescent="0.3">
      <c r="A53" s="11">
        <v>0.78848560700876003</v>
      </c>
      <c r="B53" s="45">
        <v>5.0370370370370299E-5</v>
      </c>
      <c r="C53" s="33" t="s">
        <v>33</v>
      </c>
      <c r="D53" s="33" t="s">
        <v>35</v>
      </c>
      <c r="E53" s="33" t="s">
        <v>170</v>
      </c>
      <c r="F53" s="33" t="s">
        <v>34</v>
      </c>
      <c r="G53" s="43">
        <v>0.16500000000000001</v>
      </c>
      <c r="H53" s="32" t="s">
        <v>34</v>
      </c>
      <c r="I53" s="32" t="s">
        <v>34</v>
      </c>
      <c r="J53" s="32" t="s">
        <v>34</v>
      </c>
      <c r="K53" s="32" t="s">
        <v>34</v>
      </c>
      <c r="L53" s="32" t="s">
        <v>34</v>
      </c>
      <c r="M53" s="10">
        <v>83</v>
      </c>
      <c r="N53" s="32" t="s">
        <v>43</v>
      </c>
      <c r="O53" s="32">
        <v>0.98750000000000004</v>
      </c>
      <c r="P53" s="32">
        <v>0.58499999999999996</v>
      </c>
      <c r="Q53" s="32">
        <v>0</v>
      </c>
      <c r="R53" s="32" t="s">
        <v>34</v>
      </c>
      <c r="S53" s="36">
        <f t="shared" si="1"/>
        <v>9.2777777777777699E-5</v>
      </c>
      <c r="T53" s="32" t="s">
        <v>36</v>
      </c>
      <c r="U53" s="32" t="s">
        <v>37</v>
      </c>
      <c r="V53" s="32" t="s">
        <v>38</v>
      </c>
      <c r="W53" s="32" t="s">
        <v>34</v>
      </c>
      <c r="X53" s="13">
        <v>0.25</v>
      </c>
      <c r="Y53" s="32">
        <v>1</v>
      </c>
      <c r="Z53" s="32" t="s">
        <v>39</v>
      </c>
      <c r="AA53" s="32" t="s">
        <v>34</v>
      </c>
      <c r="AB53" s="13" t="s">
        <v>34</v>
      </c>
      <c r="AC53" s="32" t="s">
        <v>318</v>
      </c>
      <c r="AD53" s="32" t="s">
        <v>32</v>
      </c>
      <c r="AE53" s="32">
        <v>0.46910000000000002</v>
      </c>
      <c r="AF53" s="44" t="s">
        <v>45</v>
      </c>
      <c r="AG53" s="32">
        <v>2013</v>
      </c>
      <c r="AH53" s="44" t="s">
        <v>46</v>
      </c>
      <c r="AI53" s="99">
        <f t="shared" si="0"/>
        <v>0.54291417165668632</v>
      </c>
    </row>
    <row r="54" spans="1:35" s="10" customFormat="1" x14ac:dyDescent="0.3">
      <c r="A54" s="11">
        <v>0.51939924906132595</v>
      </c>
      <c r="B54" s="45">
        <v>4.0555555555555499E-5</v>
      </c>
      <c r="C54" s="33" t="s">
        <v>33</v>
      </c>
      <c r="D54" s="33" t="s">
        <v>35</v>
      </c>
      <c r="E54" s="33" t="s">
        <v>170</v>
      </c>
      <c r="F54" s="33" t="s">
        <v>34</v>
      </c>
      <c r="G54" s="43">
        <v>0.16500000000000001</v>
      </c>
      <c r="H54" s="32" t="s">
        <v>34</v>
      </c>
      <c r="I54" s="32" t="s">
        <v>34</v>
      </c>
      <c r="J54" s="32" t="s">
        <v>34</v>
      </c>
      <c r="K54" s="32" t="s">
        <v>34</v>
      </c>
      <c r="L54" s="32" t="s">
        <v>34</v>
      </c>
      <c r="M54" s="10">
        <v>83</v>
      </c>
      <c r="N54" s="32" t="s">
        <v>43</v>
      </c>
      <c r="O54" s="32">
        <v>0.98750000000000004</v>
      </c>
      <c r="P54" s="32">
        <v>0.58499999999999996</v>
      </c>
      <c r="Q54" s="32">
        <v>0</v>
      </c>
      <c r="R54" s="32" t="s">
        <v>34</v>
      </c>
      <c r="S54" s="36">
        <f t="shared" si="1"/>
        <v>9.2777777777777699E-5</v>
      </c>
      <c r="T54" s="32" t="s">
        <v>36</v>
      </c>
      <c r="U54" s="32" t="s">
        <v>37</v>
      </c>
      <c r="V54" s="32" t="s">
        <v>38</v>
      </c>
      <c r="W54" s="32" t="s">
        <v>34</v>
      </c>
      <c r="X54" s="13">
        <v>0.25</v>
      </c>
      <c r="Y54" s="32">
        <v>1</v>
      </c>
      <c r="Z54" s="32" t="s">
        <v>39</v>
      </c>
      <c r="AA54" s="32" t="s">
        <v>34</v>
      </c>
      <c r="AB54" s="13" t="s">
        <v>34</v>
      </c>
      <c r="AC54" s="32" t="s">
        <v>318</v>
      </c>
      <c r="AD54" s="32" t="s">
        <v>32</v>
      </c>
      <c r="AE54" s="32">
        <v>0.46910000000000002</v>
      </c>
      <c r="AF54" s="44" t="s">
        <v>45</v>
      </c>
      <c r="AG54" s="32">
        <v>2013</v>
      </c>
      <c r="AH54" s="44" t="s">
        <v>46</v>
      </c>
      <c r="AI54" s="99">
        <f t="shared" si="0"/>
        <v>0.43712574850299379</v>
      </c>
    </row>
    <row r="55" spans="1:35" s="10" customFormat="1" x14ac:dyDescent="0.3">
      <c r="A55" s="11">
        <v>1.0387984981226499</v>
      </c>
      <c r="B55" s="45">
        <v>3.2407407407407401E-5</v>
      </c>
      <c r="C55" s="33" t="s">
        <v>33</v>
      </c>
      <c r="D55" s="33" t="s">
        <v>35</v>
      </c>
      <c r="E55" s="33" t="s">
        <v>170</v>
      </c>
      <c r="F55" s="33" t="s">
        <v>34</v>
      </c>
      <c r="G55" s="43">
        <v>0.16500000000000001</v>
      </c>
      <c r="H55" s="32" t="s">
        <v>34</v>
      </c>
      <c r="I55" s="32" t="s">
        <v>34</v>
      </c>
      <c r="J55" s="32" t="s">
        <v>34</v>
      </c>
      <c r="K55" s="32" t="s">
        <v>34</v>
      </c>
      <c r="L55" s="32" t="s">
        <v>34</v>
      </c>
      <c r="M55" s="10">
        <v>83</v>
      </c>
      <c r="N55" s="32" t="s">
        <v>43</v>
      </c>
      <c r="O55" s="32">
        <v>0.98750000000000004</v>
      </c>
      <c r="P55" s="32">
        <v>0.58499999999999996</v>
      </c>
      <c r="Q55" s="32">
        <v>0</v>
      </c>
      <c r="R55" s="32" t="s">
        <v>34</v>
      </c>
      <c r="S55" s="36">
        <f t="shared" si="1"/>
        <v>9.2777777777777699E-5</v>
      </c>
      <c r="T55" s="32" t="s">
        <v>36</v>
      </c>
      <c r="U55" s="32" t="s">
        <v>37</v>
      </c>
      <c r="V55" s="32" t="s">
        <v>38</v>
      </c>
      <c r="W55" s="32" t="s">
        <v>34</v>
      </c>
      <c r="X55" s="13">
        <v>0.25</v>
      </c>
      <c r="Y55" s="32">
        <v>1</v>
      </c>
      <c r="Z55" s="32" t="s">
        <v>39</v>
      </c>
      <c r="AA55" s="32" t="s">
        <v>34</v>
      </c>
      <c r="AB55" s="13" t="s">
        <v>34</v>
      </c>
      <c r="AC55" s="32" t="s">
        <v>318</v>
      </c>
      <c r="AD55" s="32" t="s">
        <v>32</v>
      </c>
      <c r="AE55" s="32">
        <v>0.46910000000000002</v>
      </c>
      <c r="AF55" s="44" t="s">
        <v>45</v>
      </c>
      <c r="AG55" s="32">
        <v>2013</v>
      </c>
      <c r="AH55" s="44" t="s">
        <v>46</v>
      </c>
      <c r="AI55" s="99">
        <f t="shared" si="0"/>
        <v>0.34930139720558906</v>
      </c>
    </row>
    <row r="56" spans="1:35" s="10" customFormat="1" x14ac:dyDescent="0.3">
      <c r="A56" s="11">
        <v>1.30162703379224</v>
      </c>
      <c r="B56" s="45">
        <v>2.9629629629629599E-5</v>
      </c>
      <c r="C56" s="33" t="s">
        <v>33</v>
      </c>
      <c r="D56" s="33" t="s">
        <v>35</v>
      </c>
      <c r="E56" s="33" t="s">
        <v>170</v>
      </c>
      <c r="F56" s="33" t="s">
        <v>34</v>
      </c>
      <c r="G56" s="43">
        <v>0.16500000000000001</v>
      </c>
      <c r="H56" s="32" t="s">
        <v>34</v>
      </c>
      <c r="I56" s="32" t="s">
        <v>34</v>
      </c>
      <c r="J56" s="32" t="s">
        <v>34</v>
      </c>
      <c r="K56" s="32" t="s">
        <v>34</v>
      </c>
      <c r="L56" s="32" t="s">
        <v>34</v>
      </c>
      <c r="M56" s="10">
        <v>83</v>
      </c>
      <c r="N56" s="32" t="s">
        <v>43</v>
      </c>
      <c r="O56" s="32">
        <v>0.98750000000000004</v>
      </c>
      <c r="P56" s="32">
        <v>0.58499999999999996</v>
      </c>
      <c r="Q56" s="32">
        <v>0</v>
      </c>
      <c r="R56" s="32" t="s">
        <v>34</v>
      </c>
      <c r="S56" s="36">
        <f t="shared" si="1"/>
        <v>9.2777777777777699E-5</v>
      </c>
      <c r="T56" s="32" t="s">
        <v>36</v>
      </c>
      <c r="U56" s="32" t="s">
        <v>37</v>
      </c>
      <c r="V56" s="32" t="s">
        <v>38</v>
      </c>
      <c r="W56" s="32" t="s">
        <v>34</v>
      </c>
      <c r="X56" s="13">
        <v>0.25</v>
      </c>
      <c r="Y56" s="32">
        <v>1</v>
      </c>
      <c r="Z56" s="32" t="s">
        <v>39</v>
      </c>
      <c r="AA56" s="32" t="s">
        <v>34</v>
      </c>
      <c r="AB56" s="13" t="s">
        <v>34</v>
      </c>
      <c r="AC56" s="32" t="s">
        <v>318</v>
      </c>
      <c r="AD56" s="32" t="s">
        <v>32</v>
      </c>
      <c r="AE56" s="32">
        <v>0.46910000000000002</v>
      </c>
      <c r="AF56" s="44" t="s">
        <v>45</v>
      </c>
      <c r="AG56" s="32">
        <v>2013</v>
      </c>
      <c r="AH56" s="44" t="s">
        <v>46</v>
      </c>
      <c r="AI56" s="99">
        <f t="shared" si="0"/>
        <v>0.31936127744510973</v>
      </c>
    </row>
    <row r="57" spans="1:35" s="10" customFormat="1" x14ac:dyDescent="0.3">
      <c r="A57" s="11">
        <v>1.5581977471839701</v>
      </c>
      <c r="B57" s="45">
        <v>2.7222222222222199E-5</v>
      </c>
      <c r="C57" s="33" t="s">
        <v>33</v>
      </c>
      <c r="D57" s="33" t="s">
        <v>35</v>
      </c>
      <c r="E57" s="33" t="s">
        <v>170</v>
      </c>
      <c r="F57" s="33" t="s">
        <v>34</v>
      </c>
      <c r="G57" s="43">
        <v>0.16500000000000001</v>
      </c>
      <c r="H57" s="32" t="s">
        <v>34</v>
      </c>
      <c r="I57" s="32" t="s">
        <v>34</v>
      </c>
      <c r="J57" s="32" t="s">
        <v>34</v>
      </c>
      <c r="K57" s="32" t="s">
        <v>34</v>
      </c>
      <c r="L57" s="32" t="s">
        <v>34</v>
      </c>
      <c r="M57" s="10">
        <v>83</v>
      </c>
      <c r="N57" s="32" t="s">
        <v>43</v>
      </c>
      <c r="O57" s="32">
        <v>0.98750000000000004</v>
      </c>
      <c r="P57" s="32">
        <v>0.58499999999999996</v>
      </c>
      <c r="Q57" s="32">
        <v>0</v>
      </c>
      <c r="R57" s="32" t="s">
        <v>34</v>
      </c>
      <c r="S57" s="36">
        <f t="shared" si="1"/>
        <v>9.2777777777777699E-5</v>
      </c>
      <c r="T57" s="32" t="s">
        <v>36</v>
      </c>
      <c r="U57" s="32" t="s">
        <v>37</v>
      </c>
      <c r="V57" s="32" t="s">
        <v>38</v>
      </c>
      <c r="W57" s="32" t="s">
        <v>34</v>
      </c>
      <c r="X57" s="13">
        <v>0.25</v>
      </c>
      <c r="Y57" s="32">
        <v>1</v>
      </c>
      <c r="Z57" s="32" t="s">
        <v>39</v>
      </c>
      <c r="AA57" s="32" t="s">
        <v>34</v>
      </c>
      <c r="AB57" s="13" t="s">
        <v>34</v>
      </c>
      <c r="AC57" s="32" t="s">
        <v>318</v>
      </c>
      <c r="AD57" s="32" t="s">
        <v>32</v>
      </c>
      <c r="AE57" s="32">
        <v>0.46910000000000002</v>
      </c>
      <c r="AF57" s="44" t="s">
        <v>45</v>
      </c>
      <c r="AG57" s="32">
        <v>2013</v>
      </c>
      <c r="AH57" s="44" t="s">
        <v>46</v>
      </c>
      <c r="AI57" s="99">
        <f t="shared" si="0"/>
        <v>0.29341317365269459</v>
      </c>
    </row>
    <row r="58" spans="1:35" s="10" customFormat="1" x14ac:dyDescent="0.3">
      <c r="A58" s="11">
        <v>1.8272841051314099</v>
      </c>
      <c r="B58" s="45">
        <v>2.2407407407407399E-5</v>
      </c>
      <c r="C58" s="33" t="s">
        <v>33</v>
      </c>
      <c r="D58" s="33" t="s">
        <v>35</v>
      </c>
      <c r="E58" s="33" t="s">
        <v>170</v>
      </c>
      <c r="F58" s="33" t="s">
        <v>34</v>
      </c>
      <c r="G58" s="43">
        <v>0.16500000000000001</v>
      </c>
      <c r="H58" s="32" t="s">
        <v>34</v>
      </c>
      <c r="I58" s="32" t="s">
        <v>34</v>
      </c>
      <c r="J58" s="32" t="s">
        <v>34</v>
      </c>
      <c r="K58" s="32" t="s">
        <v>34</v>
      </c>
      <c r="L58" s="32" t="s">
        <v>34</v>
      </c>
      <c r="M58" s="10">
        <v>83</v>
      </c>
      <c r="N58" s="32" t="s">
        <v>43</v>
      </c>
      <c r="O58" s="32">
        <v>0.98750000000000004</v>
      </c>
      <c r="P58" s="32">
        <v>0.58499999999999996</v>
      </c>
      <c r="Q58" s="32">
        <v>0</v>
      </c>
      <c r="R58" s="32" t="s">
        <v>34</v>
      </c>
      <c r="S58" s="36">
        <f t="shared" si="1"/>
        <v>9.2777777777777699E-5</v>
      </c>
      <c r="T58" s="32" t="s">
        <v>36</v>
      </c>
      <c r="U58" s="32" t="s">
        <v>37</v>
      </c>
      <c r="V58" s="32" t="s">
        <v>38</v>
      </c>
      <c r="W58" s="32" t="s">
        <v>34</v>
      </c>
      <c r="X58" s="13">
        <v>0.25</v>
      </c>
      <c r="Y58" s="32">
        <v>1</v>
      </c>
      <c r="Z58" s="32" t="s">
        <v>39</v>
      </c>
      <c r="AA58" s="32" t="s">
        <v>34</v>
      </c>
      <c r="AB58" s="13" t="s">
        <v>34</v>
      </c>
      <c r="AC58" s="32" t="s">
        <v>318</v>
      </c>
      <c r="AD58" s="32" t="s">
        <v>32</v>
      </c>
      <c r="AE58" s="32">
        <v>0.46910000000000002</v>
      </c>
      <c r="AF58" s="44" t="s">
        <v>45</v>
      </c>
      <c r="AG58" s="32">
        <v>2013</v>
      </c>
      <c r="AH58" s="44" t="s">
        <v>46</v>
      </c>
      <c r="AI58" s="99">
        <f t="shared" si="0"/>
        <v>0.24151696606786438</v>
      </c>
    </row>
    <row r="59" spans="1:35" s="10" customFormat="1" x14ac:dyDescent="0.3">
      <c r="A59" s="11">
        <v>2.0838548185231498</v>
      </c>
      <c r="B59" s="45">
        <v>2.1666666666666599E-5</v>
      </c>
      <c r="C59" s="33" t="s">
        <v>33</v>
      </c>
      <c r="D59" s="33" t="s">
        <v>35</v>
      </c>
      <c r="E59" s="33" t="s">
        <v>170</v>
      </c>
      <c r="F59" s="33" t="s">
        <v>34</v>
      </c>
      <c r="G59" s="43">
        <v>0.16500000000000001</v>
      </c>
      <c r="H59" s="32" t="s">
        <v>34</v>
      </c>
      <c r="I59" s="32" t="s">
        <v>34</v>
      </c>
      <c r="J59" s="32" t="s">
        <v>34</v>
      </c>
      <c r="K59" s="32" t="s">
        <v>34</v>
      </c>
      <c r="L59" s="32" t="s">
        <v>34</v>
      </c>
      <c r="M59" s="10">
        <v>83</v>
      </c>
      <c r="N59" s="32" t="s">
        <v>43</v>
      </c>
      <c r="O59" s="32">
        <v>0.98750000000000004</v>
      </c>
      <c r="P59" s="32">
        <v>0.58499999999999996</v>
      </c>
      <c r="Q59" s="32">
        <v>0</v>
      </c>
      <c r="R59" s="32" t="s">
        <v>34</v>
      </c>
      <c r="S59" s="36">
        <f t="shared" si="1"/>
        <v>9.2777777777777699E-5</v>
      </c>
      <c r="T59" s="32" t="s">
        <v>36</v>
      </c>
      <c r="U59" s="32" t="s">
        <v>37</v>
      </c>
      <c r="V59" s="32" t="s">
        <v>38</v>
      </c>
      <c r="W59" s="32" t="s">
        <v>34</v>
      </c>
      <c r="X59" s="13">
        <v>0.25</v>
      </c>
      <c r="Y59" s="32">
        <v>1</v>
      </c>
      <c r="Z59" s="32" t="s">
        <v>39</v>
      </c>
      <c r="AA59" s="32" t="s">
        <v>34</v>
      </c>
      <c r="AB59" s="13" t="s">
        <v>34</v>
      </c>
      <c r="AC59" s="32" t="s">
        <v>318</v>
      </c>
      <c r="AD59" s="32" t="s">
        <v>32</v>
      </c>
      <c r="AE59" s="32">
        <v>0.46910000000000002</v>
      </c>
      <c r="AF59" s="44" t="s">
        <v>45</v>
      </c>
      <c r="AG59" s="32">
        <v>2013</v>
      </c>
      <c r="AH59" s="44" t="s">
        <v>46</v>
      </c>
      <c r="AI59" s="99">
        <f t="shared" si="0"/>
        <v>0.23353293413173601</v>
      </c>
    </row>
    <row r="60" spans="1:35" s="10" customFormat="1" x14ac:dyDescent="0.3">
      <c r="A60" s="11">
        <v>2.3404255319148901</v>
      </c>
      <c r="B60" s="45">
        <v>2.4814814814814799E-5</v>
      </c>
      <c r="C60" s="33" t="s">
        <v>33</v>
      </c>
      <c r="D60" s="33" t="s">
        <v>35</v>
      </c>
      <c r="E60" s="33" t="s">
        <v>170</v>
      </c>
      <c r="F60" s="33" t="s">
        <v>34</v>
      </c>
      <c r="G60" s="43">
        <v>0.16500000000000001</v>
      </c>
      <c r="H60" s="32" t="s">
        <v>34</v>
      </c>
      <c r="I60" s="32" t="s">
        <v>34</v>
      </c>
      <c r="J60" s="32" t="s">
        <v>34</v>
      </c>
      <c r="K60" s="32" t="s">
        <v>34</v>
      </c>
      <c r="L60" s="32" t="s">
        <v>34</v>
      </c>
      <c r="M60" s="10">
        <v>83</v>
      </c>
      <c r="N60" s="32" t="s">
        <v>43</v>
      </c>
      <c r="O60" s="32">
        <v>0.98750000000000004</v>
      </c>
      <c r="P60" s="32">
        <v>0.58499999999999996</v>
      </c>
      <c r="Q60" s="32">
        <v>0</v>
      </c>
      <c r="R60" s="32" t="s">
        <v>34</v>
      </c>
      <c r="S60" s="36">
        <f t="shared" si="1"/>
        <v>9.2777777777777699E-5</v>
      </c>
      <c r="T60" s="32" t="s">
        <v>36</v>
      </c>
      <c r="U60" s="32" t="s">
        <v>37</v>
      </c>
      <c r="V60" s="32" t="s">
        <v>38</v>
      </c>
      <c r="W60" s="32" t="s">
        <v>34</v>
      </c>
      <c r="X60" s="13">
        <v>0.25</v>
      </c>
      <c r="Y60" s="32">
        <v>1</v>
      </c>
      <c r="Z60" s="32" t="s">
        <v>39</v>
      </c>
      <c r="AA60" s="32" t="s">
        <v>34</v>
      </c>
      <c r="AB60" s="13" t="s">
        <v>34</v>
      </c>
      <c r="AC60" s="32" t="s">
        <v>318</v>
      </c>
      <c r="AD60" s="32" t="s">
        <v>32</v>
      </c>
      <c r="AE60" s="32">
        <v>0.46910000000000002</v>
      </c>
      <c r="AF60" s="44" t="s">
        <v>45</v>
      </c>
      <c r="AG60" s="32">
        <v>2013</v>
      </c>
      <c r="AH60" s="44" t="s">
        <v>46</v>
      </c>
      <c r="AI60" s="99">
        <f t="shared" si="0"/>
        <v>0.26746506986027951</v>
      </c>
    </row>
    <row r="61" spans="1:35" s="10" customFormat="1" x14ac:dyDescent="0.3">
      <c r="A61" s="11">
        <v>2.59699624530663</v>
      </c>
      <c r="B61" s="45">
        <v>1.8333333333333299E-5</v>
      </c>
      <c r="C61" s="33" t="s">
        <v>33</v>
      </c>
      <c r="D61" s="33" t="s">
        <v>35</v>
      </c>
      <c r="E61" s="33" t="s">
        <v>170</v>
      </c>
      <c r="F61" s="33" t="s">
        <v>34</v>
      </c>
      <c r="G61" s="43">
        <v>0.16500000000000001</v>
      </c>
      <c r="H61" s="32" t="s">
        <v>34</v>
      </c>
      <c r="I61" s="32" t="s">
        <v>34</v>
      </c>
      <c r="J61" s="32" t="s">
        <v>34</v>
      </c>
      <c r="K61" s="32" t="s">
        <v>34</v>
      </c>
      <c r="L61" s="32" t="s">
        <v>34</v>
      </c>
      <c r="M61" s="10">
        <v>83</v>
      </c>
      <c r="N61" s="32" t="s">
        <v>43</v>
      </c>
      <c r="O61" s="32">
        <v>0.98750000000000004</v>
      </c>
      <c r="P61" s="32">
        <v>0.58499999999999996</v>
      </c>
      <c r="Q61" s="32">
        <v>0</v>
      </c>
      <c r="R61" s="32" t="s">
        <v>34</v>
      </c>
      <c r="S61" s="36">
        <f t="shared" si="1"/>
        <v>9.2777777777777699E-5</v>
      </c>
      <c r="T61" s="32" t="s">
        <v>36</v>
      </c>
      <c r="U61" s="32" t="s">
        <v>37</v>
      </c>
      <c r="V61" s="32" t="s">
        <v>38</v>
      </c>
      <c r="W61" s="32" t="s">
        <v>34</v>
      </c>
      <c r="X61" s="13">
        <v>0.25</v>
      </c>
      <c r="Y61" s="32">
        <v>1</v>
      </c>
      <c r="Z61" s="32" t="s">
        <v>39</v>
      </c>
      <c r="AA61" s="32" t="s">
        <v>34</v>
      </c>
      <c r="AB61" s="13" t="s">
        <v>34</v>
      </c>
      <c r="AC61" s="32" t="s">
        <v>318</v>
      </c>
      <c r="AD61" s="32" t="s">
        <v>32</v>
      </c>
      <c r="AE61" s="32">
        <v>0.46910000000000002</v>
      </c>
      <c r="AF61" s="44" t="s">
        <v>45</v>
      </c>
      <c r="AG61" s="32">
        <v>2013</v>
      </c>
      <c r="AH61" s="44" t="s">
        <v>46</v>
      </c>
      <c r="AI61" s="99">
        <f t="shared" si="0"/>
        <v>0.19760479041916149</v>
      </c>
    </row>
    <row r="62" spans="1:35" s="10" customFormat="1" x14ac:dyDescent="0.3">
      <c r="A62" s="11">
        <v>2.8660826032540601</v>
      </c>
      <c r="B62" s="45">
        <v>1.81481481481481E-5</v>
      </c>
      <c r="C62" s="33" t="s">
        <v>33</v>
      </c>
      <c r="D62" s="33" t="s">
        <v>35</v>
      </c>
      <c r="E62" s="33" t="s">
        <v>170</v>
      </c>
      <c r="F62" s="33" t="s">
        <v>34</v>
      </c>
      <c r="G62" s="43">
        <v>0.16500000000000001</v>
      </c>
      <c r="H62" s="32" t="s">
        <v>34</v>
      </c>
      <c r="I62" s="32" t="s">
        <v>34</v>
      </c>
      <c r="J62" s="32" t="s">
        <v>34</v>
      </c>
      <c r="K62" s="32" t="s">
        <v>34</v>
      </c>
      <c r="L62" s="32" t="s">
        <v>34</v>
      </c>
      <c r="M62" s="10">
        <v>83</v>
      </c>
      <c r="N62" s="32" t="s">
        <v>43</v>
      </c>
      <c r="O62" s="32">
        <v>0.98750000000000004</v>
      </c>
      <c r="P62" s="32">
        <v>0.58499999999999996</v>
      </c>
      <c r="Q62" s="32">
        <v>0</v>
      </c>
      <c r="R62" s="32" t="s">
        <v>34</v>
      </c>
      <c r="S62" s="36">
        <f t="shared" si="1"/>
        <v>9.2777777777777699E-5</v>
      </c>
      <c r="T62" s="32" t="s">
        <v>36</v>
      </c>
      <c r="U62" s="32" t="s">
        <v>37</v>
      </c>
      <c r="V62" s="32" t="s">
        <v>38</v>
      </c>
      <c r="W62" s="32" t="s">
        <v>34</v>
      </c>
      <c r="X62" s="13">
        <v>0.25</v>
      </c>
      <c r="Y62" s="32">
        <v>1</v>
      </c>
      <c r="Z62" s="32" t="s">
        <v>39</v>
      </c>
      <c r="AA62" s="32" t="s">
        <v>34</v>
      </c>
      <c r="AB62" s="13" t="s">
        <v>34</v>
      </c>
      <c r="AC62" s="32" t="s">
        <v>318</v>
      </c>
      <c r="AD62" s="32" t="s">
        <v>32</v>
      </c>
      <c r="AE62" s="32">
        <v>0.46910000000000002</v>
      </c>
      <c r="AF62" s="44" t="s">
        <v>45</v>
      </c>
      <c r="AG62" s="32">
        <v>2013</v>
      </c>
      <c r="AH62" s="44" t="s">
        <v>46</v>
      </c>
      <c r="AI62" s="99">
        <f t="shared" si="0"/>
        <v>0.19560878243512939</v>
      </c>
    </row>
    <row r="63" spans="1:35" s="10" customFormat="1" x14ac:dyDescent="0.3">
      <c r="A63" s="11">
        <v>3.1226533166457999</v>
      </c>
      <c r="B63" s="45">
        <v>1.8333333333333299E-5</v>
      </c>
      <c r="C63" s="33" t="s">
        <v>33</v>
      </c>
      <c r="D63" s="33" t="s">
        <v>35</v>
      </c>
      <c r="E63" s="33" t="s">
        <v>170</v>
      </c>
      <c r="F63" s="33" t="s">
        <v>34</v>
      </c>
      <c r="G63" s="43">
        <v>0.16500000000000001</v>
      </c>
      <c r="H63" s="32" t="s">
        <v>34</v>
      </c>
      <c r="I63" s="32" t="s">
        <v>34</v>
      </c>
      <c r="J63" s="32" t="s">
        <v>34</v>
      </c>
      <c r="K63" s="32" t="s">
        <v>34</v>
      </c>
      <c r="L63" s="32" t="s">
        <v>34</v>
      </c>
      <c r="M63" s="10">
        <v>83</v>
      </c>
      <c r="N63" s="32" t="s">
        <v>43</v>
      </c>
      <c r="O63" s="32">
        <v>0.98750000000000004</v>
      </c>
      <c r="P63" s="32">
        <v>0.58499999999999996</v>
      </c>
      <c r="Q63" s="32">
        <v>0</v>
      </c>
      <c r="R63" s="32" t="s">
        <v>34</v>
      </c>
      <c r="S63" s="36">
        <f t="shared" si="1"/>
        <v>9.2777777777777699E-5</v>
      </c>
      <c r="T63" s="32" t="s">
        <v>36</v>
      </c>
      <c r="U63" s="32" t="s">
        <v>37</v>
      </c>
      <c r="V63" s="32" t="s">
        <v>38</v>
      </c>
      <c r="W63" s="32" t="s">
        <v>34</v>
      </c>
      <c r="X63" s="13">
        <v>0.25</v>
      </c>
      <c r="Y63" s="32">
        <v>1</v>
      </c>
      <c r="Z63" s="32" t="s">
        <v>39</v>
      </c>
      <c r="AA63" s="32" t="s">
        <v>34</v>
      </c>
      <c r="AB63" s="13" t="s">
        <v>34</v>
      </c>
      <c r="AC63" s="32" t="s">
        <v>318</v>
      </c>
      <c r="AD63" s="32" t="s">
        <v>32</v>
      </c>
      <c r="AE63" s="32">
        <v>0.46910000000000002</v>
      </c>
      <c r="AF63" s="44" t="s">
        <v>45</v>
      </c>
      <c r="AG63" s="32">
        <v>2013</v>
      </c>
      <c r="AH63" s="44" t="s">
        <v>46</v>
      </c>
      <c r="AI63" s="99">
        <f t="shared" si="0"/>
        <v>0.19760479041916149</v>
      </c>
    </row>
    <row r="64" spans="1:35" s="10" customFormat="1" x14ac:dyDescent="0.3">
      <c r="A64" s="11">
        <v>0</v>
      </c>
      <c r="B64" s="45">
        <v>3.94444444444444E-5</v>
      </c>
      <c r="C64" s="33" t="s">
        <v>33</v>
      </c>
      <c r="D64" s="33" t="s">
        <v>35</v>
      </c>
      <c r="E64" s="33" t="s">
        <v>170</v>
      </c>
      <c r="F64" s="33" t="s">
        <v>34</v>
      </c>
      <c r="G64" s="43">
        <v>0.16500000000000001</v>
      </c>
      <c r="H64" s="32" t="s">
        <v>34</v>
      </c>
      <c r="I64" s="32" t="s">
        <v>34</v>
      </c>
      <c r="J64" s="32" t="s">
        <v>34</v>
      </c>
      <c r="K64" s="32" t="s">
        <v>34</v>
      </c>
      <c r="L64" s="32" t="s">
        <v>34</v>
      </c>
      <c r="M64" s="10">
        <v>57</v>
      </c>
      <c r="N64" s="32" t="s">
        <v>43</v>
      </c>
      <c r="O64" s="32">
        <v>0.98750000000000004</v>
      </c>
      <c r="P64" s="32">
        <v>0.58499999999999996</v>
      </c>
      <c r="Q64" s="32">
        <v>0</v>
      </c>
      <c r="R64" s="32" t="s">
        <v>34</v>
      </c>
      <c r="S64" s="36">
        <f t="shared" si="1"/>
        <v>3.94444444444444E-5</v>
      </c>
      <c r="T64" s="32" t="s">
        <v>36</v>
      </c>
      <c r="U64" s="32" t="s">
        <v>37</v>
      </c>
      <c r="V64" s="32" t="s">
        <v>38</v>
      </c>
      <c r="W64" s="32" t="s">
        <v>34</v>
      </c>
      <c r="X64" s="13">
        <v>0.25</v>
      </c>
      <c r="Y64" s="32">
        <v>1</v>
      </c>
      <c r="Z64" s="32" t="s">
        <v>39</v>
      </c>
      <c r="AA64" s="32" t="s">
        <v>34</v>
      </c>
      <c r="AB64" s="13" t="s">
        <v>34</v>
      </c>
      <c r="AC64" s="32" t="s">
        <v>318</v>
      </c>
      <c r="AD64" s="32" t="s">
        <v>32</v>
      </c>
      <c r="AE64" s="32">
        <v>0.46910000000000002</v>
      </c>
      <c r="AF64" s="44" t="s">
        <v>45</v>
      </c>
      <c r="AG64" s="32">
        <v>2013</v>
      </c>
      <c r="AH64" s="44" t="s">
        <v>46</v>
      </c>
      <c r="AI64" s="99">
        <f t="shared" si="0"/>
        <v>1</v>
      </c>
    </row>
    <row r="65" spans="1:35" s="10" customFormat="1" x14ac:dyDescent="0.3">
      <c r="A65" s="11">
        <v>0.25031289111389199</v>
      </c>
      <c r="B65" s="45">
        <v>3.9259259259259302E-5</v>
      </c>
      <c r="C65" s="33" t="s">
        <v>33</v>
      </c>
      <c r="D65" s="33" t="s">
        <v>35</v>
      </c>
      <c r="E65" s="33" t="s">
        <v>170</v>
      </c>
      <c r="F65" s="33" t="s">
        <v>34</v>
      </c>
      <c r="G65" s="43">
        <v>0.16500000000000001</v>
      </c>
      <c r="H65" s="32" t="s">
        <v>34</v>
      </c>
      <c r="I65" s="32" t="s">
        <v>34</v>
      </c>
      <c r="J65" s="32" t="s">
        <v>34</v>
      </c>
      <c r="K65" s="32" t="s">
        <v>34</v>
      </c>
      <c r="L65" s="32" t="s">
        <v>34</v>
      </c>
      <c r="M65" s="10">
        <v>57</v>
      </c>
      <c r="N65" s="32" t="s">
        <v>43</v>
      </c>
      <c r="O65" s="32">
        <v>0.98750000000000004</v>
      </c>
      <c r="P65" s="32">
        <v>0.58499999999999996</v>
      </c>
      <c r="Q65" s="32">
        <v>0</v>
      </c>
      <c r="R65" s="32" t="s">
        <v>34</v>
      </c>
      <c r="S65" s="36">
        <f t="shared" si="1"/>
        <v>3.94444444444444E-5</v>
      </c>
      <c r="T65" s="32" t="s">
        <v>36</v>
      </c>
      <c r="U65" s="32" t="s">
        <v>37</v>
      </c>
      <c r="V65" s="32" t="s">
        <v>38</v>
      </c>
      <c r="W65" s="32" t="s">
        <v>34</v>
      </c>
      <c r="X65" s="13">
        <v>0.25</v>
      </c>
      <c r="Y65" s="32">
        <v>1</v>
      </c>
      <c r="Z65" s="32" t="s">
        <v>39</v>
      </c>
      <c r="AA65" s="32" t="s">
        <v>34</v>
      </c>
      <c r="AB65" s="13" t="s">
        <v>34</v>
      </c>
      <c r="AC65" s="32" t="s">
        <v>318</v>
      </c>
      <c r="AD65" s="32" t="s">
        <v>32</v>
      </c>
      <c r="AE65" s="32">
        <v>0.46910000000000002</v>
      </c>
      <c r="AF65" s="44" t="s">
        <v>45</v>
      </c>
      <c r="AG65" s="32">
        <v>2013</v>
      </c>
      <c r="AH65" s="44" t="s">
        <v>46</v>
      </c>
      <c r="AI65" s="99">
        <f t="shared" si="0"/>
        <v>0.99530516431925109</v>
      </c>
    </row>
    <row r="66" spans="1:35" s="10" customFormat="1" x14ac:dyDescent="0.3">
      <c r="A66" s="11">
        <v>0.75719649561952396</v>
      </c>
      <c r="B66" s="45">
        <v>2.4074074074074E-5</v>
      </c>
      <c r="C66" s="33" t="s">
        <v>33</v>
      </c>
      <c r="D66" s="33" t="s">
        <v>35</v>
      </c>
      <c r="E66" s="33" t="s">
        <v>170</v>
      </c>
      <c r="F66" s="33" t="s">
        <v>34</v>
      </c>
      <c r="G66" s="43">
        <v>0.16500000000000001</v>
      </c>
      <c r="H66" s="32" t="s">
        <v>34</v>
      </c>
      <c r="I66" s="32" t="s">
        <v>34</v>
      </c>
      <c r="J66" s="32" t="s">
        <v>34</v>
      </c>
      <c r="K66" s="32" t="s">
        <v>34</v>
      </c>
      <c r="L66" s="32" t="s">
        <v>34</v>
      </c>
      <c r="M66" s="10">
        <v>57</v>
      </c>
      <c r="N66" s="32" t="s">
        <v>43</v>
      </c>
      <c r="O66" s="32">
        <v>0.98750000000000004</v>
      </c>
      <c r="P66" s="32">
        <v>0.58499999999999996</v>
      </c>
      <c r="Q66" s="32">
        <v>0</v>
      </c>
      <c r="R66" s="32" t="s">
        <v>34</v>
      </c>
      <c r="S66" s="36">
        <f t="shared" si="1"/>
        <v>3.94444444444444E-5</v>
      </c>
      <c r="T66" s="32" t="s">
        <v>36</v>
      </c>
      <c r="U66" s="32" t="s">
        <v>37</v>
      </c>
      <c r="V66" s="32" t="s">
        <v>38</v>
      </c>
      <c r="W66" s="32" t="s">
        <v>34</v>
      </c>
      <c r="X66" s="13">
        <v>0.25</v>
      </c>
      <c r="Y66" s="32">
        <v>1</v>
      </c>
      <c r="Z66" s="32" t="s">
        <v>39</v>
      </c>
      <c r="AA66" s="32" t="s">
        <v>34</v>
      </c>
      <c r="AB66" s="13" t="s">
        <v>34</v>
      </c>
      <c r="AC66" s="32" t="s">
        <v>318</v>
      </c>
      <c r="AD66" s="32" t="s">
        <v>32</v>
      </c>
      <c r="AE66" s="32">
        <v>0.46910000000000002</v>
      </c>
      <c r="AF66" s="44" t="s">
        <v>45</v>
      </c>
      <c r="AG66" s="32">
        <v>2013</v>
      </c>
      <c r="AH66" s="44" t="s">
        <v>46</v>
      </c>
      <c r="AI66" s="99">
        <f t="shared" si="0"/>
        <v>0.6103286384976514</v>
      </c>
    </row>
    <row r="67" spans="1:35" s="10" customFormat="1" x14ac:dyDescent="0.3">
      <c r="A67" s="11">
        <v>1.270337922403</v>
      </c>
      <c r="B67" s="45">
        <v>1.9074074074074102E-5</v>
      </c>
      <c r="C67" s="33" t="s">
        <v>33</v>
      </c>
      <c r="D67" s="33" t="s">
        <v>35</v>
      </c>
      <c r="E67" s="33" t="s">
        <v>170</v>
      </c>
      <c r="F67" s="33" t="s">
        <v>34</v>
      </c>
      <c r="G67" s="43">
        <v>0.16500000000000001</v>
      </c>
      <c r="H67" s="32" t="s">
        <v>34</v>
      </c>
      <c r="I67" s="32" t="s">
        <v>34</v>
      </c>
      <c r="J67" s="32" t="s">
        <v>34</v>
      </c>
      <c r="K67" s="32" t="s">
        <v>34</v>
      </c>
      <c r="L67" s="32" t="s">
        <v>34</v>
      </c>
      <c r="M67" s="10">
        <v>57</v>
      </c>
      <c r="N67" s="32" t="s">
        <v>43</v>
      </c>
      <c r="O67" s="32">
        <v>0.98750000000000004</v>
      </c>
      <c r="P67" s="32">
        <v>0.58499999999999996</v>
      </c>
      <c r="Q67" s="32">
        <v>0</v>
      </c>
      <c r="R67" s="32" t="s">
        <v>34</v>
      </c>
      <c r="S67" s="36">
        <f t="shared" si="1"/>
        <v>3.94444444444444E-5</v>
      </c>
      <c r="T67" s="32" t="s">
        <v>36</v>
      </c>
      <c r="U67" s="32" t="s">
        <v>37</v>
      </c>
      <c r="V67" s="32" t="s">
        <v>38</v>
      </c>
      <c r="W67" s="32" t="s">
        <v>34</v>
      </c>
      <c r="X67" s="13">
        <v>0.25</v>
      </c>
      <c r="Y67" s="32">
        <v>1</v>
      </c>
      <c r="Z67" s="32" t="s">
        <v>39</v>
      </c>
      <c r="AA67" s="32" t="s">
        <v>34</v>
      </c>
      <c r="AB67" s="13" t="s">
        <v>34</v>
      </c>
      <c r="AC67" s="32" t="s">
        <v>318</v>
      </c>
      <c r="AD67" s="32" t="s">
        <v>32</v>
      </c>
      <c r="AE67" s="32">
        <v>0.46910000000000002</v>
      </c>
      <c r="AF67" s="44" t="s">
        <v>45</v>
      </c>
      <c r="AG67" s="32">
        <v>2013</v>
      </c>
      <c r="AH67" s="44" t="s">
        <v>46</v>
      </c>
      <c r="AI67" s="99">
        <f t="shared" ref="AI67:AI130" si="2">B67/S67</f>
        <v>0.48356807511737215</v>
      </c>
    </row>
    <row r="68" spans="1:35" s="10" customFormat="1" x14ac:dyDescent="0.3">
      <c r="A68" s="11">
        <v>2.2903629536921102</v>
      </c>
      <c r="B68" s="45">
        <v>1.29629629629629E-5</v>
      </c>
      <c r="C68" s="33" t="s">
        <v>33</v>
      </c>
      <c r="D68" s="33" t="s">
        <v>35</v>
      </c>
      <c r="E68" s="33" t="s">
        <v>170</v>
      </c>
      <c r="F68" s="33" t="s">
        <v>34</v>
      </c>
      <c r="G68" s="43">
        <v>0.16500000000000001</v>
      </c>
      <c r="H68" s="32" t="s">
        <v>34</v>
      </c>
      <c r="I68" s="32" t="s">
        <v>34</v>
      </c>
      <c r="J68" s="32" t="s">
        <v>34</v>
      </c>
      <c r="K68" s="32" t="s">
        <v>34</v>
      </c>
      <c r="L68" s="32" t="s">
        <v>34</v>
      </c>
      <c r="M68" s="10">
        <v>57</v>
      </c>
      <c r="N68" s="32" t="s">
        <v>43</v>
      </c>
      <c r="O68" s="32">
        <v>0.98750000000000004</v>
      </c>
      <c r="P68" s="32">
        <v>0.58499999999999996</v>
      </c>
      <c r="Q68" s="32">
        <v>0</v>
      </c>
      <c r="R68" s="32" t="s">
        <v>34</v>
      </c>
      <c r="S68" s="36">
        <f t="shared" ref="S68:S131" si="3">IF(A68=0,B68,S67)</f>
        <v>3.94444444444444E-5</v>
      </c>
      <c r="T68" s="32" t="s">
        <v>36</v>
      </c>
      <c r="U68" s="32" t="s">
        <v>37</v>
      </c>
      <c r="V68" s="32" t="s">
        <v>38</v>
      </c>
      <c r="W68" s="32" t="s">
        <v>34</v>
      </c>
      <c r="X68" s="13">
        <v>0.25</v>
      </c>
      <c r="Y68" s="32">
        <v>1</v>
      </c>
      <c r="Z68" s="32" t="s">
        <v>39</v>
      </c>
      <c r="AA68" s="32" t="s">
        <v>34</v>
      </c>
      <c r="AB68" s="13" t="s">
        <v>34</v>
      </c>
      <c r="AC68" s="32" t="s">
        <v>318</v>
      </c>
      <c r="AD68" s="32" t="s">
        <v>32</v>
      </c>
      <c r="AE68" s="32">
        <v>0.46910000000000002</v>
      </c>
      <c r="AF68" s="44" t="s">
        <v>45</v>
      </c>
      <c r="AG68" s="32">
        <v>2013</v>
      </c>
      <c r="AH68" s="44" t="s">
        <v>46</v>
      </c>
      <c r="AI68" s="99">
        <f t="shared" si="2"/>
        <v>0.32863849765258091</v>
      </c>
    </row>
    <row r="69" spans="1:35" s="10" customFormat="1" x14ac:dyDescent="0.3">
      <c r="A69" s="11">
        <v>2.7972465581977399</v>
      </c>
      <c r="B69" s="45">
        <v>1.07407407407407E-5</v>
      </c>
      <c r="C69" s="33" t="s">
        <v>33</v>
      </c>
      <c r="D69" s="33" t="s">
        <v>35</v>
      </c>
      <c r="E69" s="33" t="s">
        <v>170</v>
      </c>
      <c r="F69" s="33" t="s">
        <v>34</v>
      </c>
      <c r="G69" s="43">
        <v>0.16500000000000001</v>
      </c>
      <c r="H69" s="32" t="s">
        <v>34</v>
      </c>
      <c r="I69" s="32" t="s">
        <v>34</v>
      </c>
      <c r="J69" s="32" t="s">
        <v>34</v>
      </c>
      <c r="K69" s="32" t="s">
        <v>34</v>
      </c>
      <c r="L69" s="32" t="s">
        <v>34</v>
      </c>
      <c r="M69" s="10">
        <v>57</v>
      </c>
      <c r="N69" s="32" t="s">
        <v>43</v>
      </c>
      <c r="O69" s="32">
        <v>0.98750000000000004</v>
      </c>
      <c r="P69" s="32">
        <v>0.58499999999999996</v>
      </c>
      <c r="Q69" s="32">
        <v>0</v>
      </c>
      <c r="R69" s="32" t="s">
        <v>34</v>
      </c>
      <c r="S69" s="36">
        <f t="shared" si="3"/>
        <v>3.94444444444444E-5</v>
      </c>
      <c r="T69" s="32" t="s">
        <v>36</v>
      </c>
      <c r="U69" s="32" t="s">
        <v>37</v>
      </c>
      <c r="V69" s="32" t="s">
        <v>38</v>
      </c>
      <c r="W69" s="32" t="s">
        <v>34</v>
      </c>
      <c r="X69" s="13">
        <v>0.25</v>
      </c>
      <c r="Y69" s="32">
        <v>1</v>
      </c>
      <c r="Z69" s="32" t="s">
        <v>39</v>
      </c>
      <c r="AA69" s="32" t="s">
        <v>34</v>
      </c>
      <c r="AB69" s="13" t="s">
        <v>34</v>
      </c>
      <c r="AC69" s="32" t="s">
        <v>318</v>
      </c>
      <c r="AD69" s="32" t="s">
        <v>32</v>
      </c>
      <c r="AE69" s="32">
        <v>0.46910000000000002</v>
      </c>
      <c r="AF69" s="44" t="s">
        <v>45</v>
      </c>
      <c r="AG69" s="32">
        <v>2013</v>
      </c>
      <c r="AH69" s="44" t="s">
        <v>46</v>
      </c>
      <c r="AI69" s="99">
        <f t="shared" si="2"/>
        <v>0.27230046948356734</v>
      </c>
    </row>
    <row r="70" spans="1:35" s="10" customFormat="1" x14ac:dyDescent="0.3">
      <c r="A70" s="11">
        <v>3.2978723404255299</v>
      </c>
      <c r="B70" s="45">
        <v>1.0925925925925901E-5</v>
      </c>
      <c r="C70" s="33" t="s">
        <v>33</v>
      </c>
      <c r="D70" s="33" t="s">
        <v>35</v>
      </c>
      <c r="E70" s="33" t="s">
        <v>170</v>
      </c>
      <c r="F70" s="33" t="s">
        <v>34</v>
      </c>
      <c r="G70" s="43">
        <v>0.16500000000000001</v>
      </c>
      <c r="H70" s="32" t="s">
        <v>34</v>
      </c>
      <c r="I70" s="32" t="s">
        <v>34</v>
      </c>
      <c r="J70" s="32" t="s">
        <v>34</v>
      </c>
      <c r="K70" s="32" t="s">
        <v>34</v>
      </c>
      <c r="L70" s="32" t="s">
        <v>34</v>
      </c>
      <c r="M70" s="10">
        <v>57</v>
      </c>
      <c r="N70" s="32" t="s">
        <v>43</v>
      </c>
      <c r="O70" s="32">
        <v>0.98750000000000004</v>
      </c>
      <c r="P70" s="32">
        <v>0.58499999999999996</v>
      </c>
      <c r="Q70" s="32">
        <v>0</v>
      </c>
      <c r="R70" s="32" t="s">
        <v>34</v>
      </c>
      <c r="S70" s="36">
        <f t="shared" si="3"/>
        <v>3.94444444444444E-5</v>
      </c>
      <c r="T70" s="32" t="s">
        <v>36</v>
      </c>
      <c r="U70" s="32" t="s">
        <v>37</v>
      </c>
      <c r="V70" s="32" t="s">
        <v>38</v>
      </c>
      <c r="W70" s="32" t="s">
        <v>34</v>
      </c>
      <c r="X70" s="13">
        <v>0.25</v>
      </c>
      <c r="Y70" s="32">
        <v>1</v>
      </c>
      <c r="Z70" s="32" t="s">
        <v>39</v>
      </c>
      <c r="AA70" s="32" t="s">
        <v>34</v>
      </c>
      <c r="AB70" s="13" t="s">
        <v>34</v>
      </c>
      <c r="AC70" s="32" t="s">
        <v>318</v>
      </c>
      <c r="AD70" s="32" t="s">
        <v>32</v>
      </c>
      <c r="AE70" s="32">
        <v>0.46910000000000002</v>
      </c>
      <c r="AF70" s="44" t="s">
        <v>45</v>
      </c>
      <c r="AG70" s="32">
        <v>2013</v>
      </c>
      <c r="AH70" s="44" t="s">
        <v>46</v>
      </c>
      <c r="AI70" s="99">
        <f t="shared" si="2"/>
        <v>0.27699530516431892</v>
      </c>
    </row>
    <row r="71" spans="1:35" s="10" customFormat="1" x14ac:dyDescent="0.3">
      <c r="A71" s="11">
        <v>3.8110137672090101</v>
      </c>
      <c r="B71" s="45">
        <v>8.7037037037037198E-6</v>
      </c>
      <c r="C71" s="33" t="s">
        <v>33</v>
      </c>
      <c r="D71" s="33" t="s">
        <v>35</v>
      </c>
      <c r="E71" s="33" t="s">
        <v>170</v>
      </c>
      <c r="F71" s="33" t="s">
        <v>34</v>
      </c>
      <c r="G71" s="43">
        <v>0.16500000000000001</v>
      </c>
      <c r="H71" s="32" t="s">
        <v>34</v>
      </c>
      <c r="I71" s="32" t="s">
        <v>34</v>
      </c>
      <c r="J71" s="32" t="s">
        <v>34</v>
      </c>
      <c r="K71" s="32" t="s">
        <v>34</v>
      </c>
      <c r="L71" s="32" t="s">
        <v>34</v>
      </c>
      <c r="M71" s="10">
        <v>57</v>
      </c>
      <c r="N71" s="32" t="s">
        <v>43</v>
      </c>
      <c r="O71" s="32">
        <v>0.98750000000000004</v>
      </c>
      <c r="P71" s="32">
        <v>0.58499999999999996</v>
      </c>
      <c r="Q71" s="32">
        <v>0</v>
      </c>
      <c r="R71" s="32" t="s">
        <v>34</v>
      </c>
      <c r="S71" s="36">
        <f t="shared" si="3"/>
        <v>3.94444444444444E-5</v>
      </c>
      <c r="T71" s="32" t="s">
        <v>36</v>
      </c>
      <c r="U71" s="32" t="s">
        <v>37</v>
      </c>
      <c r="V71" s="32" t="s">
        <v>38</v>
      </c>
      <c r="W71" s="32" t="s">
        <v>34</v>
      </c>
      <c r="X71" s="13">
        <v>0.25</v>
      </c>
      <c r="Y71" s="32">
        <v>1</v>
      </c>
      <c r="Z71" s="32" t="s">
        <v>39</v>
      </c>
      <c r="AA71" s="32" t="s">
        <v>34</v>
      </c>
      <c r="AB71" s="13" t="s">
        <v>34</v>
      </c>
      <c r="AC71" s="32" t="s">
        <v>318</v>
      </c>
      <c r="AD71" s="32" t="s">
        <v>32</v>
      </c>
      <c r="AE71" s="32">
        <v>0.46910000000000002</v>
      </c>
      <c r="AF71" s="44" t="s">
        <v>45</v>
      </c>
      <c r="AG71" s="32">
        <v>2013</v>
      </c>
      <c r="AH71" s="44" t="s">
        <v>46</v>
      </c>
      <c r="AI71" s="99">
        <f t="shared" si="2"/>
        <v>0.22065727699530582</v>
      </c>
    </row>
    <row r="72" spans="1:35" s="10" customFormat="1" x14ac:dyDescent="0.3">
      <c r="A72" s="11">
        <v>4.3178973717146398</v>
      </c>
      <c r="B72" s="45">
        <v>7.2222222222222602E-6</v>
      </c>
      <c r="C72" s="33" t="s">
        <v>33</v>
      </c>
      <c r="D72" s="33" t="s">
        <v>35</v>
      </c>
      <c r="E72" s="33" t="s">
        <v>170</v>
      </c>
      <c r="F72" s="33" t="s">
        <v>34</v>
      </c>
      <c r="G72" s="43">
        <v>0.16500000000000001</v>
      </c>
      <c r="H72" s="32" t="s">
        <v>34</v>
      </c>
      <c r="I72" s="32" t="s">
        <v>34</v>
      </c>
      <c r="J72" s="32" t="s">
        <v>34</v>
      </c>
      <c r="K72" s="32" t="s">
        <v>34</v>
      </c>
      <c r="L72" s="32" t="s">
        <v>34</v>
      </c>
      <c r="M72" s="10">
        <v>57</v>
      </c>
      <c r="N72" s="32" t="s">
        <v>43</v>
      </c>
      <c r="O72" s="32">
        <v>0.98750000000000004</v>
      </c>
      <c r="P72" s="32">
        <v>0.58499999999999996</v>
      </c>
      <c r="Q72" s="32">
        <v>0</v>
      </c>
      <c r="R72" s="32" t="s">
        <v>34</v>
      </c>
      <c r="S72" s="36">
        <f t="shared" si="3"/>
        <v>3.94444444444444E-5</v>
      </c>
      <c r="T72" s="32" t="s">
        <v>36</v>
      </c>
      <c r="U72" s="32" t="s">
        <v>37</v>
      </c>
      <c r="V72" s="32" t="s">
        <v>38</v>
      </c>
      <c r="W72" s="32" t="s">
        <v>34</v>
      </c>
      <c r="X72" s="13">
        <v>0.25</v>
      </c>
      <c r="Y72" s="32">
        <v>1</v>
      </c>
      <c r="Z72" s="32" t="s">
        <v>39</v>
      </c>
      <c r="AA72" s="32" t="s">
        <v>34</v>
      </c>
      <c r="AB72" s="13" t="s">
        <v>34</v>
      </c>
      <c r="AC72" s="32" t="s">
        <v>318</v>
      </c>
      <c r="AD72" s="32" t="s">
        <v>32</v>
      </c>
      <c r="AE72" s="32">
        <v>0.46910000000000002</v>
      </c>
      <c r="AF72" s="44" t="s">
        <v>45</v>
      </c>
      <c r="AG72" s="32">
        <v>2013</v>
      </c>
      <c r="AH72" s="44" t="s">
        <v>46</v>
      </c>
      <c r="AI72" s="99">
        <f t="shared" si="2"/>
        <v>0.18309859154929695</v>
      </c>
    </row>
    <row r="73" spans="1:35" s="10" customFormat="1" x14ac:dyDescent="0.3">
      <c r="A73" s="11">
        <v>4.8310387984981196</v>
      </c>
      <c r="B73" s="45">
        <v>1.2037037037037E-5</v>
      </c>
      <c r="C73" s="33" t="s">
        <v>33</v>
      </c>
      <c r="D73" s="33" t="s">
        <v>35</v>
      </c>
      <c r="E73" s="33" t="s">
        <v>170</v>
      </c>
      <c r="F73" s="33" t="s">
        <v>34</v>
      </c>
      <c r="G73" s="43">
        <v>0.16500000000000001</v>
      </c>
      <c r="H73" s="32" t="s">
        <v>34</v>
      </c>
      <c r="I73" s="32" t="s">
        <v>34</v>
      </c>
      <c r="J73" s="32" t="s">
        <v>34</v>
      </c>
      <c r="K73" s="32" t="s">
        <v>34</v>
      </c>
      <c r="L73" s="32" t="s">
        <v>34</v>
      </c>
      <c r="M73" s="10">
        <v>57</v>
      </c>
      <c r="N73" s="32" t="s">
        <v>43</v>
      </c>
      <c r="O73" s="32">
        <v>0.98750000000000004</v>
      </c>
      <c r="P73" s="32">
        <v>0.58499999999999996</v>
      </c>
      <c r="Q73" s="32">
        <v>0</v>
      </c>
      <c r="R73" s="32" t="s">
        <v>34</v>
      </c>
      <c r="S73" s="36">
        <f t="shared" si="3"/>
        <v>3.94444444444444E-5</v>
      </c>
      <c r="T73" s="32" t="s">
        <v>36</v>
      </c>
      <c r="U73" s="32" t="s">
        <v>37</v>
      </c>
      <c r="V73" s="32" t="s">
        <v>38</v>
      </c>
      <c r="W73" s="32" t="s">
        <v>34</v>
      </c>
      <c r="X73" s="13">
        <v>0.25</v>
      </c>
      <c r="Y73" s="32">
        <v>1</v>
      </c>
      <c r="Z73" s="32" t="s">
        <v>39</v>
      </c>
      <c r="AA73" s="32" t="s">
        <v>34</v>
      </c>
      <c r="AB73" s="13" t="s">
        <v>34</v>
      </c>
      <c r="AC73" s="32" t="s">
        <v>318</v>
      </c>
      <c r="AD73" s="32" t="s">
        <v>32</v>
      </c>
      <c r="AE73" s="32">
        <v>0.46910000000000002</v>
      </c>
      <c r="AF73" s="44" t="s">
        <v>45</v>
      </c>
      <c r="AG73" s="32">
        <v>2013</v>
      </c>
      <c r="AH73" s="44" t="s">
        <v>46</v>
      </c>
      <c r="AI73" s="99">
        <f t="shared" si="2"/>
        <v>0.3051643192488257</v>
      </c>
    </row>
    <row r="74" spans="1:35" s="10" customFormat="1" x14ac:dyDescent="0.3">
      <c r="A74" s="11">
        <v>5.3441802252816002</v>
      </c>
      <c r="B74" s="45">
        <v>9.8148148148148408E-6</v>
      </c>
      <c r="C74" s="33" t="s">
        <v>33</v>
      </c>
      <c r="D74" s="33" t="s">
        <v>35</v>
      </c>
      <c r="E74" s="33" t="s">
        <v>170</v>
      </c>
      <c r="F74" s="33" t="s">
        <v>34</v>
      </c>
      <c r="G74" s="43">
        <v>0.16500000000000001</v>
      </c>
      <c r="H74" s="32" t="s">
        <v>34</v>
      </c>
      <c r="I74" s="32" t="s">
        <v>34</v>
      </c>
      <c r="J74" s="32" t="s">
        <v>34</v>
      </c>
      <c r="K74" s="32" t="s">
        <v>34</v>
      </c>
      <c r="L74" s="32" t="s">
        <v>34</v>
      </c>
      <c r="M74" s="10">
        <v>57</v>
      </c>
      <c r="N74" s="32" t="s">
        <v>43</v>
      </c>
      <c r="O74" s="32">
        <v>0.98750000000000004</v>
      </c>
      <c r="P74" s="32">
        <v>0.58499999999999996</v>
      </c>
      <c r="Q74" s="32">
        <v>0</v>
      </c>
      <c r="R74" s="32" t="s">
        <v>34</v>
      </c>
      <c r="S74" s="36">
        <f t="shared" si="3"/>
        <v>3.94444444444444E-5</v>
      </c>
      <c r="T74" s="32" t="s">
        <v>36</v>
      </c>
      <c r="U74" s="32" t="s">
        <v>37</v>
      </c>
      <c r="V74" s="32" t="s">
        <v>38</v>
      </c>
      <c r="W74" s="32" t="s">
        <v>34</v>
      </c>
      <c r="X74" s="13">
        <v>0.25</v>
      </c>
      <c r="Y74" s="32">
        <v>1</v>
      </c>
      <c r="Z74" s="32" t="s">
        <v>39</v>
      </c>
      <c r="AA74" s="32" t="s">
        <v>34</v>
      </c>
      <c r="AB74" s="13" t="s">
        <v>34</v>
      </c>
      <c r="AC74" s="32" t="s">
        <v>318</v>
      </c>
      <c r="AD74" s="32" t="s">
        <v>32</v>
      </c>
      <c r="AE74" s="32">
        <v>0.46910000000000002</v>
      </c>
      <c r="AF74" s="44" t="s">
        <v>45</v>
      </c>
      <c r="AG74" s="32">
        <v>2013</v>
      </c>
      <c r="AH74" s="44" t="s">
        <v>46</v>
      </c>
      <c r="AI74" s="99">
        <f t="shared" si="2"/>
        <v>0.24882629107981316</v>
      </c>
    </row>
    <row r="75" spans="1:35" s="10" customFormat="1" x14ac:dyDescent="0.3">
      <c r="A75" s="11">
        <v>5.84480600750938</v>
      </c>
      <c r="B75" s="45">
        <v>1.85185185185189E-6</v>
      </c>
      <c r="C75" s="33" t="s">
        <v>33</v>
      </c>
      <c r="D75" s="33" t="s">
        <v>35</v>
      </c>
      <c r="E75" s="33" t="s">
        <v>170</v>
      </c>
      <c r="F75" s="33" t="s">
        <v>34</v>
      </c>
      <c r="G75" s="43">
        <v>0.16500000000000001</v>
      </c>
      <c r="H75" s="32" t="s">
        <v>34</v>
      </c>
      <c r="I75" s="32" t="s">
        <v>34</v>
      </c>
      <c r="J75" s="32" t="s">
        <v>34</v>
      </c>
      <c r="K75" s="32" t="s">
        <v>34</v>
      </c>
      <c r="L75" s="32" t="s">
        <v>34</v>
      </c>
      <c r="M75" s="10">
        <v>57</v>
      </c>
      <c r="N75" s="32" t="s">
        <v>43</v>
      </c>
      <c r="O75" s="32">
        <v>0.98750000000000004</v>
      </c>
      <c r="P75" s="32">
        <v>0.58499999999999996</v>
      </c>
      <c r="Q75" s="32">
        <v>0</v>
      </c>
      <c r="R75" s="32" t="s">
        <v>34</v>
      </c>
      <c r="S75" s="36">
        <f t="shared" si="3"/>
        <v>3.94444444444444E-5</v>
      </c>
      <c r="T75" s="32" t="s">
        <v>36</v>
      </c>
      <c r="U75" s="32" t="s">
        <v>37</v>
      </c>
      <c r="V75" s="32" t="s">
        <v>38</v>
      </c>
      <c r="W75" s="32" t="s">
        <v>34</v>
      </c>
      <c r="X75" s="13">
        <v>0.25</v>
      </c>
      <c r="Y75" s="32">
        <v>1</v>
      </c>
      <c r="Z75" s="32" t="s">
        <v>39</v>
      </c>
      <c r="AA75" s="32" t="s">
        <v>34</v>
      </c>
      <c r="AB75" s="13" t="s">
        <v>34</v>
      </c>
      <c r="AC75" s="32" t="s">
        <v>318</v>
      </c>
      <c r="AD75" s="32" t="s">
        <v>32</v>
      </c>
      <c r="AE75" s="32">
        <v>0.46910000000000002</v>
      </c>
      <c r="AF75" s="44" t="s">
        <v>45</v>
      </c>
      <c r="AG75" s="32">
        <v>2013</v>
      </c>
      <c r="AH75" s="44" t="s">
        <v>46</v>
      </c>
      <c r="AI75" s="99">
        <f t="shared" si="2"/>
        <v>4.6948356807512755E-2</v>
      </c>
    </row>
    <row r="76" spans="1:35" s="10" customFormat="1" x14ac:dyDescent="0.3">
      <c r="A76" s="11">
        <v>6.3516896120150097</v>
      </c>
      <c r="B76" s="45">
        <v>2.5925925925926001E-6</v>
      </c>
      <c r="C76" s="33" t="s">
        <v>33</v>
      </c>
      <c r="D76" s="33" t="s">
        <v>35</v>
      </c>
      <c r="E76" s="33" t="s">
        <v>170</v>
      </c>
      <c r="F76" s="33" t="s">
        <v>34</v>
      </c>
      <c r="G76" s="43">
        <v>0.16500000000000001</v>
      </c>
      <c r="H76" s="32" t="s">
        <v>34</v>
      </c>
      <c r="I76" s="32" t="s">
        <v>34</v>
      </c>
      <c r="J76" s="32" t="s">
        <v>34</v>
      </c>
      <c r="K76" s="32" t="s">
        <v>34</v>
      </c>
      <c r="L76" s="32" t="s">
        <v>34</v>
      </c>
      <c r="M76" s="10">
        <v>57</v>
      </c>
      <c r="N76" s="32" t="s">
        <v>43</v>
      </c>
      <c r="O76" s="32">
        <v>0.98750000000000004</v>
      </c>
      <c r="P76" s="32">
        <v>0.58499999999999996</v>
      </c>
      <c r="Q76" s="32">
        <v>0</v>
      </c>
      <c r="R76" s="32" t="s">
        <v>34</v>
      </c>
      <c r="S76" s="36">
        <f t="shared" si="3"/>
        <v>3.94444444444444E-5</v>
      </c>
      <c r="T76" s="32" t="s">
        <v>36</v>
      </c>
      <c r="U76" s="32" t="s">
        <v>37</v>
      </c>
      <c r="V76" s="32" t="s">
        <v>38</v>
      </c>
      <c r="W76" s="32" t="s">
        <v>34</v>
      </c>
      <c r="X76" s="13">
        <v>0.25</v>
      </c>
      <c r="Y76" s="32">
        <v>1</v>
      </c>
      <c r="Z76" s="32" t="s">
        <v>39</v>
      </c>
      <c r="AA76" s="32" t="s">
        <v>34</v>
      </c>
      <c r="AB76" s="13" t="s">
        <v>34</v>
      </c>
      <c r="AC76" s="32" t="s">
        <v>318</v>
      </c>
      <c r="AD76" s="32" t="s">
        <v>32</v>
      </c>
      <c r="AE76" s="32">
        <v>0.46910000000000002</v>
      </c>
      <c r="AF76" s="44" t="s">
        <v>45</v>
      </c>
      <c r="AG76" s="32">
        <v>2013</v>
      </c>
      <c r="AH76" s="44" t="s">
        <v>46</v>
      </c>
      <c r="AI76" s="99">
        <f t="shared" si="2"/>
        <v>6.5727699530516701E-2</v>
      </c>
    </row>
    <row r="77" spans="1:35" s="10" customFormat="1" x14ac:dyDescent="0.3">
      <c r="A77" s="11">
        <v>6.8710888610763403</v>
      </c>
      <c r="B77" s="45">
        <v>1.2962962962963001E-6</v>
      </c>
      <c r="C77" s="33" t="s">
        <v>33</v>
      </c>
      <c r="D77" s="33" t="s">
        <v>35</v>
      </c>
      <c r="E77" s="33" t="s">
        <v>170</v>
      </c>
      <c r="F77" s="33" t="s">
        <v>34</v>
      </c>
      <c r="G77" s="43">
        <v>0.16500000000000001</v>
      </c>
      <c r="H77" s="32" t="s">
        <v>34</v>
      </c>
      <c r="I77" s="32" t="s">
        <v>34</v>
      </c>
      <c r="J77" s="32" t="s">
        <v>34</v>
      </c>
      <c r="K77" s="32" t="s">
        <v>34</v>
      </c>
      <c r="L77" s="32" t="s">
        <v>34</v>
      </c>
      <c r="M77" s="10">
        <v>57</v>
      </c>
      <c r="N77" s="32" t="s">
        <v>43</v>
      </c>
      <c r="O77" s="32">
        <v>0.98750000000000004</v>
      </c>
      <c r="P77" s="32">
        <v>0.58499999999999996</v>
      </c>
      <c r="Q77" s="32">
        <v>0</v>
      </c>
      <c r="R77" s="32" t="s">
        <v>34</v>
      </c>
      <c r="S77" s="36">
        <f t="shared" si="3"/>
        <v>3.94444444444444E-5</v>
      </c>
      <c r="T77" s="32" t="s">
        <v>36</v>
      </c>
      <c r="U77" s="32" t="s">
        <v>37</v>
      </c>
      <c r="V77" s="32" t="s">
        <v>38</v>
      </c>
      <c r="W77" s="32" t="s">
        <v>34</v>
      </c>
      <c r="X77" s="13">
        <v>0.25</v>
      </c>
      <c r="Y77" s="32">
        <v>1</v>
      </c>
      <c r="Z77" s="32" t="s">
        <v>39</v>
      </c>
      <c r="AA77" s="32" t="s">
        <v>34</v>
      </c>
      <c r="AB77" s="13" t="s">
        <v>34</v>
      </c>
      <c r="AC77" s="32" t="s">
        <v>318</v>
      </c>
      <c r="AD77" s="32" t="s">
        <v>32</v>
      </c>
      <c r="AE77" s="32">
        <v>0.46910000000000002</v>
      </c>
      <c r="AF77" s="44" t="s">
        <v>45</v>
      </c>
      <c r="AG77" s="32">
        <v>2013</v>
      </c>
      <c r="AH77" s="44" t="s">
        <v>46</v>
      </c>
      <c r="AI77" s="99">
        <f t="shared" si="2"/>
        <v>3.286384976525835E-2</v>
      </c>
    </row>
    <row r="78" spans="1:35" s="10" customFormat="1" x14ac:dyDescent="0.3">
      <c r="A78" s="11">
        <v>7.3717146433041298</v>
      </c>
      <c r="B78" s="45">
        <v>9.25925925925947E-7</v>
      </c>
      <c r="C78" s="33" t="s">
        <v>33</v>
      </c>
      <c r="D78" s="33" t="s">
        <v>35</v>
      </c>
      <c r="E78" s="33" t="s">
        <v>170</v>
      </c>
      <c r="F78" s="33" t="s">
        <v>34</v>
      </c>
      <c r="G78" s="43">
        <v>0.16500000000000001</v>
      </c>
      <c r="H78" s="32" t="s">
        <v>34</v>
      </c>
      <c r="I78" s="32" t="s">
        <v>34</v>
      </c>
      <c r="J78" s="32" t="s">
        <v>34</v>
      </c>
      <c r="K78" s="32" t="s">
        <v>34</v>
      </c>
      <c r="L78" s="32" t="s">
        <v>34</v>
      </c>
      <c r="M78" s="10">
        <v>57</v>
      </c>
      <c r="N78" s="32" t="s">
        <v>43</v>
      </c>
      <c r="O78" s="32">
        <v>0.98750000000000004</v>
      </c>
      <c r="P78" s="32">
        <v>0.58499999999999996</v>
      </c>
      <c r="Q78" s="32">
        <v>0</v>
      </c>
      <c r="R78" s="32" t="s">
        <v>34</v>
      </c>
      <c r="S78" s="36">
        <f t="shared" si="3"/>
        <v>3.94444444444444E-5</v>
      </c>
      <c r="T78" s="32" t="s">
        <v>36</v>
      </c>
      <c r="U78" s="32" t="s">
        <v>37</v>
      </c>
      <c r="V78" s="32" t="s">
        <v>38</v>
      </c>
      <c r="W78" s="32" t="s">
        <v>34</v>
      </c>
      <c r="X78" s="13">
        <v>0.25</v>
      </c>
      <c r="Y78" s="32">
        <v>1</v>
      </c>
      <c r="Z78" s="32" t="s">
        <v>39</v>
      </c>
      <c r="AA78" s="32" t="s">
        <v>34</v>
      </c>
      <c r="AB78" s="13" t="s">
        <v>34</v>
      </c>
      <c r="AC78" s="32" t="s">
        <v>318</v>
      </c>
      <c r="AD78" s="32" t="s">
        <v>32</v>
      </c>
      <c r="AE78" s="32">
        <v>0.46910000000000002</v>
      </c>
      <c r="AF78" s="44" t="s">
        <v>45</v>
      </c>
      <c r="AG78" s="32">
        <v>2013</v>
      </c>
      <c r="AH78" s="44" t="s">
        <v>46</v>
      </c>
      <c r="AI78" s="99">
        <f t="shared" si="2"/>
        <v>2.3474178403756429E-2</v>
      </c>
    </row>
    <row r="79" spans="1:35" s="10" customFormat="1" x14ac:dyDescent="0.3">
      <c r="A79" s="11">
        <v>1.77722152690863</v>
      </c>
      <c r="B79" s="45">
        <v>2.1111111111111101E-5</v>
      </c>
      <c r="C79" s="33" t="s">
        <v>33</v>
      </c>
      <c r="D79" s="33" t="s">
        <v>35</v>
      </c>
      <c r="E79" s="33" t="s">
        <v>170</v>
      </c>
      <c r="F79" s="33" t="s">
        <v>34</v>
      </c>
      <c r="G79" s="43">
        <v>0.16500000000000001</v>
      </c>
      <c r="H79" s="32" t="s">
        <v>34</v>
      </c>
      <c r="I79" s="32" t="s">
        <v>34</v>
      </c>
      <c r="J79" s="32" t="s">
        <v>34</v>
      </c>
      <c r="K79" s="32" t="s">
        <v>34</v>
      </c>
      <c r="L79" s="32" t="s">
        <v>34</v>
      </c>
      <c r="M79" s="10">
        <v>57</v>
      </c>
      <c r="N79" s="32" t="s">
        <v>43</v>
      </c>
      <c r="O79" s="32">
        <v>0.98750000000000004</v>
      </c>
      <c r="P79" s="32">
        <v>0.58499999999999996</v>
      </c>
      <c r="Q79" s="32">
        <v>0</v>
      </c>
      <c r="R79" s="32" t="s">
        <v>34</v>
      </c>
      <c r="S79" s="36">
        <f t="shared" si="3"/>
        <v>3.94444444444444E-5</v>
      </c>
      <c r="T79" s="32" t="s">
        <v>36</v>
      </c>
      <c r="U79" s="32" t="s">
        <v>37</v>
      </c>
      <c r="V79" s="32" t="s">
        <v>38</v>
      </c>
      <c r="W79" s="32" t="s">
        <v>34</v>
      </c>
      <c r="X79" s="13">
        <v>0.25</v>
      </c>
      <c r="Y79" s="32">
        <v>1</v>
      </c>
      <c r="Z79" s="32" t="s">
        <v>39</v>
      </c>
      <c r="AA79" s="32" t="s">
        <v>34</v>
      </c>
      <c r="AB79" s="13" t="s">
        <v>34</v>
      </c>
      <c r="AC79" s="32" t="s">
        <v>318</v>
      </c>
      <c r="AD79" s="32" t="s">
        <v>32</v>
      </c>
      <c r="AE79" s="32">
        <v>0.46910000000000002</v>
      </c>
      <c r="AF79" s="44" t="s">
        <v>45</v>
      </c>
      <c r="AG79" s="32">
        <v>2013</v>
      </c>
      <c r="AH79" s="44" t="s">
        <v>46</v>
      </c>
      <c r="AI79" s="99">
        <f t="shared" si="2"/>
        <v>0.5352112676056342</v>
      </c>
    </row>
    <row r="80" spans="1:35" s="10" customFormat="1" x14ac:dyDescent="0.3">
      <c r="A80" s="11">
        <v>0</v>
      </c>
      <c r="B80" s="45">
        <v>7.8518518518518496E-5</v>
      </c>
      <c r="C80" s="33" t="s">
        <v>33</v>
      </c>
      <c r="D80" s="33" t="s">
        <v>35</v>
      </c>
      <c r="E80" s="33" t="s">
        <v>170</v>
      </c>
      <c r="F80" s="33" t="s">
        <v>34</v>
      </c>
      <c r="G80" s="43">
        <v>0.16500000000000001</v>
      </c>
      <c r="H80" s="32" t="s">
        <v>34</v>
      </c>
      <c r="I80" s="32" t="s">
        <v>34</v>
      </c>
      <c r="J80" s="32" t="s">
        <v>34</v>
      </c>
      <c r="K80" s="32" t="s">
        <v>34</v>
      </c>
      <c r="L80" s="32" t="s">
        <v>34</v>
      </c>
      <c r="M80" s="10">
        <v>69</v>
      </c>
      <c r="N80" s="32" t="s">
        <v>43</v>
      </c>
      <c r="O80" s="32">
        <v>0.98750000000000004</v>
      </c>
      <c r="P80" s="32">
        <v>0.58499999999999996</v>
      </c>
      <c r="Q80" s="32">
        <v>0</v>
      </c>
      <c r="R80" s="32" t="s">
        <v>34</v>
      </c>
      <c r="S80" s="36">
        <f t="shared" si="3"/>
        <v>7.8518518518518496E-5</v>
      </c>
      <c r="T80" s="32" t="s">
        <v>36</v>
      </c>
      <c r="U80" s="32" t="s">
        <v>37</v>
      </c>
      <c r="V80" s="32" t="s">
        <v>38</v>
      </c>
      <c r="W80" s="32" t="s">
        <v>34</v>
      </c>
      <c r="X80" s="13">
        <v>0.25</v>
      </c>
      <c r="Y80" s="32">
        <v>1</v>
      </c>
      <c r="Z80" s="32" t="s">
        <v>39</v>
      </c>
      <c r="AA80" s="32" t="s">
        <v>34</v>
      </c>
      <c r="AB80" s="13" t="s">
        <v>34</v>
      </c>
      <c r="AC80" s="32" t="s">
        <v>318</v>
      </c>
      <c r="AD80" s="32" t="s">
        <v>32</v>
      </c>
      <c r="AE80" s="32">
        <v>0.46910000000000002</v>
      </c>
      <c r="AF80" s="44" t="s">
        <v>45</v>
      </c>
      <c r="AG80" s="32">
        <v>2013</v>
      </c>
      <c r="AH80" s="44" t="s">
        <v>46</v>
      </c>
      <c r="AI80" s="99">
        <f t="shared" si="2"/>
        <v>1</v>
      </c>
    </row>
    <row r="81" spans="1:35" s="10" customFormat="1" x14ac:dyDescent="0.3">
      <c r="A81" s="11">
        <v>0.181476846057571</v>
      </c>
      <c r="B81" s="45">
        <v>5.3518518518518498E-5</v>
      </c>
      <c r="C81" s="33" t="s">
        <v>33</v>
      </c>
      <c r="D81" s="33" t="s">
        <v>35</v>
      </c>
      <c r="E81" s="33" t="s">
        <v>170</v>
      </c>
      <c r="F81" s="33" t="s">
        <v>34</v>
      </c>
      <c r="G81" s="43">
        <v>0.16500000000000001</v>
      </c>
      <c r="H81" s="32" t="s">
        <v>34</v>
      </c>
      <c r="I81" s="32" t="s">
        <v>34</v>
      </c>
      <c r="J81" s="32" t="s">
        <v>34</v>
      </c>
      <c r="K81" s="32" t="s">
        <v>34</v>
      </c>
      <c r="L81" s="32" t="s">
        <v>34</v>
      </c>
      <c r="M81" s="10">
        <v>69</v>
      </c>
      <c r="N81" s="32" t="s">
        <v>43</v>
      </c>
      <c r="O81" s="32">
        <v>0.98750000000000004</v>
      </c>
      <c r="P81" s="32">
        <v>0.58499999999999996</v>
      </c>
      <c r="Q81" s="32">
        <v>0</v>
      </c>
      <c r="R81" s="32" t="s">
        <v>34</v>
      </c>
      <c r="S81" s="36">
        <f t="shared" si="3"/>
        <v>7.8518518518518496E-5</v>
      </c>
      <c r="T81" s="32" t="s">
        <v>36</v>
      </c>
      <c r="U81" s="32" t="s">
        <v>37</v>
      </c>
      <c r="V81" s="32" t="s">
        <v>38</v>
      </c>
      <c r="W81" s="32" t="s">
        <v>34</v>
      </c>
      <c r="X81" s="13">
        <v>0.25</v>
      </c>
      <c r="Y81" s="32">
        <v>1</v>
      </c>
      <c r="Z81" s="32" t="s">
        <v>39</v>
      </c>
      <c r="AA81" s="32" t="s">
        <v>34</v>
      </c>
      <c r="AB81" s="13" t="s">
        <v>34</v>
      </c>
      <c r="AC81" s="32" t="s">
        <v>318</v>
      </c>
      <c r="AD81" s="32" t="s">
        <v>32</v>
      </c>
      <c r="AE81" s="32">
        <v>0.46910000000000002</v>
      </c>
      <c r="AF81" s="44" t="s">
        <v>45</v>
      </c>
      <c r="AG81" s="32">
        <v>2013</v>
      </c>
      <c r="AH81" s="44" t="s">
        <v>46</v>
      </c>
      <c r="AI81" s="99">
        <f t="shared" si="2"/>
        <v>0.68160377358490565</v>
      </c>
    </row>
    <row r="82" spans="1:35" s="10" customFormat="1" x14ac:dyDescent="0.3">
      <c r="A82" s="11">
        <v>0.26908635794743302</v>
      </c>
      <c r="B82" s="45">
        <v>5.3333333333333299E-5</v>
      </c>
      <c r="C82" s="33" t="s">
        <v>33</v>
      </c>
      <c r="D82" s="33" t="s">
        <v>35</v>
      </c>
      <c r="E82" s="33" t="s">
        <v>170</v>
      </c>
      <c r="F82" s="33" t="s">
        <v>34</v>
      </c>
      <c r="G82" s="43">
        <v>0.16500000000000001</v>
      </c>
      <c r="H82" s="32" t="s">
        <v>34</v>
      </c>
      <c r="I82" s="32" t="s">
        <v>34</v>
      </c>
      <c r="J82" s="32" t="s">
        <v>34</v>
      </c>
      <c r="K82" s="32" t="s">
        <v>34</v>
      </c>
      <c r="L82" s="32" t="s">
        <v>34</v>
      </c>
      <c r="M82" s="10">
        <v>69</v>
      </c>
      <c r="N82" s="32" t="s">
        <v>43</v>
      </c>
      <c r="O82" s="32">
        <v>0.98750000000000004</v>
      </c>
      <c r="P82" s="32">
        <v>0.58499999999999996</v>
      </c>
      <c r="Q82" s="32">
        <v>0</v>
      </c>
      <c r="R82" s="32" t="s">
        <v>34</v>
      </c>
      <c r="S82" s="36">
        <f t="shared" si="3"/>
        <v>7.8518518518518496E-5</v>
      </c>
      <c r="T82" s="32" t="s">
        <v>36</v>
      </c>
      <c r="U82" s="32" t="s">
        <v>37</v>
      </c>
      <c r="V82" s="32" t="s">
        <v>38</v>
      </c>
      <c r="W82" s="32" t="s">
        <v>34</v>
      </c>
      <c r="X82" s="13">
        <v>0.25</v>
      </c>
      <c r="Y82" s="32">
        <v>1</v>
      </c>
      <c r="Z82" s="32" t="s">
        <v>39</v>
      </c>
      <c r="AA82" s="32" t="s">
        <v>34</v>
      </c>
      <c r="AB82" s="13" t="s">
        <v>34</v>
      </c>
      <c r="AC82" s="32" t="s">
        <v>318</v>
      </c>
      <c r="AD82" s="32" t="s">
        <v>32</v>
      </c>
      <c r="AE82" s="32">
        <v>0.46910000000000002</v>
      </c>
      <c r="AF82" s="44" t="s">
        <v>45</v>
      </c>
      <c r="AG82" s="32">
        <v>2013</v>
      </c>
      <c r="AH82" s="44" t="s">
        <v>46</v>
      </c>
      <c r="AI82" s="99">
        <f t="shared" si="2"/>
        <v>0.67924528301886766</v>
      </c>
    </row>
    <row r="83" spans="1:35" s="10" customFormat="1" x14ac:dyDescent="0.3">
      <c r="A83" s="11">
        <v>0.27534418022528101</v>
      </c>
      <c r="B83" s="45">
        <v>5.3518518518518498E-5</v>
      </c>
      <c r="C83" s="33" t="s">
        <v>33</v>
      </c>
      <c r="D83" s="33" t="s">
        <v>35</v>
      </c>
      <c r="E83" s="33" t="s">
        <v>170</v>
      </c>
      <c r="F83" s="33" t="s">
        <v>34</v>
      </c>
      <c r="G83" s="43">
        <v>0.16500000000000001</v>
      </c>
      <c r="H83" s="32" t="s">
        <v>34</v>
      </c>
      <c r="I83" s="32" t="s">
        <v>34</v>
      </c>
      <c r="J83" s="32" t="s">
        <v>34</v>
      </c>
      <c r="K83" s="32" t="s">
        <v>34</v>
      </c>
      <c r="L83" s="32" t="s">
        <v>34</v>
      </c>
      <c r="M83" s="10">
        <v>69</v>
      </c>
      <c r="N83" s="32" t="s">
        <v>43</v>
      </c>
      <c r="O83" s="32">
        <v>0.98750000000000004</v>
      </c>
      <c r="P83" s="32">
        <v>0.58499999999999996</v>
      </c>
      <c r="Q83" s="32">
        <v>0</v>
      </c>
      <c r="R83" s="32" t="s">
        <v>34</v>
      </c>
      <c r="S83" s="36">
        <f t="shared" si="3"/>
        <v>7.8518518518518496E-5</v>
      </c>
      <c r="T83" s="32" t="s">
        <v>36</v>
      </c>
      <c r="U83" s="32" t="s">
        <v>37</v>
      </c>
      <c r="V83" s="32" t="s">
        <v>38</v>
      </c>
      <c r="W83" s="32" t="s">
        <v>34</v>
      </c>
      <c r="X83" s="13">
        <v>0.25</v>
      </c>
      <c r="Y83" s="32">
        <v>1</v>
      </c>
      <c r="Z83" s="32" t="s">
        <v>39</v>
      </c>
      <c r="AA83" s="32" t="s">
        <v>34</v>
      </c>
      <c r="AB83" s="13" t="s">
        <v>34</v>
      </c>
      <c r="AC83" s="32" t="s">
        <v>318</v>
      </c>
      <c r="AD83" s="32" t="s">
        <v>32</v>
      </c>
      <c r="AE83" s="32">
        <v>0.46910000000000002</v>
      </c>
      <c r="AF83" s="44" t="s">
        <v>45</v>
      </c>
      <c r="AG83" s="32">
        <v>2013</v>
      </c>
      <c r="AH83" s="44" t="s">
        <v>46</v>
      </c>
      <c r="AI83" s="99">
        <f t="shared" si="2"/>
        <v>0.68160377358490565</v>
      </c>
    </row>
    <row r="84" spans="1:35" s="10" customFormat="1" x14ac:dyDescent="0.3">
      <c r="A84" s="11">
        <v>0.45056320400500499</v>
      </c>
      <c r="B84" s="45">
        <v>3.3333333333333301E-5</v>
      </c>
      <c r="C84" s="33" t="s">
        <v>33</v>
      </c>
      <c r="D84" s="33" t="s">
        <v>35</v>
      </c>
      <c r="E84" s="33" t="s">
        <v>170</v>
      </c>
      <c r="F84" s="33" t="s">
        <v>34</v>
      </c>
      <c r="G84" s="43">
        <v>0.16500000000000001</v>
      </c>
      <c r="H84" s="32" t="s">
        <v>34</v>
      </c>
      <c r="I84" s="32" t="s">
        <v>34</v>
      </c>
      <c r="J84" s="32" t="s">
        <v>34</v>
      </c>
      <c r="K84" s="32" t="s">
        <v>34</v>
      </c>
      <c r="L84" s="32" t="s">
        <v>34</v>
      </c>
      <c r="M84" s="10">
        <v>69</v>
      </c>
      <c r="N84" s="32" t="s">
        <v>43</v>
      </c>
      <c r="O84" s="32">
        <v>0.98750000000000004</v>
      </c>
      <c r="P84" s="32">
        <v>0.58499999999999996</v>
      </c>
      <c r="Q84" s="32">
        <v>0</v>
      </c>
      <c r="R84" s="32" t="s">
        <v>34</v>
      </c>
      <c r="S84" s="36">
        <f t="shared" si="3"/>
        <v>7.8518518518518496E-5</v>
      </c>
      <c r="T84" s="32" t="s">
        <v>36</v>
      </c>
      <c r="U84" s="32" t="s">
        <v>37</v>
      </c>
      <c r="V84" s="32" t="s">
        <v>38</v>
      </c>
      <c r="W84" s="32" t="s">
        <v>34</v>
      </c>
      <c r="X84" s="13">
        <v>0.25</v>
      </c>
      <c r="Y84" s="32">
        <v>1</v>
      </c>
      <c r="Z84" s="32" t="s">
        <v>39</v>
      </c>
      <c r="AA84" s="32" t="s">
        <v>34</v>
      </c>
      <c r="AB84" s="13" t="s">
        <v>34</v>
      </c>
      <c r="AC84" s="32" t="s">
        <v>318</v>
      </c>
      <c r="AD84" s="32" t="s">
        <v>32</v>
      </c>
      <c r="AE84" s="32">
        <v>0.46910000000000002</v>
      </c>
      <c r="AF84" s="44" t="s">
        <v>45</v>
      </c>
      <c r="AG84" s="32">
        <v>2013</v>
      </c>
      <c r="AH84" s="44" t="s">
        <v>46</v>
      </c>
      <c r="AI84" s="99">
        <f t="shared" si="2"/>
        <v>0.42452830188679214</v>
      </c>
    </row>
    <row r="85" spans="1:35" s="10" customFormat="1" x14ac:dyDescent="0.3">
      <c r="A85" s="11">
        <v>0.53817271589486804</v>
      </c>
      <c r="B85" s="45">
        <v>2.4444444444444401E-5</v>
      </c>
      <c r="C85" s="33" t="s">
        <v>33</v>
      </c>
      <c r="D85" s="33" t="s">
        <v>35</v>
      </c>
      <c r="E85" s="33" t="s">
        <v>170</v>
      </c>
      <c r="F85" s="33" t="s">
        <v>34</v>
      </c>
      <c r="G85" s="43">
        <v>0.16500000000000001</v>
      </c>
      <c r="H85" s="32" t="s">
        <v>34</v>
      </c>
      <c r="I85" s="32" t="s">
        <v>34</v>
      </c>
      <c r="J85" s="32" t="s">
        <v>34</v>
      </c>
      <c r="K85" s="32" t="s">
        <v>34</v>
      </c>
      <c r="L85" s="32" t="s">
        <v>34</v>
      </c>
      <c r="M85" s="10">
        <v>69</v>
      </c>
      <c r="N85" s="32" t="s">
        <v>43</v>
      </c>
      <c r="O85" s="32">
        <v>0.98750000000000004</v>
      </c>
      <c r="P85" s="32">
        <v>0.58499999999999996</v>
      </c>
      <c r="Q85" s="32">
        <v>0</v>
      </c>
      <c r="R85" s="32" t="s">
        <v>34</v>
      </c>
      <c r="S85" s="36">
        <f t="shared" si="3"/>
        <v>7.8518518518518496E-5</v>
      </c>
      <c r="T85" s="32" t="s">
        <v>36</v>
      </c>
      <c r="U85" s="32" t="s">
        <v>37</v>
      </c>
      <c r="V85" s="32" t="s">
        <v>38</v>
      </c>
      <c r="W85" s="32" t="s">
        <v>34</v>
      </c>
      <c r="X85" s="13">
        <v>0.25</v>
      </c>
      <c r="Y85" s="32">
        <v>1</v>
      </c>
      <c r="Z85" s="32" t="s">
        <v>39</v>
      </c>
      <c r="AA85" s="32" t="s">
        <v>34</v>
      </c>
      <c r="AB85" s="13" t="s">
        <v>34</v>
      </c>
      <c r="AC85" s="32" t="s">
        <v>318</v>
      </c>
      <c r="AD85" s="32" t="s">
        <v>32</v>
      </c>
      <c r="AE85" s="32">
        <v>0.46910000000000002</v>
      </c>
      <c r="AF85" s="44" t="s">
        <v>45</v>
      </c>
      <c r="AG85" s="32">
        <v>2013</v>
      </c>
      <c r="AH85" s="44" t="s">
        <v>46</v>
      </c>
      <c r="AI85" s="99">
        <f t="shared" si="2"/>
        <v>0.31132075471698067</v>
      </c>
    </row>
    <row r="86" spans="1:35" s="10" customFormat="1" x14ac:dyDescent="0.3">
      <c r="A86" s="11">
        <v>0.63829787234042501</v>
      </c>
      <c r="B86" s="45">
        <v>1.5370370370370298E-5</v>
      </c>
      <c r="C86" s="33" t="s">
        <v>33</v>
      </c>
      <c r="D86" s="33" t="s">
        <v>35</v>
      </c>
      <c r="E86" s="33" t="s">
        <v>170</v>
      </c>
      <c r="F86" s="33" t="s">
        <v>34</v>
      </c>
      <c r="G86" s="43">
        <v>0.16500000000000001</v>
      </c>
      <c r="H86" s="32" t="s">
        <v>34</v>
      </c>
      <c r="I86" s="32" t="s">
        <v>34</v>
      </c>
      <c r="J86" s="32" t="s">
        <v>34</v>
      </c>
      <c r="K86" s="32" t="s">
        <v>34</v>
      </c>
      <c r="L86" s="32" t="s">
        <v>34</v>
      </c>
      <c r="M86" s="10">
        <v>69</v>
      </c>
      <c r="N86" s="32" t="s">
        <v>43</v>
      </c>
      <c r="O86" s="32">
        <v>0.98750000000000004</v>
      </c>
      <c r="P86" s="32">
        <v>0.58499999999999996</v>
      </c>
      <c r="Q86" s="32">
        <v>0</v>
      </c>
      <c r="R86" s="32" t="s">
        <v>34</v>
      </c>
      <c r="S86" s="36">
        <f t="shared" si="3"/>
        <v>7.8518518518518496E-5</v>
      </c>
      <c r="T86" s="32" t="s">
        <v>36</v>
      </c>
      <c r="U86" s="32" t="s">
        <v>37</v>
      </c>
      <c r="V86" s="32" t="s">
        <v>38</v>
      </c>
      <c r="W86" s="32" t="s">
        <v>34</v>
      </c>
      <c r="X86" s="13">
        <v>0.25</v>
      </c>
      <c r="Y86" s="32">
        <v>1</v>
      </c>
      <c r="Z86" s="32" t="s">
        <v>39</v>
      </c>
      <c r="AA86" s="32" t="s">
        <v>34</v>
      </c>
      <c r="AB86" s="13" t="s">
        <v>34</v>
      </c>
      <c r="AC86" s="32" t="s">
        <v>318</v>
      </c>
      <c r="AD86" s="32" t="s">
        <v>32</v>
      </c>
      <c r="AE86" s="32">
        <v>0.46910000000000002</v>
      </c>
      <c r="AF86" s="44" t="s">
        <v>45</v>
      </c>
      <c r="AG86" s="32">
        <v>2013</v>
      </c>
      <c r="AH86" s="44" t="s">
        <v>46</v>
      </c>
      <c r="AI86" s="99">
        <f t="shared" si="2"/>
        <v>0.19575471698113123</v>
      </c>
    </row>
    <row r="87" spans="1:35" s="10" customFormat="1" x14ac:dyDescent="0.3">
      <c r="A87" s="11">
        <v>0.725907384230288</v>
      </c>
      <c r="B87" s="45">
        <v>1.62962962962963E-5</v>
      </c>
      <c r="C87" s="33" t="s">
        <v>33</v>
      </c>
      <c r="D87" s="33" t="s">
        <v>35</v>
      </c>
      <c r="E87" s="33" t="s">
        <v>170</v>
      </c>
      <c r="F87" s="33" t="s">
        <v>34</v>
      </c>
      <c r="G87" s="43">
        <v>0.16500000000000001</v>
      </c>
      <c r="H87" s="32" t="s">
        <v>34</v>
      </c>
      <c r="I87" s="32" t="s">
        <v>34</v>
      </c>
      <c r="J87" s="32" t="s">
        <v>34</v>
      </c>
      <c r="K87" s="32" t="s">
        <v>34</v>
      </c>
      <c r="L87" s="32" t="s">
        <v>34</v>
      </c>
      <c r="M87" s="10">
        <v>69</v>
      </c>
      <c r="N87" s="32" t="s">
        <v>43</v>
      </c>
      <c r="O87" s="32">
        <v>0.98750000000000004</v>
      </c>
      <c r="P87" s="32">
        <v>0.58499999999999996</v>
      </c>
      <c r="Q87" s="32">
        <v>0</v>
      </c>
      <c r="R87" s="32" t="s">
        <v>34</v>
      </c>
      <c r="S87" s="36">
        <f t="shared" si="3"/>
        <v>7.8518518518518496E-5</v>
      </c>
      <c r="T87" s="32" t="s">
        <v>36</v>
      </c>
      <c r="U87" s="32" t="s">
        <v>37</v>
      </c>
      <c r="V87" s="32" t="s">
        <v>38</v>
      </c>
      <c r="W87" s="32" t="s">
        <v>34</v>
      </c>
      <c r="X87" s="13">
        <v>0.25</v>
      </c>
      <c r="Y87" s="32">
        <v>1</v>
      </c>
      <c r="Z87" s="32" t="s">
        <v>39</v>
      </c>
      <c r="AA87" s="32" t="s">
        <v>34</v>
      </c>
      <c r="AB87" s="13" t="s">
        <v>34</v>
      </c>
      <c r="AC87" s="32" t="s">
        <v>318</v>
      </c>
      <c r="AD87" s="32" t="s">
        <v>32</v>
      </c>
      <c r="AE87" s="32">
        <v>0.46910000000000002</v>
      </c>
      <c r="AF87" s="44" t="s">
        <v>45</v>
      </c>
      <c r="AG87" s="32">
        <v>2013</v>
      </c>
      <c r="AH87" s="44" t="s">
        <v>46</v>
      </c>
      <c r="AI87" s="99">
        <f t="shared" si="2"/>
        <v>0.20754716981132088</v>
      </c>
    </row>
    <row r="88" spans="1:35" s="10" customFormat="1" x14ac:dyDescent="0.3">
      <c r="A88" s="11">
        <v>0.81351689612014899</v>
      </c>
      <c r="B88" s="45">
        <v>1.5555555555555501E-5</v>
      </c>
      <c r="C88" s="33" t="s">
        <v>33</v>
      </c>
      <c r="D88" s="33" t="s">
        <v>35</v>
      </c>
      <c r="E88" s="33" t="s">
        <v>170</v>
      </c>
      <c r="F88" s="33" t="s">
        <v>34</v>
      </c>
      <c r="G88" s="43">
        <v>0.16500000000000001</v>
      </c>
      <c r="H88" s="32" t="s">
        <v>34</v>
      </c>
      <c r="I88" s="32" t="s">
        <v>34</v>
      </c>
      <c r="J88" s="32" t="s">
        <v>34</v>
      </c>
      <c r="K88" s="32" t="s">
        <v>34</v>
      </c>
      <c r="L88" s="32" t="s">
        <v>34</v>
      </c>
      <c r="M88" s="10">
        <v>69</v>
      </c>
      <c r="N88" s="32" t="s">
        <v>43</v>
      </c>
      <c r="O88" s="32">
        <v>0.98750000000000004</v>
      </c>
      <c r="P88" s="32">
        <v>0.58499999999999996</v>
      </c>
      <c r="Q88" s="32">
        <v>0</v>
      </c>
      <c r="R88" s="32" t="s">
        <v>34</v>
      </c>
      <c r="S88" s="36">
        <f t="shared" si="3"/>
        <v>7.8518518518518496E-5</v>
      </c>
      <c r="T88" s="32" t="s">
        <v>36</v>
      </c>
      <c r="U88" s="32" t="s">
        <v>37</v>
      </c>
      <c r="V88" s="32" t="s">
        <v>38</v>
      </c>
      <c r="W88" s="32" t="s">
        <v>34</v>
      </c>
      <c r="X88" s="13">
        <v>0.25</v>
      </c>
      <c r="Y88" s="32">
        <v>1</v>
      </c>
      <c r="Z88" s="32" t="s">
        <v>39</v>
      </c>
      <c r="AA88" s="32" t="s">
        <v>34</v>
      </c>
      <c r="AB88" s="13" t="s">
        <v>34</v>
      </c>
      <c r="AC88" s="32" t="s">
        <v>318</v>
      </c>
      <c r="AD88" s="32" t="s">
        <v>32</v>
      </c>
      <c r="AE88" s="32">
        <v>0.46910000000000002</v>
      </c>
      <c r="AF88" s="44" t="s">
        <v>45</v>
      </c>
      <c r="AG88" s="32">
        <v>2013</v>
      </c>
      <c r="AH88" s="44" t="s">
        <v>46</v>
      </c>
      <c r="AI88" s="99">
        <f t="shared" si="2"/>
        <v>0.19811320754716916</v>
      </c>
    </row>
    <row r="89" spans="1:35" s="10" customFormat="1" x14ac:dyDescent="0.3">
      <c r="A89" s="11">
        <v>0.90112640801001098</v>
      </c>
      <c r="B89" s="45">
        <v>1.1851851851851801E-5</v>
      </c>
      <c r="C89" s="33" t="s">
        <v>33</v>
      </c>
      <c r="D89" s="33" t="s">
        <v>35</v>
      </c>
      <c r="E89" s="33" t="s">
        <v>170</v>
      </c>
      <c r="F89" s="33" t="s">
        <v>34</v>
      </c>
      <c r="G89" s="43">
        <v>0.16500000000000001</v>
      </c>
      <c r="H89" s="32" t="s">
        <v>34</v>
      </c>
      <c r="I89" s="32" t="s">
        <v>34</v>
      </c>
      <c r="J89" s="32" t="s">
        <v>34</v>
      </c>
      <c r="K89" s="32" t="s">
        <v>34</v>
      </c>
      <c r="L89" s="32" t="s">
        <v>34</v>
      </c>
      <c r="M89" s="10">
        <v>69</v>
      </c>
      <c r="N89" s="32" t="s">
        <v>43</v>
      </c>
      <c r="O89" s="32">
        <v>0.98750000000000004</v>
      </c>
      <c r="P89" s="32">
        <v>0.58499999999999996</v>
      </c>
      <c r="Q89" s="32">
        <v>0</v>
      </c>
      <c r="R89" s="32" t="s">
        <v>34</v>
      </c>
      <c r="S89" s="36">
        <f t="shared" si="3"/>
        <v>7.8518518518518496E-5</v>
      </c>
      <c r="T89" s="32" t="s">
        <v>36</v>
      </c>
      <c r="U89" s="32" t="s">
        <v>37</v>
      </c>
      <c r="V89" s="32" t="s">
        <v>38</v>
      </c>
      <c r="W89" s="32" t="s">
        <v>34</v>
      </c>
      <c r="X89" s="13">
        <v>0.25</v>
      </c>
      <c r="Y89" s="32">
        <v>1</v>
      </c>
      <c r="Z89" s="32" t="s">
        <v>39</v>
      </c>
      <c r="AA89" s="32" t="s">
        <v>34</v>
      </c>
      <c r="AB89" s="13" t="s">
        <v>34</v>
      </c>
      <c r="AC89" s="32" t="s">
        <v>318</v>
      </c>
      <c r="AD89" s="32" t="s">
        <v>32</v>
      </c>
      <c r="AE89" s="32">
        <v>0.46910000000000002</v>
      </c>
      <c r="AF89" s="44" t="s">
        <v>45</v>
      </c>
      <c r="AG89" s="32">
        <v>2013</v>
      </c>
      <c r="AH89" s="44" t="s">
        <v>46</v>
      </c>
      <c r="AI89" s="99">
        <f t="shared" si="2"/>
        <v>0.15094339622641448</v>
      </c>
    </row>
    <row r="90" spans="1:35" s="10" customFormat="1" x14ac:dyDescent="0.3">
      <c r="A90" s="11">
        <v>0.98873591989987397</v>
      </c>
      <c r="B90" s="45">
        <v>1.29629629629629E-5</v>
      </c>
      <c r="C90" s="33" t="s">
        <v>33</v>
      </c>
      <c r="D90" s="33" t="s">
        <v>35</v>
      </c>
      <c r="E90" s="33" t="s">
        <v>170</v>
      </c>
      <c r="F90" s="33" t="s">
        <v>34</v>
      </c>
      <c r="G90" s="43">
        <v>0.16500000000000001</v>
      </c>
      <c r="H90" s="32" t="s">
        <v>34</v>
      </c>
      <c r="I90" s="32" t="s">
        <v>34</v>
      </c>
      <c r="J90" s="32" t="s">
        <v>34</v>
      </c>
      <c r="K90" s="32" t="s">
        <v>34</v>
      </c>
      <c r="L90" s="32" t="s">
        <v>34</v>
      </c>
      <c r="M90" s="10">
        <v>69</v>
      </c>
      <c r="N90" s="32" t="s">
        <v>43</v>
      </c>
      <c r="O90" s="32">
        <v>0.98750000000000004</v>
      </c>
      <c r="P90" s="32">
        <v>0.58499999999999996</v>
      </c>
      <c r="Q90" s="32">
        <v>0</v>
      </c>
      <c r="R90" s="32" t="s">
        <v>34</v>
      </c>
      <c r="S90" s="36">
        <f t="shared" si="3"/>
        <v>7.8518518518518496E-5</v>
      </c>
      <c r="T90" s="32" t="s">
        <v>36</v>
      </c>
      <c r="U90" s="32" t="s">
        <v>37</v>
      </c>
      <c r="V90" s="32" t="s">
        <v>38</v>
      </c>
      <c r="W90" s="32" t="s">
        <v>34</v>
      </c>
      <c r="X90" s="13">
        <v>0.25</v>
      </c>
      <c r="Y90" s="32">
        <v>1</v>
      </c>
      <c r="Z90" s="32" t="s">
        <v>39</v>
      </c>
      <c r="AA90" s="32" t="s">
        <v>34</v>
      </c>
      <c r="AB90" s="13" t="s">
        <v>34</v>
      </c>
      <c r="AC90" s="32" t="s">
        <v>318</v>
      </c>
      <c r="AD90" s="32" t="s">
        <v>32</v>
      </c>
      <c r="AE90" s="32">
        <v>0.46910000000000002</v>
      </c>
      <c r="AF90" s="44" t="s">
        <v>45</v>
      </c>
      <c r="AG90" s="32">
        <v>2013</v>
      </c>
      <c r="AH90" s="44" t="s">
        <v>46</v>
      </c>
      <c r="AI90" s="99">
        <f t="shared" si="2"/>
        <v>0.16509433962264075</v>
      </c>
    </row>
    <row r="91" spans="1:35" s="10" customFormat="1" x14ac:dyDescent="0.3">
      <c r="A91" s="11">
        <v>1.0888610763454301</v>
      </c>
      <c r="B91" s="45">
        <v>1.2777777777777701E-5</v>
      </c>
      <c r="C91" s="33" t="s">
        <v>33</v>
      </c>
      <c r="D91" s="33" t="s">
        <v>35</v>
      </c>
      <c r="E91" s="33" t="s">
        <v>170</v>
      </c>
      <c r="F91" s="33" t="s">
        <v>34</v>
      </c>
      <c r="G91" s="43">
        <v>0.16500000000000001</v>
      </c>
      <c r="H91" s="32" t="s">
        <v>34</v>
      </c>
      <c r="I91" s="32" t="s">
        <v>34</v>
      </c>
      <c r="J91" s="32" t="s">
        <v>34</v>
      </c>
      <c r="K91" s="32" t="s">
        <v>34</v>
      </c>
      <c r="L91" s="32" t="s">
        <v>34</v>
      </c>
      <c r="M91" s="10">
        <v>69</v>
      </c>
      <c r="N91" s="32" t="s">
        <v>43</v>
      </c>
      <c r="O91" s="32">
        <v>0.98750000000000004</v>
      </c>
      <c r="P91" s="32">
        <v>0.58499999999999996</v>
      </c>
      <c r="Q91" s="32">
        <v>0</v>
      </c>
      <c r="R91" s="32" t="s">
        <v>34</v>
      </c>
      <c r="S91" s="36">
        <f t="shared" si="3"/>
        <v>7.8518518518518496E-5</v>
      </c>
      <c r="T91" s="32" t="s">
        <v>36</v>
      </c>
      <c r="U91" s="32" t="s">
        <v>37</v>
      </c>
      <c r="V91" s="32" t="s">
        <v>38</v>
      </c>
      <c r="W91" s="32" t="s">
        <v>34</v>
      </c>
      <c r="X91" s="13">
        <v>0.25</v>
      </c>
      <c r="Y91" s="32">
        <v>1</v>
      </c>
      <c r="Z91" s="32" t="s">
        <v>39</v>
      </c>
      <c r="AA91" s="32" t="s">
        <v>34</v>
      </c>
      <c r="AB91" s="13" t="s">
        <v>34</v>
      </c>
      <c r="AC91" s="32" t="s">
        <v>318</v>
      </c>
      <c r="AD91" s="32" t="s">
        <v>32</v>
      </c>
      <c r="AE91" s="32">
        <v>0.46910000000000002</v>
      </c>
      <c r="AF91" s="44" t="s">
        <v>45</v>
      </c>
      <c r="AG91" s="32">
        <v>2013</v>
      </c>
      <c r="AH91" s="44" t="s">
        <v>46</v>
      </c>
      <c r="AI91" s="99">
        <f t="shared" si="2"/>
        <v>0.16273584905660285</v>
      </c>
    </row>
    <row r="92" spans="1:35" s="10" customFormat="1" x14ac:dyDescent="0.3">
      <c r="A92" s="11">
        <v>1.1702127659574399</v>
      </c>
      <c r="B92" s="45">
        <v>7.2222222222222297E-6</v>
      </c>
      <c r="C92" s="33" t="s">
        <v>33</v>
      </c>
      <c r="D92" s="33" t="s">
        <v>35</v>
      </c>
      <c r="E92" s="33" t="s">
        <v>170</v>
      </c>
      <c r="F92" s="33" t="s">
        <v>34</v>
      </c>
      <c r="G92" s="43">
        <v>0.16500000000000001</v>
      </c>
      <c r="H92" s="32" t="s">
        <v>34</v>
      </c>
      <c r="I92" s="32" t="s">
        <v>34</v>
      </c>
      <c r="J92" s="32" t="s">
        <v>34</v>
      </c>
      <c r="K92" s="32" t="s">
        <v>34</v>
      </c>
      <c r="L92" s="32" t="s">
        <v>34</v>
      </c>
      <c r="M92" s="10">
        <v>69</v>
      </c>
      <c r="N92" s="32" t="s">
        <v>43</v>
      </c>
      <c r="O92" s="32">
        <v>0.98750000000000004</v>
      </c>
      <c r="P92" s="32">
        <v>0.58499999999999996</v>
      </c>
      <c r="Q92" s="32">
        <v>0</v>
      </c>
      <c r="R92" s="32" t="s">
        <v>34</v>
      </c>
      <c r="S92" s="36">
        <f t="shared" si="3"/>
        <v>7.8518518518518496E-5</v>
      </c>
      <c r="T92" s="32" t="s">
        <v>36</v>
      </c>
      <c r="U92" s="32" t="s">
        <v>37</v>
      </c>
      <c r="V92" s="32" t="s">
        <v>38</v>
      </c>
      <c r="W92" s="32" t="s">
        <v>34</v>
      </c>
      <c r="X92" s="13">
        <v>0.25</v>
      </c>
      <c r="Y92" s="32">
        <v>1</v>
      </c>
      <c r="Z92" s="32" t="s">
        <v>39</v>
      </c>
      <c r="AA92" s="32" t="s">
        <v>34</v>
      </c>
      <c r="AB92" s="13" t="s">
        <v>34</v>
      </c>
      <c r="AC92" s="32" t="s">
        <v>318</v>
      </c>
      <c r="AD92" s="32" t="s">
        <v>32</v>
      </c>
      <c r="AE92" s="32">
        <v>0.46910000000000002</v>
      </c>
      <c r="AF92" s="44" t="s">
        <v>45</v>
      </c>
      <c r="AG92" s="32">
        <v>2013</v>
      </c>
      <c r="AH92" s="44" t="s">
        <v>46</v>
      </c>
      <c r="AI92" s="99">
        <f t="shared" si="2"/>
        <v>9.1981132075471816E-2</v>
      </c>
    </row>
    <row r="93" spans="1:35" s="10" customFormat="1" x14ac:dyDescent="0.3">
      <c r="A93" s="11">
        <v>1.26408010012515</v>
      </c>
      <c r="B93" s="45">
        <v>9.0740740740740703E-6</v>
      </c>
      <c r="C93" s="33" t="s">
        <v>33</v>
      </c>
      <c r="D93" s="33" t="s">
        <v>35</v>
      </c>
      <c r="E93" s="33" t="s">
        <v>170</v>
      </c>
      <c r="F93" s="33" t="s">
        <v>34</v>
      </c>
      <c r="G93" s="43">
        <v>0.16500000000000001</v>
      </c>
      <c r="H93" s="32" t="s">
        <v>34</v>
      </c>
      <c r="I93" s="32" t="s">
        <v>34</v>
      </c>
      <c r="J93" s="32" t="s">
        <v>34</v>
      </c>
      <c r="K93" s="32" t="s">
        <v>34</v>
      </c>
      <c r="L93" s="32" t="s">
        <v>34</v>
      </c>
      <c r="M93" s="10">
        <v>69</v>
      </c>
      <c r="N93" s="32" t="s">
        <v>43</v>
      </c>
      <c r="O93" s="32">
        <v>0.98750000000000004</v>
      </c>
      <c r="P93" s="32">
        <v>0.58499999999999996</v>
      </c>
      <c r="Q93" s="32">
        <v>0</v>
      </c>
      <c r="R93" s="32" t="s">
        <v>34</v>
      </c>
      <c r="S93" s="36">
        <f t="shared" si="3"/>
        <v>7.8518518518518496E-5</v>
      </c>
      <c r="T93" s="32" t="s">
        <v>36</v>
      </c>
      <c r="U93" s="32" t="s">
        <v>37</v>
      </c>
      <c r="V93" s="32" t="s">
        <v>38</v>
      </c>
      <c r="W93" s="32" t="s">
        <v>34</v>
      </c>
      <c r="X93" s="13">
        <v>0.25</v>
      </c>
      <c r="Y93" s="32">
        <v>1</v>
      </c>
      <c r="Z93" s="32" t="s">
        <v>39</v>
      </c>
      <c r="AA93" s="32" t="s">
        <v>34</v>
      </c>
      <c r="AB93" s="13" t="s">
        <v>34</v>
      </c>
      <c r="AC93" s="32" t="s">
        <v>318</v>
      </c>
      <c r="AD93" s="32" t="s">
        <v>32</v>
      </c>
      <c r="AE93" s="32">
        <v>0.46910000000000002</v>
      </c>
      <c r="AF93" s="44" t="s">
        <v>45</v>
      </c>
      <c r="AG93" s="32">
        <v>2013</v>
      </c>
      <c r="AH93" s="44" t="s">
        <v>46</v>
      </c>
      <c r="AI93" s="99">
        <f t="shared" si="2"/>
        <v>0.11556603773584904</v>
      </c>
    </row>
    <row r="94" spans="1:35" s="10" customFormat="1" x14ac:dyDescent="0.3">
      <c r="A94" s="11">
        <v>0</v>
      </c>
      <c r="B94" s="45">
        <v>8.7407407407407396E-5</v>
      </c>
      <c r="C94" s="33" t="s">
        <v>33</v>
      </c>
      <c r="D94" s="33" t="s">
        <v>35</v>
      </c>
      <c r="E94" s="33" t="s">
        <v>170</v>
      </c>
      <c r="F94" s="33" t="s">
        <v>34</v>
      </c>
      <c r="G94" s="43">
        <v>0.16500000000000001</v>
      </c>
      <c r="H94" s="32" t="s">
        <v>34</v>
      </c>
      <c r="I94" s="32" t="s">
        <v>34</v>
      </c>
      <c r="J94" s="32" t="s">
        <v>34</v>
      </c>
      <c r="K94" s="32" t="s">
        <v>34</v>
      </c>
      <c r="L94" s="32" t="s">
        <v>34</v>
      </c>
      <c r="M94" s="10">
        <v>74</v>
      </c>
      <c r="N94" s="32" t="s">
        <v>43</v>
      </c>
      <c r="O94" s="32">
        <v>0.98750000000000004</v>
      </c>
      <c r="P94" s="32">
        <v>0.58499999999999996</v>
      </c>
      <c r="Q94" s="32">
        <v>0</v>
      </c>
      <c r="R94" s="32" t="s">
        <v>34</v>
      </c>
      <c r="S94" s="36">
        <f t="shared" si="3"/>
        <v>8.7407407407407396E-5</v>
      </c>
      <c r="T94" s="32" t="s">
        <v>36</v>
      </c>
      <c r="U94" s="32" t="s">
        <v>37</v>
      </c>
      <c r="V94" s="32" t="s">
        <v>38</v>
      </c>
      <c r="W94" s="32" t="s">
        <v>34</v>
      </c>
      <c r="X94" s="13">
        <v>0.25</v>
      </c>
      <c r="Y94" s="32">
        <v>1</v>
      </c>
      <c r="Z94" s="32" t="s">
        <v>39</v>
      </c>
      <c r="AA94" s="32" t="s">
        <v>34</v>
      </c>
      <c r="AB94" s="13" t="s">
        <v>34</v>
      </c>
      <c r="AC94" s="32" t="s">
        <v>318</v>
      </c>
      <c r="AD94" s="32" t="s">
        <v>32</v>
      </c>
      <c r="AE94" s="32">
        <v>0.46910000000000002</v>
      </c>
      <c r="AF94" s="44" t="s">
        <v>45</v>
      </c>
      <c r="AG94" s="32">
        <v>2013</v>
      </c>
      <c r="AH94" s="44" t="s">
        <v>46</v>
      </c>
      <c r="AI94" s="99">
        <f t="shared" si="2"/>
        <v>1</v>
      </c>
    </row>
    <row r="95" spans="1:35" s="10" customFormat="1" x14ac:dyDescent="0.3">
      <c r="A95" s="11">
        <v>0.26282853566958603</v>
      </c>
      <c r="B95" s="45">
        <v>6.8148148148148099E-5</v>
      </c>
      <c r="C95" s="33" t="s">
        <v>33</v>
      </c>
      <c r="D95" s="33" t="s">
        <v>35</v>
      </c>
      <c r="E95" s="33" t="s">
        <v>170</v>
      </c>
      <c r="F95" s="33" t="s">
        <v>34</v>
      </c>
      <c r="G95" s="43">
        <v>0.16500000000000001</v>
      </c>
      <c r="H95" s="32" t="s">
        <v>34</v>
      </c>
      <c r="I95" s="32" t="s">
        <v>34</v>
      </c>
      <c r="J95" s="32" t="s">
        <v>34</v>
      </c>
      <c r="K95" s="32" t="s">
        <v>34</v>
      </c>
      <c r="L95" s="32" t="s">
        <v>34</v>
      </c>
      <c r="M95" s="10">
        <v>74</v>
      </c>
      <c r="N95" s="32" t="s">
        <v>43</v>
      </c>
      <c r="O95" s="32">
        <v>0.98750000000000004</v>
      </c>
      <c r="P95" s="32">
        <v>0.58499999999999996</v>
      </c>
      <c r="Q95" s="32">
        <v>0</v>
      </c>
      <c r="R95" s="32" t="s">
        <v>34</v>
      </c>
      <c r="S95" s="36">
        <f t="shared" si="3"/>
        <v>8.7407407407407396E-5</v>
      </c>
      <c r="T95" s="32" t="s">
        <v>36</v>
      </c>
      <c r="U95" s="32" t="s">
        <v>37</v>
      </c>
      <c r="V95" s="32" t="s">
        <v>38</v>
      </c>
      <c r="W95" s="32" t="s">
        <v>34</v>
      </c>
      <c r="X95" s="13">
        <v>0.25</v>
      </c>
      <c r="Y95" s="32">
        <v>1</v>
      </c>
      <c r="Z95" s="32" t="s">
        <v>39</v>
      </c>
      <c r="AA95" s="32" t="s">
        <v>34</v>
      </c>
      <c r="AB95" s="13" t="s">
        <v>34</v>
      </c>
      <c r="AC95" s="32" t="s">
        <v>318</v>
      </c>
      <c r="AD95" s="32" t="s">
        <v>32</v>
      </c>
      <c r="AE95" s="32">
        <v>0.46910000000000002</v>
      </c>
      <c r="AF95" s="44" t="s">
        <v>45</v>
      </c>
      <c r="AG95" s="32">
        <v>2013</v>
      </c>
      <c r="AH95" s="44" t="s">
        <v>46</v>
      </c>
      <c r="AI95" s="99">
        <f t="shared" si="2"/>
        <v>0.77966101694915213</v>
      </c>
    </row>
    <row r="96" spans="1:35" s="10" customFormat="1" x14ac:dyDescent="0.3">
      <c r="A96" s="11">
        <v>0.53817271589486804</v>
      </c>
      <c r="B96" s="45">
        <v>5.1111111111111101E-5</v>
      </c>
      <c r="C96" s="33" t="s">
        <v>33</v>
      </c>
      <c r="D96" s="33" t="s">
        <v>35</v>
      </c>
      <c r="E96" s="33" t="s">
        <v>170</v>
      </c>
      <c r="F96" s="33" t="s">
        <v>34</v>
      </c>
      <c r="G96" s="43">
        <v>0.16500000000000001</v>
      </c>
      <c r="H96" s="32" t="s">
        <v>34</v>
      </c>
      <c r="I96" s="32" t="s">
        <v>34</v>
      </c>
      <c r="J96" s="32" t="s">
        <v>34</v>
      </c>
      <c r="K96" s="32" t="s">
        <v>34</v>
      </c>
      <c r="L96" s="32" t="s">
        <v>34</v>
      </c>
      <c r="M96" s="10">
        <v>74</v>
      </c>
      <c r="N96" s="32" t="s">
        <v>43</v>
      </c>
      <c r="O96" s="32">
        <v>0.98750000000000004</v>
      </c>
      <c r="P96" s="32">
        <v>0.58499999999999996</v>
      </c>
      <c r="Q96" s="32">
        <v>0</v>
      </c>
      <c r="R96" s="32" t="s">
        <v>34</v>
      </c>
      <c r="S96" s="36">
        <f t="shared" si="3"/>
        <v>8.7407407407407396E-5</v>
      </c>
      <c r="T96" s="32" t="s">
        <v>36</v>
      </c>
      <c r="U96" s="32" t="s">
        <v>37</v>
      </c>
      <c r="V96" s="32" t="s">
        <v>38</v>
      </c>
      <c r="W96" s="32" t="s">
        <v>34</v>
      </c>
      <c r="X96" s="13">
        <v>0.25</v>
      </c>
      <c r="Y96" s="32">
        <v>1</v>
      </c>
      <c r="Z96" s="32" t="s">
        <v>39</v>
      </c>
      <c r="AA96" s="32" t="s">
        <v>34</v>
      </c>
      <c r="AB96" s="13" t="s">
        <v>34</v>
      </c>
      <c r="AC96" s="32" t="s">
        <v>318</v>
      </c>
      <c r="AD96" s="32" t="s">
        <v>32</v>
      </c>
      <c r="AE96" s="32">
        <v>0.46910000000000002</v>
      </c>
      <c r="AF96" s="44" t="s">
        <v>45</v>
      </c>
      <c r="AG96" s="32">
        <v>2013</v>
      </c>
      <c r="AH96" s="44" t="s">
        <v>46</v>
      </c>
      <c r="AI96" s="99">
        <f t="shared" si="2"/>
        <v>0.5847457627118644</v>
      </c>
    </row>
    <row r="97" spans="1:35" s="10" customFormat="1" x14ac:dyDescent="0.3">
      <c r="A97" s="11">
        <v>1.0888610763454301</v>
      </c>
      <c r="B97" s="45">
        <v>5.1851851851851802E-5</v>
      </c>
      <c r="C97" s="33" t="s">
        <v>33</v>
      </c>
      <c r="D97" s="33" t="s">
        <v>35</v>
      </c>
      <c r="E97" s="33" t="s">
        <v>170</v>
      </c>
      <c r="F97" s="33" t="s">
        <v>34</v>
      </c>
      <c r="G97" s="43">
        <v>0.16500000000000001</v>
      </c>
      <c r="H97" s="32" t="s">
        <v>34</v>
      </c>
      <c r="I97" s="32" t="s">
        <v>34</v>
      </c>
      <c r="J97" s="32" t="s">
        <v>34</v>
      </c>
      <c r="K97" s="32" t="s">
        <v>34</v>
      </c>
      <c r="L97" s="32" t="s">
        <v>34</v>
      </c>
      <c r="M97" s="10">
        <v>74</v>
      </c>
      <c r="N97" s="32" t="s">
        <v>43</v>
      </c>
      <c r="O97" s="32">
        <v>0.98750000000000004</v>
      </c>
      <c r="P97" s="32">
        <v>0.58499999999999996</v>
      </c>
      <c r="Q97" s="32">
        <v>0</v>
      </c>
      <c r="R97" s="32" t="s">
        <v>34</v>
      </c>
      <c r="S97" s="36">
        <f t="shared" si="3"/>
        <v>8.7407407407407396E-5</v>
      </c>
      <c r="T97" s="32" t="s">
        <v>36</v>
      </c>
      <c r="U97" s="32" t="s">
        <v>37</v>
      </c>
      <c r="V97" s="32" t="s">
        <v>38</v>
      </c>
      <c r="W97" s="32" t="s">
        <v>34</v>
      </c>
      <c r="X97" s="13">
        <v>0.25</v>
      </c>
      <c r="Y97" s="32">
        <v>1</v>
      </c>
      <c r="Z97" s="32" t="s">
        <v>39</v>
      </c>
      <c r="AA97" s="32" t="s">
        <v>34</v>
      </c>
      <c r="AB97" s="13" t="s">
        <v>34</v>
      </c>
      <c r="AC97" s="32" t="s">
        <v>318</v>
      </c>
      <c r="AD97" s="32" t="s">
        <v>32</v>
      </c>
      <c r="AE97" s="32">
        <v>0.46910000000000002</v>
      </c>
      <c r="AF97" s="44" t="s">
        <v>45</v>
      </c>
      <c r="AG97" s="32">
        <v>2013</v>
      </c>
      <c r="AH97" s="44" t="s">
        <v>46</v>
      </c>
      <c r="AI97" s="99">
        <f t="shared" si="2"/>
        <v>0.59322033898305038</v>
      </c>
    </row>
    <row r="98" spans="1:35" s="10" customFormat="1" x14ac:dyDescent="0.3">
      <c r="A98" s="11">
        <v>1.3391739674593199</v>
      </c>
      <c r="B98" s="45">
        <v>5.1481481481481499E-5</v>
      </c>
      <c r="C98" s="33" t="s">
        <v>33</v>
      </c>
      <c r="D98" s="33" t="s">
        <v>35</v>
      </c>
      <c r="E98" s="33" t="s">
        <v>170</v>
      </c>
      <c r="F98" s="33" t="s">
        <v>34</v>
      </c>
      <c r="G98" s="43">
        <v>0.16500000000000001</v>
      </c>
      <c r="H98" s="32" t="s">
        <v>34</v>
      </c>
      <c r="I98" s="32" t="s">
        <v>34</v>
      </c>
      <c r="J98" s="32" t="s">
        <v>34</v>
      </c>
      <c r="K98" s="32" t="s">
        <v>34</v>
      </c>
      <c r="L98" s="32" t="s">
        <v>34</v>
      </c>
      <c r="M98" s="10">
        <v>74</v>
      </c>
      <c r="N98" s="32" t="s">
        <v>43</v>
      </c>
      <c r="O98" s="32">
        <v>0.98750000000000004</v>
      </c>
      <c r="P98" s="32">
        <v>0.58499999999999996</v>
      </c>
      <c r="Q98" s="32">
        <v>0</v>
      </c>
      <c r="R98" s="32" t="s">
        <v>34</v>
      </c>
      <c r="S98" s="36">
        <f t="shared" si="3"/>
        <v>8.7407407407407396E-5</v>
      </c>
      <c r="T98" s="32" t="s">
        <v>36</v>
      </c>
      <c r="U98" s="32" t="s">
        <v>37</v>
      </c>
      <c r="V98" s="32" t="s">
        <v>38</v>
      </c>
      <c r="W98" s="32" t="s">
        <v>34</v>
      </c>
      <c r="X98" s="13">
        <v>0.25</v>
      </c>
      <c r="Y98" s="32">
        <v>1</v>
      </c>
      <c r="Z98" s="32" t="s">
        <v>39</v>
      </c>
      <c r="AA98" s="32" t="s">
        <v>34</v>
      </c>
      <c r="AB98" s="13" t="s">
        <v>34</v>
      </c>
      <c r="AC98" s="32" t="s">
        <v>318</v>
      </c>
      <c r="AD98" s="32" t="s">
        <v>32</v>
      </c>
      <c r="AE98" s="32">
        <v>0.46910000000000002</v>
      </c>
      <c r="AF98" s="44" t="s">
        <v>45</v>
      </c>
      <c r="AG98" s="32">
        <v>2013</v>
      </c>
      <c r="AH98" s="44" t="s">
        <v>46</v>
      </c>
      <c r="AI98" s="99">
        <f t="shared" si="2"/>
        <v>0.58898305084745795</v>
      </c>
    </row>
    <row r="99" spans="1:35" s="10" customFormat="1" x14ac:dyDescent="0.3">
      <c r="A99" s="11">
        <v>0.80100125156445501</v>
      </c>
      <c r="B99" s="45">
        <v>6.1481481481481505E-5</v>
      </c>
      <c r="C99" s="33" t="s">
        <v>33</v>
      </c>
      <c r="D99" s="33" t="s">
        <v>35</v>
      </c>
      <c r="E99" s="33" t="s">
        <v>170</v>
      </c>
      <c r="F99" s="33" t="s">
        <v>34</v>
      </c>
      <c r="G99" s="43">
        <v>0.16500000000000001</v>
      </c>
      <c r="H99" s="32" t="s">
        <v>34</v>
      </c>
      <c r="I99" s="32" t="s">
        <v>34</v>
      </c>
      <c r="J99" s="32" t="s">
        <v>34</v>
      </c>
      <c r="K99" s="32" t="s">
        <v>34</v>
      </c>
      <c r="L99" s="32" t="s">
        <v>34</v>
      </c>
      <c r="M99" s="10">
        <v>74</v>
      </c>
      <c r="N99" s="32" t="s">
        <v>43</v>
      </c>
      <c r="O99" s="32">
        <v>0.98750000000000004</v>
      </c>
      <c r="P99" s="32">
        <v>0.58499999999999996</v>
      </c>
      <c r="Q99" s="32">
        <v>0</v>
      </c>
      <c r="R99" s="32" t="s">
        <v>34</v>
      </c>
      <c r="S99" s="36">
        <f t="shared" si="3"/>
        <v>8.7407407407407396E-5</v>
      </c>
      <c r="T99" s="32" t="s">
        <v>36</v>
      </c>
      <c r="U99" s="32" t="s">
        <v>37</v>
      </c>
      <c r="V99" s="32" t="s">
        <v>38</v>
      </c>
      <c r="W99" s="32" t="s">
        <v>34</v>
      </c>
      <c r="X99" s="13">
        <v>0.25</v>
      </c>
      <c r="Y99" s="32">
        <v>1</v>
      </c>
      <c r="Z99" s="32" t="s">
        <v>39</v>
      </c>
      <c r="AA99" s="32" t="s">
        <v>34</v>
      </c>
      <c r="AB99" s="13" t="s">
        <v>34</v>
      </c>
      <c r="AC99" s="32" t="s">
        <v>318</v>
      </c>
      <c r="AD99" s="32" t="s">
        <v>32</v>
      </c>
      <c r="AE99" s="32">
        <v>0.46910000000000002</v>
      </c>
      <c r="AF99" s="44" t="s">
        <v>45</v>
      </c>
      <c r="AG99" s="32">
        <v>2013</v>
      </c>
      <c r="AH99" s="44" t="s">
        <v>46</v>
      </c>
      <c r="AI99" s="99">
        <f t="shared" si="2"/>
        <v>0.70338983050847492</v>
      </c>
    </row>
    <row r="100" spans="1:35" s="10" customFormat="1" x14ac:dyDescent="0.3">
      <c r="A100" s="11">
        <v>1.63329161451814</v>
      </c>
      <c r="B100" s="45">
        <v>6.1111111111111094E-5</v>
      </c>
      <c r="C100" s="33" t="s">
        <v>33</v>
      </c>
      <c r="D100" s="33" t="s">
        <v>35</v>
      </c>
      <c r="E100" s="33" t="s">
        <v>170</v>
      </c>
      <c r="F100" s="33" t="s">
        <v>34</v>
      </c>
      <c r="G100" s="43">
        <v>0.16500000000000001</v>
      </c>
      <c r="H100" s="32" t="s">
        <v>34</v>
      </c>
      <c r="I100" s="32" t="s">
        <v>34</v>
      </c>
      <c r="J100" s="32" t="s">
        <v>34</v>
      </c>
      <c r="K100" s="32" t="s">
        <v>34</v>
      </c>
      <c r="L100" s="32" t="s">
        <v>34</v>
      </c>
      <c r="M100" s="10">
        <v>74</v>
      </c>
      <c r="N100" s="32" t="s">
        <v>43</v>
      </c>
      <c r="O100" s="32">
        <v>0.98750000000000004</v>
      </c>
      <c r="P100" s="32">
        <v>0.58499999999999996</v>
      </c>
      <c r="Q100" s="32">
        <v>0</v>
      </c>
      <c r="R100" s="32" t="s">
        <v>34</v>
      </c>
      <c r="S100" s="36">
        <f t="shared" si="3"/>
        <v>8.7407407407407396E-5</v>
      </c>
      <c r="T100" s="32" t="s">
        <v>36</v>
      </c>
      <c r="U100" s="32" t="s">
        <v>37</v>
      </c>
      <c r="V100" s="32" t="s">
        <v>38</v>
      </c>
      <c r="W100" s="32" t="s">
        <v>34</v>
      </c>
      <c r="X100" s="13">
        <v>0.25</v>
      </c>
      <c r="Y100" s="32">
        <v>1</v>
      </c>
      <c r="Z100" s="32" t="s">
        <v>39</v>
      </c>
      <c r="AA100" s="32" t="s">
        <v>34</v>
      </c>
      <c r="AB100" s="13" t="s">
        <v>34</v>
      </c>
      <c r="AC100" s="32" t="s">
        <v>318</v>
      </c>
      <c r="AD100" s="32" t="s">
        <v>32</v>
      </c>
      <c r="AE100" s="32">
        <v>0.46910000000000002</v>
      </c>
      <c r="AF100" s="44" t="s">
        <v>45</v>
      </c>
      <c r="AG100" s="32">
        <v>2013</v>
      </c>
      <c r="AH100" s="44" t="s">
        <v>46</v>
      </c>
      <c r="AI100" s="99">
        <f t="shared" si="2"/>
        <v>0.69915254237288127</v>
      </c>
    </row>
    <row r="101" spans="1:35" s="10" customFormat="1" x14ac:dyDescent="0.3">
      <c r="A101" s="11">
        <v>1.90237797246558</v>
      </c>
      <c r="B101" s="45">
        <v>5.5555555555555497E-5</v>
      </c>
      <c r="C101" s="33" t="s">
        <v>33</v>
      </c>
      <c r="D101" s="33" t="s">
        <v>35</v>
      </c>
      <c r="E101" s="33" t="s">
        <v>170</v>
      </c>
      <c r="F101" s="33" t="s">
        <v>34</v>
      </c>
      <c r="G101" s="43">
        <v>0.16500000000000001</v>
      </c>
      <c r="H101" s="32" t="s">
        <v>34</v>
      </c>
      <c r="I101" s="32" t="s">
        <v>34</v>
      </c>
      <c r="J101" s="32" t="s">
        <v>34</v>
      </c>
      <c r="K101" s="32" t="s">
        <v>34</v>
      </c>
      <c r="L101" s="32" t="s">
        <v>34</v>
      </c>
      <c r="M101" s="10">
        <v>74</v>
      </c>
      <c r="N101" s="32" t="s">
        <v>43</v>
      </c>
      <c r="O101" s="32">
        <v>0.98750000000000004</v>
      </c>
      <c r="P101" s="32">
        <v>0.58499999999999996</v>
      </c>
      <c r="Q101" s="32">
        <v>0</v>
      </c>
      <c r="R101" s="32" t="s">
        <v>34</v>
      </c>
      <c r="S101" s="36">
        <f t="shared" si="3"/>
        <v>8.7407407407407396E-5</v>
      </c>
      <c r="T101" s="32" t="s">
        <v>36</v>
      </c>
      <c r="U101" s="32" t="s">
        <v>37</v>
      </c>
      <c r="V101" s="32" t="s">
        <v>38</v>
      </c>
      <c r="W101" s="32" t="s">
        <v>34</v>
      </c>
      <c r="X101" s="13">
        <v>0.25</v>
      </c>
      <c r="Y101" s="32">
        <v>1</v>
      </c>
      <c r="Z101" s="32" t="s">
        <v>39</v>
      </c>
      <c r="AA101" s="32" t="s">
        <v>34</v>
      </c>
      <c r="AB101" s="13" t="s">
        <v>34</v>
      </c>
      <c r="AC101" s="32" t="s">
        <v>318</v>
      </c>
      <c r="AD101" s="32" t="s">
        <v>32</v>
      </c>
      <c r="AE101" s="32">
        <v>0.46910000000000002</v>
      </c>
      <c r="AF101" s="44" t="s">
        <v>45</v>
      </c>
      <c r="AG101" s="32">
        <v>2013</v>
      </c>
      <c r="AH101" s="44" t="s">
        <v>46</v>
      </c>
      <c r="AI101" s="99">
        <f t="shared" si="2"/>
        <v>0.63559322033898247</v>
      </c>
    </row>
    <row r="102" spans="1:35" s="10" customFormat="1" x14ac:dyDescent="0.3">
      <c r="A102" s="11">
        <v>2.1652065081351601</v>
      </c>
      <c r="B102" s="45">
        <v>5.1111111111111101E-5</v>
      </c>
      <c r="C102" s="33" t="s">
        <v>33</v>
      </c>
      <c r="D102" s="33" t="s">
        <v>35</v>
      </c>
      <c r="E102" s="33" t="s">
        <v>170</v>
      </c>
      <c r="F102" s="33" t="s">
        <v>34</v>
      </c>
      <c r="G102" s="43">
        <v>0.16500000000000001</v>
      </c>
      <c r="H102" s="32" t="s">
        <v>34</v>
      </c>
      <c r="I102" s="32" t="s">
        <v>34</v>
      </c>
      <c r="J102" s="32" t="s">
        <v>34</v>
      </c>
      <c r="K102" s="32" t="s">
        <v>34</v>
      </c>
      <c r="L102" s="32" t="s">
        <v>34</v>
      </c>
      <c r="M102" s="10">
        <v>74</v>
      </c>
      <c r="N102" s="32" t="s">
        <v>43</v>
      </c>
      <c r="O102" s="32">
        <v>0.98750000000000004</v>
      </c>
      <c r="P102" s="32">
        <v>0.58499999999999996</v>
      </c>
      <c r="Q102" s="32">
        <v>0</v>
      </c>
      <c r="R102" s="32" t="s">
        <v>34</v>
      </c>
      <c r="S102" s="36">
        <f t="shared" si="3"/>
        <v>8.7407407407407396E-5</v>
      </c>
      <c r="T102" s="32" t="s">
        <v>36</v>
      </c>
      <c r="U102" s="32" t="s">
        <v>37</v>
      </c>
      <c r="V102" s="32" t="s">
        <v>38</v>
      </c>
      <c r="W102" s="32" t="s">
        <v>34</v>
      </c>
      <c r="X102" s="13">
        <v>0.25</v>
      </c>
      <c r="Y102" s="32">
        <v>1</v>
      </c>
      <c r="Z102" s="32" t="s">
        <v>39</v>
      </c>
      <c r="AA102" s="32" t="s">
        <v>34</v>
      </c>
      <c r="AB102" s="13" t="s">
        <v>34</v>
      </c>
      <c r="AC102" s="32" t="s">
        <v>318</v>
      </c>
      <c r="AD102" s="32" t="s">
        <v>32</v>
      </c>
      <c r="AE102" s="32">
        <v>0.46910000000000002</v>
      </c>
      <c r="AF102" s="44" t="s">
        <v>45</v>
      </c>
      <c r="AG102" s="32">
        <v>2013</v>
      </c>
      <c r="AH102" s="44" t="s">
        <v>46</v>
      </c>
      <c r="AI102" s="99">
        <f t="shared" si="2"/>
        <v>0.5847457627118644</v>
      </c>
    </row>
    <row r="103" spans="1:35" s="10" customFormat="1" x14ac:dyDescent="0.3">
      <c r="A103" s="11">
        <v>2.4217772215269</v>
      </c>
      <c r="B103" s="45">
        <v>5.0740740740740697E-5</v>
      </c>
      <c r="C103" s="33" t="s">
        <v>33</v>
      </c>
      <c r="D103" s="33" t="s">
        <v>35</v>
      </c>
      <c r="E103" s="33" t="s">
        <v>170</v>
      </c>
      <c r="F103" s="33" t="s">
        <v>34</v>
      </c>
      <c r="G103" s="43">
        <v>0.16500000000000001</v>
      </c>
      <c r="H103" s="32" t="s">
        <v>34</v>
      </c>
      <c r="I103" s="32" t="s">
        <v>34</v>
      </c>
      <c r="J103" s="32" t="s">
        <v>34</v>
      </c>
      <c r="K103" s="32" t="s">
        <v>34</v>
      </c>
      <c r="L103" s="32" t="s">
        <v>34</v>
      </c>
      <c r="M103" s="10">
        <v>74</v>
      </c>
      <c r="N103" s="32" t="s">
        <v>43</v>
      </c>
      <c r="O103" s="32">
        <v>0.98750000000000004</v>
      </c>
      <c r="P103" s="32">
        <v>0.58499999999999996</v>
      </c>
      <c r="Q103" s="32">
        <v>0</v>
      </c>
      <c r="R103" s="32" t="s">
        <v>34</v>
      </c>
      <c r="S103" s="36">
        <f t="shared" si="3"/>
        <v>8.7407407407407396E-5</v>
      </c>
      <c r="T103" s="32" t="s">
        <v>36</v>
      </c>
      <c r="U103" s="32" t="s">
        <v>37</v>
      </c>
      <c r="V103" s="32" t="s">
        <v>38</v>
      </c>
      <c r="W103" s="32" t="s">
        <v>34</v>
      </c>
      <c r="X103" s="13">
        <v>0.25</v>
      </c>
      <c r="Y103" s="32">
        <v>1</v>
      </c>
      <c r="Z103" s="32" t="s">
        <v>39</v>
      </c>
      <c r="AA103" s="32" t="s">
        <v>34</v>
      </c>
      <c r="AB103" s="13" t="s">
        <v>34</v>
      </c>
      <c r="AC103" s="32" t="s">
        <v>318</v>
      </c>
      <c r="AD103" s="32" t="s">
        <v>32</v>
      </c>
      <c r="AE103" s="32">
        <v>0.46910000000000002</v>
      </c>
      <c r="AF103" s="44" t="s">
        <v>45</v>
      </c>
      <c r="AG103" s="32">
        <v>2013</v>
      </c>
      <c r="AH103" s="44" t="s">
        <v>46</v>
      </c>
      <c r="AI103" s="99">
        <f t="shared" si="2"/>
        <v>0.58050847457627075</v>
      </c>
    </row>
    <row r="104" spans="1:35" s="10" customFormat="1" x14ac:dyDescent="0.3">
      <c r="A104" s="11">
        <v>2.7033792240300301</v>
      </c>
      <c r="B104" s="45">
        <v>5.0740740740740697E-5</v>
      </c>
      <c r="C104" s="33" t="s">
        <v>33</v>
      </c>
      <c r="D104" s="33" t="s">
        <v>35</v>
      </c>
      <c r="E104" s="33" t="s">
        <v>170</v>
      </c>
      <c r="F104" s="33" t="s">
        <v>34</v>
      </c>
      <c r="G104" s="43">
        <v>0.16500000000000001</v>
      </c>
      <c r="H104" s="32" t="s">
        <v>34</v>
      </c>
      <c r="I104" s="32" t="s">
        <v>34</v>
      </c>
      <c r="J104" s="32" t="s">
        <v>34</v>
      </c>
      <c r="K104" s="32" t="s">
        <v>34</v>
      </c>
      <c r="L104" s="32" t="s">
        <v>34</v>
      </c>
      <c r="M104" s="10">
        <v>74</v>
      </c>
      <c r="N104" s="32" t="s">
        <v>43</v>
      </c>
      <c r="O104" s="32">
        <v>0.98750000000000004</v>
      </c>
      <c r="P104" s="32">
        <v>0.58499999999999996</v>
      </c>
      <c r="Q104" s="32">
        <v>0</v>
      </c>
      <c r="R104" s="32" t="s">
        <v>34</v>
      </c>
      <c r="S104" s="36">
        <f t="shared" si="3"/>
        <v>8.7407407407407396E-5</v>
      </c>
      <c r="T104" s="32" t="s">
        <v>36</v>
      </c>
      <c r="U104" s="32" t="s">
        <v>37</v>
      </c>
      <c r="V104" s="32" t="s">
        <v>38</v>
      </c>
      <c r="W104" s="32" t="s">
        <v>34</v>
      </c>
      <c r="X104" s="13">
        <v>0.25</v>
      </c>
      <c r="Y104" s="32">
        <v>1</v>
      </c>
      <c r="Z104" s="32" t="s">
        <v>39</v>
      </c>
      <c r="AA104" s="32" t="s">
        <v>34</v>
      </c>
      <c r="AB104" s="13" t="s">
        <v>34</v>
      </c>
      <c r="AC104" s="32" t="s">
        <v>318</v>
      </c>
      <c r="AD104" s="32" t="s">
        <v>32</v>
      </c>
      <c r="AE104" s="32">
        <v>0.46910000000000002</v>
      </c>
      <c r="AF104" s="44" t="s">
        <v>45</v>
      </c>
      <c r="AG104" s="32">
        <v>2013</v>
      </c>
      <c r="AH104" s="44" t="s">
        <v>46</v>
      </c>
      <c r="AI104" s="99">
        <f t="shared" si="2"/>
        <v>0.58050847457627075</v>
      </c>
    </row>
    <row r="105" spans="1:35" s="10" customFormat="1" x14ac:dyDescent="0.3">
      <c r="A105" s="11">
        <v>2.9787234042553101</v>
      </c>
      <c r="B105" s="45">
        <v>4.3888888888888897E-5</v>
      </c>
      <c r="C105" s="33" t="s">
        <v>33</v>
      </c>
      <c r="D105" s="33" t="s">
        <v>35</v>
      </c>
      <c r="E105" s="33" t="s">
        <v>170</v>
      </c>
      <c r="F105" s="33" t="s">
        <v>34</v>
      </c>
      <c r="G105" s="43">
        <v>0.16500000000000001</v>
      </c>
      <c r="H105" s="32" t="s">
        <v>34</v>
      </c>
      <c r="I105" s="32" t="s">
        <v>34</v>
      </c>
      <c r="J105" s="32" t="s">
        <v>34</v>
      </c>
      <c r="K105" s="32" t="s">
        <v>34</v>
      </c>
      <c r="L105" s="32" t="s">
        <v>34</v>
      </c>
      <c r="M105" s="10">
        <v>74</v>
      </c>
      <c r="N105" s="32" t="s">
        <v>43</v>
      </c>
      <c r="O105" s="32">
        <v>0.98750000000000004</v>
      </c>
      <c r="P105" s="32">
        <v>0.58499999999999996</v>
      </c>
      <c r="Q105" s="32">
        <v>0</v>
      </c>
      <c r="R105" s="32" t="s">
        <v>34</v>
      </c>
      <c r="S105" s="36">
        <f t="shared" si="3"/>
        <v>8.7407407407407396E-5</v>
      </c>
      <c r="T105" s="32" t="s">
        <v>36</v>
      </c>
      <c r="U105" s="32" t="s">
        <v>37</v>
      </c>
      <c r="V105" s="32" t="s">
        <v>38</v>
      </c>
      <c r="W105" s="32" t="s">
        <v>34</v>
      </c>
      <c r="X105" s="13">
        <v>0.25</v>
      </c>
      <c r="Y105" s="32">
        <v>1</v>
      </c>
      <c r="Z105" s="32" t="s">
        <v>39</v>
      </c>
      <c r="AA105" s="32" t="s">
        <v>34</v>
      </c>
      <c r="AB105" s="13" t="s">
        <v>34</v>
      </c>
      <c r="AC105" s="32" t="s">
        <v>318</v>
      </c>
      <c r="AD105" s="32" t="s">
        <v>32</v>
      </c>
      <c r="AE105" s="32">
        <v>0.46910000000000002</v>
      </c>
      <c r="AF105" s="44" t="s">
        <v>45</v>
      </c>
      <c r="AG105" s="32">
        <v>2013</v>
      </c>
      <c r="AH105" s="44" t="s">
        <v>46</v>
      </c>
      <c r="AI105" s="99">
        <f t="shared" si="2"/>
        <v>0.50211864406779672</v>
      </c>
    </row>
    <row r="106" spans="1:35" s="10" customFormat="1" x14ac:dyDescent="0.3">
      <c r="A106" s="11">
        <v>3.24780976220275</v>
      </c>
      <c r="B106" s="45">
        <v>4.3703703703703698E-5</v>
      </c>
      <c r="C106" s="33" t="s">
        <v>33</v>
      </c>
      <c r="D106" s="33" t="s">
        <v>35</v>
      </c>
      <c r="E106" s="33" t="s">
        <v>170</v>
      </c>
      <c r="F106" s="33" t="s">
        <v>34</v>
      </c>
      <c r="G106" s="43">
        <v>0.16500000000000001</v>
      </c>
      <c r="H106" s="32" t="s">
        <v>34</v>
      </c>
      <c r="I106" s="32" t="s">
        <v>34</v>
      </c>
      <c r="J106" s="32" t="s">
        <v>34</v>
      </c>
      <c r="K106" s="32" t="s">
        <v>34</v>
      </c>
      <c r="L106" s="32" t="s">
        <v>34</v>
      </c>
      <c r="M106" s="10">
        <v>74</v>
      </c>
      <c r="N106" s="32" t="s">
        <v>43</v>
      </c>
      <c r="O106" s="32">
        <v>0.98750000000000004</v>
      </c>
      <c r="P106" s="32">
        <v>0.58499999999999996</v>
      </c>
      <c r="Q106" s="32">
        <v>0</v>
      </c>
      <c r="R106" s="32" t="s">
        <v>34</v>
      </c>
      <c r="S106" s="36">
        <f t="shared" si="3"/>
        <v>8.7407407407407396E-5</v>
      </c>
      <c r="T106" s="32" t="s">
        <v>36</v>
      </c>
      <c r="U106" s="32" t="s">
        <v>37</v>
      </c>
      <c r="V106" s="32" t="s">
        <v>38</v>
      </c>
      <c r="W106" s="32" t="s">
        <v>34</v>
      </c>
      <c r="X106" s="13">
        <v>0.25</v>
      </c>
      <c r="Y106" s="32">
        <v>1</v>
      </c>
      <c r="Z106" s="32" t="s">
        <v>39</v>
      </c>
      <c r="AA106" s="32" t="s">
        <v>34</v>
      </c>
      <c r="AB106" s="13" t="s">
        <v>34</v>
      </c>
      <c r="AC106" s="32" t="s">
        <v>318</v>
      </c>
      <c r="AD106" s="32" t="s">
        <v>32</v>
      </c>
      <c r="AE106" s="32">
        <v>0.46910000000000002</v>
      </c>
      <c r="AF106" s="44" t="s">
        <v>45</v>
      </c>
      <c r="AG106" s="32">
        <v>2013</v>
      </c>
      <c r="AH106" s="44" t="s">
        <v>46</v>
      </c>
      <c r="AI106" s="99">
        <f t="shared" si="2"/>
        <v>0.5</v>
      </c>
    </row>
    <row r="107" spans="1:35" s="10" customFormat="1" x14ac:dyDescent="0.3">
      <c r="A107" s="11">
        <v>0</v>
      </c>
      <c r="B107" s="45">
        <v>8.98148148148148E-5</v>
      </c>
      <c r="C107" s="33" t="s">
        <v>33</v>
      </c>
      <c r="D107" s="33" t="s">
        <v>35</v>
      </c>
      <c r="E107" s="33" t="s">
        <v>170</v>
      </c>
      <c r="F107" s="33" t="s">
        <v>34</v>
      </c>
      <c r="G107" s="43">
        <v>0.16500000000000001</v>
      </c>
      <c r="H107" s="32" t="s">
        <v>34</v>
      </c>
      <c r="I107" s="32" t="s">
        <v>34</v>
      </c>
      <c r="J107" s="32" t="s">
        <v>34</v>
      </c>
      <c r="K107" s="32" t="s">
        <v>34</v>
      </c>
      <c r="L107" s="32" t="s">
        <v>34</v>
      </c>
      <c r="M107" s="10">
        <v>82</v>
      </c>
      <c r="N107" s="32" t="s">
        <v>43</v>
      </c>
      <c r="O107" s="32">
        <v>0.98750000000000004</v>
      </c>
      <c r="P107" s="32">
        <v>0.58499999999999996</v>
      </c>
      <c r="Q107" s="32">
        <v>0</v>
      </c>
      <c r="R107" s="32" t="s">
        <v>34</v>
      </c>
      <c r="S107" s="36">
        <f t="shared" si="3"/>
        <v>8.98148148148148E-5</v>
      </c>
      <c r="T107" s="32" t="s">
        <v>36</v>
      </c>
      <c r="U107" s="32" t="s">
        <v>37</v>
      </c>
      <c r="V107" s="32" t="s">
        <v>38</v>
      </c>
      <c r="W107" s="32" t="s">
        <v>34</v>
      </c>
      <c r="X107" s="13">
        <v>0.25</v>
      </c>
      <c r="Y107" s="32">
        <v>1</v>
      </c>
      <c r="Z107" s="32" t="s">
        <v>39</v>
      </c>
      <c r="AA107" s="32" t="s">
        <v>34</v>
      </c>
      <c r="AB107" s="13" t="s">
        <v>34</v>
      </c>
      <c r="AC107" s="32" t="s">
        <v>318</v>
      </c>
      <c r="AD107" s="32" t="s">
        <v>32</v>
      </c>
      <c r="AE107" s="32">
        <v>0.46910000000000002</v>
      </c>
      <c r="AF107" s="44" t="s">
        <v>45</v>
      </c>
      <c r="AG107" s="32">
        <v>2013</v>
      </c>
      <c r="AH107" s="44" t="s">
        <v>46</v>
      </c>
      <c r="AI107" s="99">
        <f t="shared" si="2"/>
        <v>1</v>
      </c>
    </row>
    <row r="108" spans="1:35" s="10" customFormat="1" x14ac:dyDescent="0.3">
      <c r="A108" s="11">
        <v>0.17521902377972401</v>
      </c>
      <c r="B108" s="45">
        <v>8.98148148148148E-5</v>
      </c>
      <c r="C108" s="33" t="s">
        <v>33</v>
      </c>
      <c r="D108" s="33" t="s">
        <v>35</v>
      </c>
      <c r="E108" s="33" t="s">
        <v>170</v>
      </c>
      <c r="F108" s="33" t="s">
        <v>34</v>
      </c>
      <c r="G108" s="43">
        <v>0.16500000000000001</v>
      </c>
      <c r="H108" s="32" t="s">
        <v>34</v>
      </c>
      <c r="I108" s="32" t="s">
        <v>34</v>
      </c>
      <c r="J108" s="32" t="s">
        <v>34</v>
      </c>
      <c r="K108" s="32" t="s">
        <v>34</v>
      </c>
      <c r="L108" s="32" t="s">
        <v>34</v>
      </c>
      <c r="M108" s="10">
        <v>82</v>
      </c>
      <c r="N108" s="32" t="s">
        <v>43</v>
      </c>
      <c r="O108" s="32">
        <v>0.98750000000000004</v>
      </c>
      <c r="P108" s="32">
        <v>0.58499999999999996</v>
      </c>
      <c r="Q108" s="32">
        <v>0</v>
      </c>
      <c r="R108" s="32" t="s">
        <v>34</v>
      </c>
      <c r="S108" s="36">
        <f t="shared" si="3"/>
        <v>8.98148148148148E-5</v>
      </c>
      <c r="T108" s="32" t="s">
        <v>36</v>
      </c>
      <c r="U108" s="32" t="s">
        <v>37</v>
      </c>
      <c r="V108" s="32" t="s">
        <v>38</v>
      </c>
      <c r="W108" s="32" t="s">
        <v>34</v>
      </c>
      <c r="X108" s="13">
        <v>0.25</v>
      </c>
      <c r="Y108" s="32">
        <v>1</v>
      </c>
      <c r="Z108" s="32" t="s">
        <v>39</v>
      </c>
      <c r="AA108" s="32" t="s">
        <v>34</v>
      </c>
      <c r="AB108" s="13" t="s">
        <v>34</v>
      </c>
      <c r="AC108" s="32" t="s">
        <v>318</v>
      </c>
      <c r="AD108" s="32" t="s">
        <v>32</v>
      </c>
      <c r="AE108" s="32">
        <v>0.46910000000000002</v>
      </c>
      <c r="AF108" s="44" t="s">
        <v>45</v>
      </c>
      <c r="AG108" s="32">
        <v>2013</v>
      </c>
      <c r="AH108" s="44" t="s">
        <v>46</v>
      </c>
      <c r="AI108" s="99">
        <f t="shared" si="2"/>
        <v>1</v>
      </c>
    </row>
    <row r="109" spans="1:35" s="10" customFormat="1" x14ac:dyDescent="0.3">
      <c r="A109" s="11">
        <v>0.26908635794743402</v>
      </c>
      <c r="B109" s="45">
        <v>9.0000000000000006E-5</v>
      </c>
      <c r="C109" s="33" t="s">
        <v>33</v>
      </c>
      <c r="D109" s="33" t="s">
        <v>35</v>
      </c>
      <c r="E109" s="33" t="s">
        <v>170</v>
      </c>
      <c r="F109" s="33" t="s">
        <v>34</v>
      </c>
      <c r="G109" s="43">
        <v>0.16500000000000001</v>
      </c>
      <c r="H109" s="32" t="s">
        <v>34</v>
      </c>
      <c r="I109" s="32" t="s">
        <v>34</v>
      </c>
      <c r="J109" s="32" t="s">
        <v>34</v>
      </c>
      <c r="K109" s="32" t="s">
        <v>34</v>
      </c>
      <c r="L109" s="32" t="s">
        <v>34</v>
      </c>
      <c r="M109" s="10">
        <v>82</v>
      </c>
      <c r="N109" s="32" t="s">
        <v>43</v>
      </c>
      <c r="O109" s="32">
        <v>0.98750000000000004</v>
      </c>
      <c r="P109" s="32">
        <v>0.58499999999999996</v>
      </c>
      <c r="Q109" s="32">
        <v>0</v>
      </c>
      <c r="R109" s="32" t="s">
        <v>34</v>
      </c>
      <c r="S109" s="36">
        <f t="shared" si="3"/>
        <v>8.98148148148148E-5</v>
      </c>
      <c r="T109" s="32" t="s">
        <v>36</v>
      </c>
      <c r="U109" s="32" t="s">
        <v>37</v>
      </c>
      <c r="V109" s="32" t="s">
        <v>38</v>
      </c>
      <c r="W109" s="32" t="s">
        <v>34</v>
      </c>
      <c r="X109" s="13">
        <v>0.25</v>
      </c>
      <c r="Y109" s="32">
        <v>1</v>
      </c>
      <c r="Z109" s="32" t="s">
        <v>39</v>
      </c>
      <c r="AA109" s="32" t="s">
        <v>34</v>
      </c>
      <c r="AB109" s="13" t="s">
        <v>34</v>
      </c>
      <c r="AC109" s="32" t="s">
        <v>318</v>
      </c>
      <c r="AD109" s="32" t="s">
        <v>32</v>
      </c>
      <c r="AE109" s="32">
        <v>0.46910000000000002</v>
      </c>
      <c r="AF109" s="44" t="s">
        <v>45</v>
      </c>
      <c r="AG109" s="32">
        <v>2013</v>
      </c>
      <c r="AH109" s="44" t="s">
        <v>46</v>
      </c>
      <c r="AI109" s="99">
        <f t="shared" si="2"/>
        <v>1.0020618556701033</v>
      </c>
    </row>
    <row r="110" spans="1:35" s="10" customFormat="1" x14ac:dyDescent="0.3">
      <c r="A110" s="11">
        <v>0.45056320400500499</v>
      </c>
      <c r="B110" s="45">
        <v>7.7222222222222205E-5</v>
      </c>
      <c r="C110" s="33" t="s">
        <v>33</v>
      </c>
      <c r="D110" s="33" t="s">
        <v>35</v>
      </c>
      <c r="E110" s="33" t="s">
        <v>170</v>
      </c>
      <c r="F110" s="33" t="s">
        <v>34</v>
      </c>
      <c r="G110" s="43">
        <v>0.16500000000000001</v>
      </c>
      <c r="H110" s="32" t="s">
        <v>34</v>
      </c>
      <c r="I110" s="32" t="s">
        <v>34</v>
      </c>
      <c r="J110" s="32" t="s">
        <v>34</v>
      </c>
      <c r="K110" s="32" t="s">
        <v>34</v>
      </c>
      <c r="L110" s="32" t="s">
        <v>34</v>
      </c>
      <c r="M110" s="10">
        <v>82</v>
      </c>
      <c r="N110" s="32" t="s">
        <v>43</v>
      </c>
      <c r="O110" s="32">
        <v>0.98750000000000004</v>
      </c>
      <c r="P110" s="32">
        <v>0.58499999999999996</v>
      </c>
      <c r="Q110" s="32">
        <v>0</v>
      </c>
      <c r="R110" s="32" t="s">
        <v>34</v>
      </c>
      <c r="S110" s="36">
        <f t="shared" si="3"/>
        <v>8.98148148148148E-5</v>
      </c>
      <c r="T110" s="32" t="s">
        <v>36</v>
      </c>
      <c r="U110" s="32" t="s">
        <v>37</v>
      </c>
      <c r="V110" s="32" t="s">
        <v>38</v>
      </c>
      <c r="W110" s="32" t="s">
        <v>34</v>
      </c>
      <c r="X110" s="13">
        <v>0.25</v>
      </c>
      <c r="Y110" s="32">
        <v>1</v>
      </c>
      <c r="Z110" s="32" t="s">
        <v>39</v>
      </c>
      <c r="AA110" s="32" t="s">
        <v>34</v>
      </c>
      <c r="AB110" s="13" t="s">
        <v>34</v>
      </c>
      <c r="AC110" s="32" t="s">
        <v>318</v>
      </c>
      <c r="AD110" s="32" t="s">
        <v>32</v>
      </c>
      <c r="AE110" s="32">
        <v>0.46910000000000002</v>
      </c>
      <c r="AF110" s="44" t="s">
        <v>45</v>
      </c>
      <c r="AG110" s="32">
        <v>2013</v>
      </c>
      <c r="AH110" s="44" t="s">
        <v>46</v>
      </c>
      <c r="AI110" s="99">
        <f t="shared" si="2"/>
        <v>0.85979381443298963</v>
      </c>
    </row>
    <row r="111" spans="1:35" s="10" customFormat="1" x14ac:dyDescent="0.3">
      <c r="A111" s="11">
        <v>0.63204005006257802</v>
      </c>
      <c r="B111" s="45">
        <v>6.7407407407407398E-5</v>
      </c>
      <c r="C111" s="33" t="s">
        <v>33</v>
      </c>
      <c r="D111" s="33" t="s">
        <v>35</v>
      </c>
      <c r="E111" s="33" t="s">
        <v>170</v>
      </c>
      <c r="F111" s="33" t="s">
        <v>34</v>
      </c>
      <c r="G111" s="43">
        <v>0.16500000000000001</v>
      </c>
      <c r="H111" s="32" t="s">
        <v>34</v>
      </c>
      <c r="I111" s="32" t="s">
        <v>34</v>
      </c>
      <c r="J111" s="32" t="s">
        <v>34</v>
      </c>
      <c r="K111" s="32" t="s">
        <v>34</v>
      </c>
      <c r="L111" s="32" t="s">
        <v>34</v>
      </c>
      <c r="M111" s="10">
        <v>82</v>
      </c>
      <c r="N111" s="32" t="s">
        <v>43</v>
      </c>
      <c r="O111" s="32">
        <v>0.98750000000000004</v>
      </c>
      <c r="P111" s="32">
        <v>0.58499999999999996</v>
      </c>
      <c r="Q111" s="32">
        <v>0</v>
      </c>
      <c r="R111" s="32" t="s">
        <v>34</v>
      </c>
      <c r="S111" s="36">
        <f t="shared" si="3"/>
        <v>8.98148148148148E-5</v>
      </c>
      <c r="T111" s="32" t="s">
        <v>36</v>
      </c>
      <c r="U111" s="32" t="s">
        <v>37</v>
      </c>
      <c r="V111" s="32" t="s">
        <v>38</v>
      </c>
      <c r="W111" s="32" t="s">
        <v>34</v>
      </c>
      <c r="X111" s="13">
        <v>0.25</v>
      </c>
      <c r="Y111" s="32">
        <v>1</v>
      </c>
      <c r="Z111" s="32" t="s">
        <v>39</v>
      </c>
      <c r="AA111" s="32" t="s">
        <v>34</v>
      </c>
      <c r="AB111" s="13" t="s">
        <v>34</v>
      </c>
      <c r="AC111" s="32" t="s">
        <v>318</v>
      </c>
      <c r="AD111" s="32" t="s">
        <v>32</v>
      </c>
      <c r="AE111" s="32">
        <v>0.46910000000000002</v>
      </c>
      <c r="AF111" s="44" t="s">
        <v>45</v>
      </c>
      <c r="AG111" s="32">
        <v>2013</v>
      </c>
      <c r="AH111" s="44" t="s">
        <v>46</v>
      </c>
      <c r="AI111" s="99">
        <f t="shared" si="2"/>
        <v>0.75051546391752577</v>
      </c>
    </row>
    <row r="112" spans="1:35" s="10" customFormat="1" x14ac:dyDescent="0.3">
      <c r="A112" s="11">
        <v>0.53817271589486804</v>
      </c>
      <c r="B112" s="45">
        <v>6.0000000000000002E-5</v>
      </c>
      <c r="C112" s="33" t="s">
        <v>33</v>
      </c>
      <c r="D112" s="33" t="s">
        <v>35</v>
      </c>
      <c r="E112" s="33" t="s">
        <v>170</v>
      </c>
      <c r="F112" s="33" t="s">
        <v>34</v>
      </c>
      <c r="G112" s="43">
        <v>0.16500000000000001</v>
      </c>
      <c r="H112" s="32" t="s">
        <v>34</v>
      </c>
      <c r="I112" s="32" t="s">
        <v>34</v>
      </c>
      <c r="J112" s="32" t="s">
        <v>34</v>
      </c>
      <c r="K112" s="32" t="s">
        <v>34</v>
      </c>
      <c r="L112" s="32" t="s">
        <v>34</v>
      </c>
      <c r="M112" s="10">
        <v>82</v>
      </c>
      <c r="N112" s="32" t="s">
        <v>43</v>
      </c>
      <c r="O112" s="32">
        <v>0.98750000000000004</v>
      </c>
      <c r="P112" s="32">
        <v>0.58499999999999996</v>
      </c>
      <c r="Q112" s="32">
        <v>0</v>
      </c>
      <c r="R112" s="32" t="s">
        <v>34</v>
      </c>
      <c r="S112" s="36">
        <f t="shared" si="3"/>
        <v>8.98148148148148E-5</v>
      </c>
      <c r="T112" s="32" t="s">
        <v>36</v>
      </c>
      <c r="U112" s="32" t="s">
        <v>37</v>
      </c>
      <c r="V112" s="32" t="s">
        <v>38</v>
      </c>
      <c r="W112" s="32" t="s">
        <v>34</v>
      </c>
      <c r="X112" s="13">
        <v>0.25</v>
      </c>
      <c r="Y112" s="32">
        <v>1</v>
      </c>
      <c r="Z112" s="32" t="s">
        <v>39</v>
      </c>
      <c r="AA112" s="32" t="s">
        <v>34</v>
      </c>
      <c r="AB112" s="13" t="s">
        <v>34</v>
      </c>
      <c r="AC112" s="32" t="s">
        <v>318</v>
      </c>
      <c r="AD112" s="32" t="s">
        <v>32</v>
      </c>
      <c r="AE112" s="32">
        <v>0.46910000000000002</v>
      </c>
      <c r="AF112" s="44" t="s">
        <v>45</v>
      </c>
      <c r="AG112" s="32">
        <v>2013</v>
      </c>
      <c r="AH112" s="44" t="s">
        <v>46</v>
      </c>
      <c r="AI112" s="99">
        <f t="shared" si="2"/>
        <v>0.66804123711340224</v>
      </c>
    </row>
    <row r="113" spans="1:35" s="10" customFormat="1" x14ac:dyDescent="0.3">
      <c r="A113" s="11">
        <v>0.71964956195243901</v>
      </c>
      <c r="B113" s="45">
        <v>6.0000000000000002E-5</v>
      </c>
      <c r="C113" s="33" t="s">
        <v>33</v>
      </c>
      <c r="D113" s="33" t="s">
        <v>35</v>
      </c>
      <c r="E113" s="33" t="s">
        <v>170</v>
      </c>
      <c r="F113" s="33" t="s">
        <v>34</v>
      </c>
      <c r="G113" s="43">
        <v>0.16500000000000001</v>
      </c>
      <c r="H113" s="32" t="s">
        <v>34</v>
      </c>
      <c r="I113" s="32" t="s">
        <v>34</v>
      </c>
      <c r="J113" s="32" t="s">
        <v>34</v>
      </c>
      <c r="K113" s="32" t="s">
        <v>34</v>
      </c>
      <c r="L113" s="32" t="s">
        <v>34</v>
      </c>
      <c r="M113" s="10">
        <v>82</v>
      </c>
      <c r="N113" s="32" t="s">
        <v>43</v>
      </c>
      <c r="O113" s="32">
        <v>0.98750000000000004</v>
      </c>
      <c r="P113" s="32">
        <v>0.58499999999999996</v>
      </c>
      <c r="Q113" s="32">
        <v>0</v>
      </c>
      <c r="R113" s="32" t="s">
        <v>34</v>
      </c>
      <c r="S113" s="36">
        <f t="shared" si="3"/>
        <v>8.98148148148148E-5</v>
      </c>
      <c r="T113" s="32" t="s">
        <v>36</v>
      </c>
      <c r="U113" s="32" t="s">
        <v>37</v>
      </c>
      <c r="V113" s="32" t="s">
        <v>38</v>
      </c>
      <c r="W113" s="32" t="s">
        <v>34</v>
      </c>
      <c r="X113" s="13">
        <v>0.25</v>
      </c>
      <c r="Y113" s="32">
        <v>1</v>
      </c>
      <c r="Z113" s="32" t="s">
        <v>39</v>
      </c>
      <c r="AA113" s="32" t="s">
        <v>34</v>
      </c>
      <c r="AB113" s="13" t="s">
        <v>34</v>
      </c>
      <c r="AC113" s="32" t="s">
        <v>318</v>
      </c>
      <c r="AD113" s="32" t="s">
        <v>32</v>
      </c>
      <c r="AE113" s="32">
        <v>0.46910000000000002</v>
      </c>
      <c r="AF113" s="44" t="s">
        <v>45</v>
      </c>
      <c r="AG113" s="32">
        <v>2013</v>
      </c>
      <c r="AH113" s="44" t="s">
        <v>46</v>
      </c>
      <c r="AI113" s="99">
        <f t="shared" si="2"/>
        <v>0.66804123711340224</v>
      </c>
    </row>
    <row r="114" spans="1:35" s="10" customFormat="1" x14ac:dyDescent="0.3">
      <c r="A114" s="11">
        <v>0.98247809762202698</v>
      </c>
      <c r="B114" s="45">
        <v>6.7407407407407398E-5</v>
      </c>
      <c r="C114" s="33" t="s">
        <v>33</v>
      </c>
      <c r="D114" s="33" t="s">
        <v>35</v>
      </c>
      <c r="E114" s="33" t="s">
        <v>170</v>
      </c>
      <c r="F114" s="33" t="s">
        <v>34</v>
      </c>
      <c r="G114" s="43">
        <v>0.16500000000000001</v>
      </c>
      <c r="H114" s="32" t="s">
        <v>34</v>
      </c>
      <c r="I114" s="32" t="s">
        <v>34</v>
      </c>
      <c r="J114" s="32" t="s">
        <v>34</v>
      </c>
      <c r="K114" s="32" t="s">
        <v>34</v>
      </c>
      <c r="L114" s="32" t="s">
        <v>34</v>
      </c>
      <c r="M114" s="10">
        <v>82</v>
      </c>
      <c r="N114" s="32" t="s">
        <v>43</v>
      </c>
      <c r="O114" s="32">
        <v>0.98750000000000004</v>
      </c>
      <c r="P114" s="32">
        <v>0.58499999999999996</v>
      </c>
      <c r="Q114" s="32">
        <v>0</v>
      </c>
      <c r="R114" s="32" t="s">
        <v>34</v>
      </c>
      <c r="S114" s="36">
        <f t="shared" si="3"/>
        <v>8.98148148148148E-5</v>
      </c>
      <c r="T114" s="32" t="s">
        <v>36</v>
      </c>
      <c r="U114" s="32" t="s">
        <v>37</v>
      </c>
      <c r="V114" s="32" t="s">
        <v>38</v>
      </c>
      <c r="W114" s="32" t="s">
        <v>34</v>
      </c>
      <c r="X114" s="13">
        <v>0.25</v>
      </c>
      <c r="Y114" s="32">
        <v>1</v>
      </c>
      <c r="Z114" s="32" t="s">
        <v>39</v>
      </c>
      <c r="AA114" s="32" t="s">
        <v>34</v>
      </c>
      <c r="AB114" s="13" t="s">
        <v>34</v>
      </c>
      <c r="AC114" s="32" t="s">
        <v>318</v>
      </c>
      <c r="AD114" s="32" t="s">
        <v>32</v>
      </c>
      <c r="AE114" s="32">
        <v>0.46910000000000002</v>
      </c>
      <c r="AF114" s="44" t="s">
        <v>45</v>
      </c>
      <c r="AG114" s="32">
        <v>2013</v>
      </c>
      <c r="AH114" s="44" t="s">
        <v>46</v>
      </c>
      <c r="AI114" s="99">
        <f t="shared" si="2"/>
        <v>0.75051546391752577</v>
      </c>
    </row>
    <row r="115" spans="1:35" s="10" customFormat="1" x14ac:dyDescent="0.3">
      <c r="A115" s="11">
        <v>1.0826032540675801</v>
      </c>
      <c r="B115" s="45">
        <v>6.7592592592592604E-5</v>
      </c>
      <c r="C115" s="33" t="s">
        <v>33</v>
      </c>
      <c r="D115" s="33" t="s">
        <v>35</v>
      </c>
      <c r="E115" s="33" t="s">
        <v>170</v>
      </c>
      <c r="F115" s="33" t="s">
        <v>34</v>
      </c>
      <c r="G115" s="43">
        <v>0.16500000000000001</v>
      </c>
      <c r="H115" s="32" t="s">
        <v>34</v>
      </c>
      <c r="I115" s="32" t="s">
        <v>34</v>
      </c>
      <c r="J115" s="32" t="s">
        <v>34</v>
      </c>
      <c r="K115" s="32" t="s">
        <v>34</v>
      </c>
      <c r="L115" s="32" t="s">
        <v>34</v>
      </c>
      <c r="M115" s="10">
        <v>82</v>
      </c>
      <c r="N115" s="32" t="s">
        <v>43</v>
      </c>
      <c r="O115" s="32">
        <v>0.98750000000000004</v>
      </c>
      <c r="P115" s="32">
        <v>0.58499999999999996</v>
      </c>
      <c r="Q115" s="32">
        <v>0</v>
      </c>
      <c r="R115" s="32" t="s">
        <v>34</v>
      </c>
      <c r="S115" s="36">
        <f t="shared" si="3"/>
        <v>8.98148148148148E-5</v>
      </c>
      <c r="T115" s="32" t="s">
        <v>36</v>
      </c>
      <c r="U115" s="32" t="s">
        <v>37</v>
      </c>
      <c r="V115" s="32" t="s">
        <v>38</v>
      </c>
      <c r="W115" s="32" t="s">
        <v>34</v>
      </c>
      <c r="X115" s="13">
        <v>0.25</v>
      </c>
      <c r="Y115" s="32">
        <v>1</v>
      </c>
      <c r="Z115" s="32" t="s">
        <v>39</v>
      </c>
      <c r="AA115" s="32" t="s">
        <v>34</v>
      </c>
      <c r="AB115" s="13" t="s">
        <v>34</v>
      </c>
      <c r="AC115" s="32" t="s">
        <v>318</v>
      </c>
      <c r="AD115" s="32" t="s">
        <v>32</v>
      </c>
      <c r="AE115" s="32">
        <v>0.46910000000000002</v>
      </c>
      <c r="AF115" s="44" t="s">
        <v>45</v>
      </c>
      <c r="AG115" s="32">
        <v>2013</v>
      </c>
      <c r="AH115" s="44" t="s">
        <v>46</v>
      </c>
      <c r="AI115" s="99">
        <f t="shared" si="2"/>
        <v>0.75257731958762908</v>
      </c>
    </row>
    <row r="116" spans="1:35" s="10" customFormat="1" x14ac:dyDescent="0.3">
      <c r="A116" s="11">
        <v>1.26408010012515</v>
      </c>
      <c r="B116" s="45">
        <v>6.7592592592592604E-5</v>
      </c>
      <c r="C116" s="33" t="s">
        <v>33</v>
      </c>
      <c r="D116" s="33" t="s">
        <v>35</v>
      </c>
      <c r="E116" s="33" t="s">
        <v>170</v>
      </c>
      <c r="F116" s="33" t="s">
        <v>34</v>
      </c>
      <c r="G116" s="43">
        <v>0.16500000000000001</v>
      </c>
      <c r="H116" s="32" t="s">
        <v>34</v>
      </c>
      <c r="I116" s="32" t="s">
        <v>34</v>
      </c>
      <c r="J116" s="32" t="s">
        <v>34</v>
      </c>
      <c r="K116" s="32" t="s">
        <v>34</v>
      </c>
      <c r="L116" s="32" t="s">
        <v>34</v>
      </c>
      <c r="M116" s="10">
        <v>82</v>
      </c>
      <c r="N116" s="32" t="s">
        <v>43</v>
      </c>
      <c r="O116" s="32">
        <v>0.98750000000000004</v>
      </c>
      <c r="P116" s="32">
        <v>0.58499999999999996</v>
      </c>
      <c r="Q116" s="32">
        <v>0</v>
      </c>
      <c r="R116" s="32" t="s">
        <v>34</v>
      </c>
      <c r="S116" s="36">
        <f t="shared" si="3"/>
        <v>8.98148148148148E-5</v>
      </c>
      <c r="T116" s="32" t="s">
        <v>36</v>
      </c>
      <c r="U116" s="32" t="s">
        <v>37</v>
      </c>
      <c r="V116" s="32" t="s">
        <v>38</v>
      </c>
      <c r="W116" s="32" t="s">
        <v>34</v>
      </c>
      <c r="X116" s="13">
        <v>0.25</v>
      </c>
      <c r="Y116" s="32">
        <v>1</v>
      </c>
      <c r="Z116" s="32" t="s">
        <v>39</v>
      </c>
      <c r="AA116" s="32" t="s">
        <v>34</v>
      </c>
      <c r="AB116" s="13" t="s">
        <v>34</v>
      </c>
      <c r="AC116" s="32" t="s">
        <v>318</v>
      </c>
      <c r="AD116" s="32" t="s">
        <v>32</v>
      </c>
      <c r="AE116" s="32">
        <v>0.46910000000000002</v>
      </c>
      <c r="AF116" s="44" t="s">
        <v>45</v>
      </c>
      <c r="AG116" s="32">
        <v>2013</v>
      </c>
      <c r="AH116" s="44" t="s">
        <v>46</v>
      </c>
      <c r="AI116" s="99">
        <f t="shared" si="2"/>
        <v>0.75257731958762908</v>
      </c>
    </row>
    <row r="117" spans="1:35" s="10" customFormat="1" x14ac:dyDescent="0.3">
      <c r="A117" s="11">
        <v>0.807259073842303</v>
      </c>
      <c r="B117" s="45">
        <v>5.4074074074074E-5</v>
      </c>
      <c r="C117" s="33" t="s">
        <v>33</v>
      </c>
      <c r="D117" s="33" t="s">
        <v>35</v>
      </c>
      <c r="E117" s="33" t="s">
        <v>170</v>
      </c>
      <c r="F117" s="33" t="s">
        <v>34</v>
      </c>
      <c r="G117" s="43">
        <v>0.16500000000000001</v>
      </c>
      <c r="H117" s="32" t="s">
        <v>34</v>
      </c>
      <c r="I117" s="32" t="s">
        <v>34</v>
      </c>
      <c r="J117" s="32" t="s">
        <v>34</v>
      </c>
      <c r="K117" s="32" t="s">
        <v>34</v>
      </c>
      <c r="L117" s="32" t="s">
        <v>34</v>
      </c>
      <c r="M117" s="10">
        <v>82</v>
      </c>
      <c r="N117" s="32" t="s">
        <v>43</v>
      </c>
      <c r="O117" s="32">
        <v>0.98750000000000004</v>
      </c>
      <c r="P117" s="32">
        <v>0.58499999999999996</v>
      </c>
      <c r="Q117" s="32">
        <v>0</v>
      </c>
      <c r="R117" s="32" t="s">
        <v>34</v>
      </c>
      <c r="S117" s="36">
        <f t="shared" si="3"/>
        <v>8.98148148148148E-5</v>
      </c>
      <c r="T117" s="32" t="s">
        <v>36</v>
      </c>
      <c r="U117" s="32" t="s">
        <v>37</v>
      </c>
      <c r="V117" s="32" t="s">
        <v>38</v>
      </c>
      <c r="W117" s="32" t="s">
        <v>34</v>
      </c>
      <c r="X117" s="13">
        <v>0.25</v>
      </c>
      <c r="Y117" s="32">
        <v>1</v>
      </c>
      <c r="Z117" s="32" t="s">
        <v>39</v>
      </c>
      <c r="AA117" s="32" t="s">
        <v>34</v>
      </c>
      <c r="AB117" s="13" t="s">
        <v>34</v>
      </c>
      <c r="AC117" s="32" t="s">
        <v>318</v>
      </c>
      <c r="AD117" s="32" t="s">
        <v>32</v>
      </c>
      <c r="AE117" s="32">
        <v>0.46910000000000002</v>
      </c>
      <c r="AF117" s="44" t="s">
        <v>45</v>
      </c>
      <c r="AG117" s="32">
        <v>2013</v>
      </c>
      <c r="AH117" s="44" t="s">
        <v>46</v>
      </c>
      <c r="AI117" s="99">
        <f t="shared" si="2"/>
        <v>0.6020618556701024</v>
      </c>
    </row>
    <row r="118" spans="1:35" s="10" customFormat="1" x14ac:dyDescent="0.3">
      <c r="A118" s="11">
        <v>0.90112640801001098</v>
      </c>
      <c r="B118" s="45">
        <v>5.4074074074074E-5</v>
      </c>
      <c r="C118" s="33" t="s">
        <v>33</v>
      </c>
      <c r="D118" s="33" t="s">
        <v>35</v>
      </c>
      <c r="E118" s="33" t="s">
        <v>170</v>
      </c>
      <c r="F118" s="33" t="s">
        <v>34</v>
      </c>
      <c r="G118" s="43">
        <v>0.16500000000000001</v>
      </c>
      <c r="H118" s="32" t="s">
        <v>34</v>
      </c>
      <c r="I118" s="32" t="s">
        <v>34</v>
      </c>
      <c r="J118" s="32" t="s">
        <v>34</v>
      </c>
      <c r="K118" s="32" t="s">
        <v>34</v>
      </c>
      <c r="L118" s="32" t="s">
        <v>34</v>
      </c>
      <c r="M118" s="10">
        <v>82</v>
      </c>
      <c r="N118" s="32" t="s">
        <v>43</v>
      </c>
      <c r="O118" s="32">
        <v>0.98750000000000004</v>
      </c>
      <c r="P118" s="32">
        <v>0.58499999999999996</v>
      </c>
      <c r="Q118" s="32">
        <v>0</v>
      </c>
      <c r="R118" s="32" t="s">
        <v>34</v>
      </c>
      <c r="S118" s="36">
        <f t="shared" si="3"/>
        <v>8.98148148148148E-5</v>
      </c>
      <c r="T118" s="32" t="s">
        <v>36</v>
      </c>
      <c r="U118" s="32" t="s">
        <v>37</v>
      </c>
      <c r="V118" s="32" t="s">
        <v>38</v>
      </c>
      <c r="W118" s="32" t="s">
        <v>34</v>
      </c>
      <c r="X118" s="13">
        <v>0.25</v>
      </c>
      <c r="Y118" s="32">
        <v>1</v>
      </c>
      <c r="Z118" s="32" t="s">
        <v>39</v>
      </c>
      <c r="AA118" s="32" t="s">
        <v>34</v>
      </c>
      <c r="AB118" s="13" t="s">
        <v>34</v>
      </c>
      <c r="AC118" s="32" t="s">
        <v>318</v>
      </c>
      <c r="AD118" s="32" t="s">
        <v>32</v>
      </c>
      <c r="AE118" s="32">
        <v>0.46910000000000002</v>
      </c>
      <c r="AF118" s="44" t="s">
        <v>45</v>
      </c>
      <c r="AG118" s="32">
        <v>2013</v>
      </c>
      <c r="AH118" s="44" t="s">
        <v>46</v>
      </c>
      <c r="AI118" s="99">
        <f t="shared" si="2"/>
        <v>0.6020618556701024</v>
      </c>
    </row>
    <row r="119" spans="1:35" s="10" customFormat="1" x14ac:dyDescent="0.3">
      <c r="A119" s="11">
        <v>1.1702127659574399</v>
      </c>
      <c r="B119" s="45">
        <v>4.5185185185185202E-5</v>
      </c>
      <c r="C119" s="33" t="s">
        <v>33</v>
      </c>
      <c r="D119" s="33" t="s">
        <v>35</v>
      </c>
      <c r="E119" s="33" t="s">
        <v>170</v>
      </c>
      <c r="F119" s="33" t="s">
        <v>34</v>
      </c>
      <c r="G119" s="43">
        <v>0.16500000000000001</v>
      </c>
      <c r="H119" s="32" t="s">
        <v>34</v>
      </c>
      <c r="I119" s="32" t="s">
        <v>34</v>
      </c>
      <c r="J119" s="32" t="s">
        <v>34</v>
      </c>
      <c r="K119" s="32" t="s">
        <v>34</v>
      </c>
      <c r="L119" s="32" t="s">
        <v>34</v>
      </c>
      <c r="M119" s="10">
        <v>82</v>
      </c>
      <c r="N119" s="32" t="s">
        <v>43</v>
      </c>
      <c r="O119" s="32">
        <v>0.98750000000000004</v>
      </c>
      <c r="P119" s="32">
        <v>0.58499999999999996</v>
      </c>
      <c r="Q119" s="32">
        <v>0</v>
      </c>
      <c r="R119" s="32" t="s">
        <v>34</v>
      </c>
      <c r="S119" s="36">
        <f t="shared" si="3"/>
        <v>8.98148148148148E-5</v>
      </c>
      <c r="T119" s="32" t="s">
        <v>36</v>
      </c>
      <c r="U119" s="32" t="s">
        <v>37</v>
      </c>
      <c r="V119" s="32" t="s">
        <v>38</v>
      </c>
      <c r="W119" s="32" t="s">
        <v>34</v>
      </c>
      <c r="X119" s="13">
        <v>0.25</v>
      </c>
      <c r="Y119" s="32">
        <v>1</v>
      </c>
      <c r="Z119" s="32" t="s">
        <v>39</v>
      </c>
      <c r="AA119" s="32" t="s">
        <v>34</v>
      </c>
      <c r="AB119" s="13" t="s">
        <v>34</v>
      </c>
      <c r="AC119" s="32" t="s">
        <v>318</v>
      </c>
      <c r="AD119" s="32" t="s">
        <v>32</v>
      </c>
      <c r="AE119" s="32">
        <v>0.46910000000000002</v>
      </c>
      <c r="AF119" s="44" t="s">
        <v>45</v>
      </c>
      <c r="AG119" s="32">
        <v>2013</v>
      </c>
      <c r="AH119" s="44" t="s">
        <v>46</v>
      </c>
      <c r="AI119" s="99">
        <f t="shared" si="2"/>
        <v>0.50309278350515496</v>
      </c>
    </row>
    <row r="120" spans="1:35" s="10" customFormat="1" x14ac:dyDescent="0.3">
      <c r="A120" s="11">
        <v>0.362953692115143</v>
      </c>
      <c r="B120" s="45">
        <v>4.1666666666666699E-5</v>
      </c>
      <c r="C120" s="33" t="s">
        <v>33</v>
      </c>
      <c r="D120" s="33" t="s">
        <v>35</v>
      </c>
      <c r="E120" s="33" t="s">
        <v>170</v>
      </c>
      <c r="F120" s="33" t="s">
        <v>34</v>
      </c>
      <c r="G120" s="43">
        <v>0.16500000000000001</v>
      </c>
      <c r="H120" s="32" t="s">
        <v>34</v>
      </c>
      <c r="I120" s="32" t="s">
        <v>34</v>
      </c>
      <c r="J120" s="32" t="s">
        <v>34</v>
      </c>
      <c r="K120" s="32" t="s">
        <v>34</v>
      </c>
      <c r="L120" s="32" t="s">
        <v>34</v>
      </c>
      <c r="M120" s="10">
        <v>82</v>
      </c>
      <c r="N120" s="32" t="s">
        <v>43</v>
      </c>
      <c r="O120" s="32">
        <v>0.98750000000000004</v>
      </c>
      <c r="P120" s="32">
        <v>0.58499999999999996</v>
      </c>
      <c r="Q120" s="32">
        <v>0</v>
      </c>
      <c r="R120" s="32" t="s">
        <v>34</v>
      </c>
      <c r="S120" s="36">
        <f t="shared" si="3"/>
        <v>8.98148148148148E-5</v>
      </c>
      <c r="T120" s="32" t="s">
        <v>36</v>
      </c>
      <c r="U120" s="32" t="s">
        <v>37</v>
      </c>
      <c r="V120" s="32" t="s">
        <v>38</v>
      </c>
      <c r="W120" s="32" t="s">
        <v>34</v>
      </c>
      <c r="X120" s="13">
        <v>0.25</v>
      </c>
      <c r="Y120" s="32">
        <v>1</v>
      </c>
      <c r="Z120" s="32" t="s">
        <v>39</v>
      </c>
      <c r="AA120" s="32" t="s">
        <v>34</v>
      </c>
      <c r="AB120" s="13" t="s">
        <v>34</v>
      </c>
      <c r="AC120" s="32" t="s">
        <v>318</v>
      </c>
      <c r="AD120" s="32" t="s">
        <v>32</v>
      </c>
      <c r="AE120" s="32">
        <v>0.46910000000000002</v>
      </c>
      <c r="AF120" s="44" t="s">
        <v>45</v>
      </c>
      <c r="AG120" s="32">
        <v>2013</v>
      </c>
      <c r="AH120" s="44" t="s">
        <v>46</v>
      </c>
      <c r="AI120" s="99">
        <f t="shared" si="2"/>
        <v>0.46391752577319634</v>
      </c>
    </row>
    <row r="121" spans="1:35" s="10" customFormat="1" x14ac:dyDescent="0.3">
      <c r="A121" s="11">
        <v>0</v>
      </c>
      <c r="B121" s="45">
        <v>2.1111111111111101E-5</v>
      </c>
      <c r="C121" s="33" t="s">
        <v>33</v>
      </c>
      <c r="D121" s="33" t="s">
        <v>35</v>
      </c>
      <c r="E121" s="33" t="s">
        <v>170</v>
      </c>
      <c r="F121" s="33" t="s">
        <v>34</v>
      </c>
      <c r="G121" s="43">
        <v>0.16500000000000001</v>
      </c>
      <c r="H121" s="32" t="s">
        <v>34</v>
      </c>
      <c r="I121" s="32" t="s">
        <v>34</v>
      </c>
      <c r="J121" s="32" t="s">
        <v>34</v>
      </c>
      <c r="K121" s="32" t="s">
        <v>34</v>
      </c>
      <c r="L121" s="32" t="s">
        <v>34</v>
      </c>
      <c r="M121" s="10">
        <v>91</v>
      </c>
      <c r="N121" s="32" t="s">
        <v>43</v>
      </c>
      <c r="O121" s="32">
        <v>0.98750000000000004</v>
      </c>
      <c r="P121" s="32">
        <v>0.58499999999999996</v>
      </c>
      <c r="Q121" s="32">
        <v>0</v>
      </c>
      <c r="R121" s="32" t="s">
        <v>34</v>
      </c>
      <c r="S121" s="36">
        <f t="shared" si="3"/>
        <v>2.1111111111111101E-5</v>
      </c>
      <c r="T121" s="32" t="s">
        <v>36</v>
      </c>
      <c r="U121" s="32" t="s">
        <v>37</v>
      </c>
      <c r="V121" s="32" t="s">
        <v>38</v>
      </c>
      <c r="W121" s="32" t="s">
        <v>34</v>
      </c>
      <c r="X121" s="13">
        <v>0.25</v>
      </c>
      <c r="Y121" s="32">
        <v>1</v>
      </c>
      <c r="Z121" s="32" t="s">
        <v>39</v>
      </c>
      <c r="AA121" s="32" t="s">
        <v>34</v>
      </c>
      <c r="AB121" s="13" t="s">
        <v>34</v>
      </c>
      <c r="AC121" s="32" t="s">
        <v>318</v>
      </c>
      <c r="AD121" s="32" t="s">
        <v>32</v>
      </c>
      <c r="AE121" s="32">
        <v>0.46910000000000002</v>
      </c>
      <c r="AF121" s="44" t="s">
        <v>45</v>
      </c>
      <c r="AG121" s="32">
        <v>2013</v>
      </c>
      <c r="AH121" s="44" t="s">
        <v>46</v>
      </c>
      <c r="AI121" s="99">
        <f t="shared" si="2"/>
        <v>1</v>
      </c>
    </row>
    <row r="122" spans="1:35" s="10" customFormat="1" x14ac:dyDescent="0.3">
      <c r="A122" s="11">
        <v>0.30663329161451802</v>
      </c>
      <c r="B122" s="45">
        <v>2.0740740740740699E-5</v>
      </c>
      <c r="C122" s="33" t="s">
        <v>33</v>
      </c>
      <c r="D122" s="33" t="s">
        <v>35</v>
      </c>
      <c r="E122" s="33" t="s">
        <v>170</v>
      </c>
      <c r="F122" s="33" t="s">
        <v>34</v>
      </c>
      <c r="G122" s="43">
        <v>0.16500000000000001</v>
      </c>
      <c r="H122" s="32" t="s">
        <v>34</v>
      </c>
      <c r="I122" s="32" t="s">
        <v>34</v>
      </c>
      <c r="J122" s="32" t="s">
        <v>34</v>
      </c>
      <c r="K122" s="32" t="s">
        <v>34</v>
      </c>
      <c r="L122" s="32" t="s">
        <v>34</v>
      </c>
      <c r="M122" s="10">
        <v>91</v>
      </c>
      <c r="N122" s="32" t="s">
        <v>43</v>
      </c>
      <c r="O122" s="32">
        <v>0.98750000000000004</v>
      </c>
      <c r="P122" s="32">
        <v>0.58499999999999996</v>
      </c>
      <c r="Q122" s="32">
        <v>0</v>
      </c>
      <c r="R122" s="32" t="s">
        <v>34</v>
      </c>
      <c r="S122" s="36">
        <f t="shared" si="3"/>
        <v>2.1111111111111101E-5</v>
      </c>
      <c r="T122" s="32" t="s">
        <v>36</v>
      </c>
      <c r="U122" s="32" t="s">
        <v>37</v>
      </c>
      <c r="V122" s="32" t="s">
        <v>38</v>
      </c>
      <c r="W122" s="32" t="s">
        <v>34</v>
      </c>
      <c r="X122" s="13">
        <v>0.25</v>
      </c>
      <c r="Y122" s="32">
        <v>1</v>
      </c>
      <c r="Z122" s="32" t="s">
        <v>39</v>
      </c>
      <c r="AA122" s="32" t="s">
        <v>34</v>
      </c>
      <c r="AB122" s="13" t="s">
        <v>34</v>
      </c>
      <c r="AC122" s="32" t="s">
        <v>318</v>
      </c>
      <c r="AD122" s="32" t="s">
        <v>32</v>
      </c>
      <c r="AE122" s="32">
        <v>0.46910000000000002</v>
      </c>
      <c r="AF122" s="44" t="s">
        <v>45</v>
      </c>
      <c r="AG122" s="32">
        <v>2013</v>
      </c>
      <c r="AH122" s="44" t="s">
        <v>46</v>
      </c>
      <c r="AI122" s="99">
        <f t="shared" si="2"/>
        <v>0.9824561403508757</v>
      </c>
    </row>
    <row r="123" spans="1:35" s="10" customFormat="1" x14ac:dyDescent="0.3">
      <c r="A123" s="11">
        <v>0.91989987484355296</v>
      </c>
      <c r="B123" s="45">
        <v>2.4259259259259199E-5</v>
      </c>
      <c r="C123" s="33" t="s">
        <v>33</v>
      </c>
      <c r="D123" s="33" t="s">
        <v>35</v>
      </c>
      <c r="E123" s="33" t="s">
        <v>170</v>
      </c>
      <c r="F123" s="33" t="s">
        <v>34</v>
      </c>
      <c r="G123" s="43">
        <v>0.16500000000000001</v>
      </c>
      <c r="H123" s="32" t="s">
        <v>34</v>
      </c>
      <c r="I123" s="32" t="s">
        <v>34</v>
      </c>
      <c r="J123" s="32" t="s">
        <v>34</v>
      </c>
      <c r="K123" s="32" t="s">
        <v>34</v>
      </c>
      <c r="L123" s="32" t="s">
        <v>34</v>
      </c>
      <c r="M123" s="10">
        <v>91</v>
      </c>
      <c r="N123" s="32" t="s">
        <v>43</v>
      </c>
      <c r="O123" s="32">
        <v>0.98750000000000004</v>
      </c>
      <c r="P123" s="32">
        <v>0.58499999999999996</v>
      </c>
      <c r="Q123" s="32">
        <v>0</v>
      </c>
      <c r="R123" s="32" t="s">
        <v>34</v>
      </c>
      <c r="S123" s="36">
        <f t="shared" si="3"/>
        <v>2.1111111111111101E-5</v>
      </c>
      <c r="T123" s="32" t="s">
        <v>36</v>
      </c>
      <c r="U123" s="32" t="s">
        <v>37</v>
      </c>
      <c r="V123" s="32" t="s">
        <v>38</v>
      </c>
      <c r="W123" s="32" t="s">
        <v>34</v>
      </c>
      <c r="X123" s="13">
        <v>0.25</v>
      </c>
      <c r="Y123" s="32">
        <v>1</v>
      </c>
      <c r="Z123" s="32" t="s">
        <v>39</v>
      </c>
      <c r="AA123" s="32" t="s">
        <v>34</v>
      </c>
      <c r="AB123" s="13" t="s">
        <v>34</v>
      </c>
      <c r="AC123" s="32" t="s">
        <v>318</v>
      </c>
      <c r="AD123" s="32" t="s">
        <v>32</v>
      </c>
      <c r="AE123" s="32">
        <v>0.46910000000000002</v>
      </c>
      <c r="AF123" s="44" t="s">
        <v>45</v>
      </c>
      <c r="AG123" s="32">
        <v>2013</v>
      </c>
      <c r="AH123" s="44" t="s">
        <v>46</v>
      </c>
      <c r="AI123" s="99">
        <f t="shared" si="2"/>
        <v>1.1491228070175417</v>
      </c>
    </row>
    <row r="124" spans="1:35" s="10" customFormat="1" x14ac:dyDescent="0.3">
      <c r="A124" s="11">
        <v>1.5331664580725901</v>
      </c>
      <c r="B124" s="45">
        <v>1.48148148148148E-5</v>
      </c>
      <c r="C124" s="33" t="s">
        <v>33</v>
      </c>
      <c r="D124" s="33" t="s">
        <v>35</v>
      </c>
      <c r="E124" s="33" t="s">
        <v>170</v>
      </c>
      <c r="F124" s="33" t="s">
        <v>34</v>
      </c>
      <c r="G124" s="43">
        <v>0.16500000000000001</v>
      </c>
      <c r="H124" s="32" t="s">
        <v>34</v>
      </c>
      <c r="I124" s="32" t="s">
        <v>34</v>
      </c>
      <c r="J124" s="32" t="s">
        <v>34</v>
      </c>
      <c r="K124" s="32" t="s">
        <v>34</v>
      </c>
      <c r="L124" s="32" t="s">
        <v>34</v>
      </c>
      <c r="M124" s="10">
        <v>91</v>
      </c>
      <c r="N124" s="32" t="s">
        <v>43</v>
      </c>
      <c r="O124" s="32">
        <v>0.98750000000000004</v>
      </c>
      <c r="P124" s="32">
        <v>0.58499999999999996</v>
      </c>
      <c r="Q124" s="32">
        <v>0</v>
      </c>
      <c r="R124" s="32" t="s">
        <v>34</v>
      </c>
      <c r="S124" s="36">
        <f t="shared" si="3"/>
        <v>2.1111111111111101E-5</v>
      </c>
      <c r="T124" s="32" t="s">
        <v>36</v>
      </c>
      <c r="U124" s="32" t="s">
        <v>37</v>
      </c>
      <c r="V124" s="32" t="s">
        <v>38</v>
      </c>
      <c r="W124" s="32" t="s">
        <v>34</v>
      </c>
      <c r="X124" s="13">
        <v>0.25</v>
      </c>
      <c r="Y124" s="32">
        <v>1</v>
      </c>
      <c r="Z124" s="32" t="s">
        <v>39</v>
      </c>
      <c r="AA124" s="32" t="s">
        <v>34</v>
      </c>
      <c r="AB124" s="13" t="s">
        <v>34</v>
      </c>
      <c r="AC124" s="32" t="s">
        <v>318</v>
      </c>
      <c r="AD124" s="32" t="s">
        <v>32</v>
      </c>
      <c r="AE124" s="32">
        <v>0.46910000000000002</v>
      </c>
      <c r="AF124" s="44" t="s">
        <v>45</v>
      </c>
      <c r="AG124" s="32">
        <v>2013</v>
      </c>
      <c r="AH124" s="44" t="s">
        <v>46</v>
      </c>
      <c r="AI124" s="99">
        <f t="shared" si="2"/>
        <v>0.70175438596491191</v>
      </c>
    </row>
    <row r="125" spans="1:35" s="10" customFormat="1" x14ac:dyDescent="0.3">
      <c r="A125" s="11">
        <v>2.1464330413016199</v>
      </c>
      <c r="B125" s="45">
        <v>1.57407407407407E-5</v>
      </c>
      <c r="C125" s="33" t="s">
        <v>33</v>
      </c>
      <c r="D125" s="33" t="s">
        <v>35</v>
      </c>
      <c r="E125" s="33" t="s">
        <v>170</v>
      </c>
      <c r="F125" s="33" t="s">
        <v>34</v>
      </c>
      <c r="G125" s="43">
        <v>0.16500000000000001</v>
      </c>
      <c r="H125" s="32" t="s">
        <v>34</v>
      </c>
      <c r="I125" s="32" t="s">
        <v>34</v>
      </c>
      <c r="J125" s="32" t="s">
        <v>34</v>
      </c>
      <c r="K125" s="32" t="s">
        <v>34</v>
      </c>
      <c r="L125" s="32" t="s">
        <v>34</v>
      </c>
      <c r="M125" s="10">
        <v>91</v>
      </c>
      <c r="N125" s="32" t="s">
        <v>43</v>
      </c>
      <c r="O125" s="32">
        <v>0.98750000000000004</v>
      </c>
      <c r="P125" s="32">
        <v>0.58499999999999996</v>
      </c>
      <c r="Q125" s="32">
        <v>0</v>
      </c>
      <c r="R125" s="32" t="s">
        <v>34</v>
      </c>
      <c r="S125" s="36">
        <f t="shared" si="3"/>
        <v>2.1111111111111101E-5</v>
      </c>
      <c r="T125" s="32" t="s">
        <v>36</v>
      </c>
      <c r="U125" s="32" t="s">
        <v>37</v>
      </c>
      <c r="V125" s="32" t="s">
        <v>38</v>
      </c>
      <c r="W125" s="32" t="s">
        <v>34</v>
      </c>
      <c r="X125" s="13">
        <v>0.25</v>
      </c>
      <c r="Y125" s="32">
        <v>1</v>
      </c>
      <c r="Z125" s="32" t="s">
        <v>39</v>
      </c>
      <c r="AA125" s="32" t="s">
        <v>34</v>
      </c>
      <c r="AB125" s="13" t="s">
        <v>34</v>
      </c>
      <c r="AC125" s="32" t="s">
        <v>318</v>
      </c>
      <c r="AD125" s="32" t="s">
        <v>32</v>
      </c>
      <c r="AE125" s="32">
        <v>0.46910000000000002</v>
      </c>
      <c r="AF125" s="44" t="s">
        <v>45</v>
      </c>
      <c r="AG125" s="32">
        <v>2013</v>
      </c>
      <c r="AH125" s="44" t="s">
        <v>46</v>
      </c>
      <c r="AI125" s="99">
        <f t="shared" si="2"/>
        <v>0.74561403508771773</v>
      </c>
    </row>
    <row r="126" spans="1:35" s="10" customFormat="1" x14ac:dyDescent="0.3">
      <c r="A126" s="11">
        <v>2.75344180225281</v>
      </c>
      <c r="B126" s="45">
        <v>1.2777777777777701E-5</v>
      </c>
      <c r="C126" s="33" t="s">
        <v>33</v>
      </c>
      <c r="D126" s="33" t="s">
        <v>35</v>
      </c>
      <c r="E126" s="33" t="s">
        <v>170</v>
      </c>
      <c r="F126" s="33" t="s">
        <v>34</v>
      </c>
      <c r="G126" s="43">
        <v>0.16500000000000001</v>
      </c>
      <c r="H126" s="32" t="s">
        <v>34</v>
      </c>
      <c r="I126" s="32" t="s">
        <v>34</v>
      </c>
      <c r="J126" s="32" t="s">
        <v>34</v>
      </c>
      <c r="K126" s="32" t="s">
        <v>34</v>
      </c>
      <c r="L126" s="32" t="s">
        <v>34</v>
      </c>
      <c r="M126" s="10">
        <v>91</v>
      </c>
      <c r="N126" s="32" t="s">
        <v>43</v>
      </c>
      <c r="O126" s="32">
        <v>0.98750000000000004</v>
      </c>
      <c r="P126" s="32">
        <v>0.58499999999999996</v>
      </c>
      <c r="Q126" s="32">
        <v>0</v>
      </c>
      <c r="R126" s="32" t="s">
        <v>34</v>
      </c>
      <c r="S126" s="36">
        <f t="shared" si="3"/>
        <v>2.1111111111111101E-5</v>
      </c>
      <c r="T126" s="32" t="s">
        <v>36</v>
      </c>
      <c r="U126" s="32" t="s">
        <v>37</v>
      </c>
      <c r="V126" s="32" t="s">
        <v>38</v>
      </c>
      <c r="W126" s="32" t="s">
        <v>34</v>
      </c>
      <c r="X126" s="13">
        <v>0.25</v>
      </c>
      <c r="Y126" s="32">
        <v>1</v>
      </c>
      <c r="Z126" s="32" t="s">
        <v>39</v>
      </c>
      <c r="AA126" s="32" t="s">
        <v>34</v>
      </c>
      <c r="AB126" s="13" t="s">
        <v>34</v>
      </c>
      <c r="AC126" s="32" t="s">
        <v>318</v>
      </c>
      <c r="AD126" s="32" t="s">
        <v>32</v>
      </c>
      <c r="AE126" s="32">
        <v>0.46910000000000002</v>
      </c>
      <c r="AF126" s="44" t="s">
        <v>45</v>
      </c>
      <c r="AG126" s="32">
        <v>2013</v>
      </c>
      <c r="AH126" s="44" t="s">
        <v>46</v>
      </c>
      <c r="AI126" s="99">
        <f t="shared" si="2"/>
        <v>0.60526315789473351</v>
      </c>
    </row>
    <row r="127" spans="1:35" s="10" customFormat="1" x14ac:dyDescent="0.3">
      <c r="A127" s="11">
        <v>3.36670838548185</v>
      </c>
      <c r="B127" s="45">
        <v>1.11111111111111E-5</v>
      </c>
      <c r="C127" s="33" t="s">
        <v>33</v>
      </c>
      <c r="D127" s="33" t="s">
        <v>35</v>
      </c>
      <c r="E127" s="33" t="s">
        <v>170</v>
      </c>
      <c r="F127" s="33" t="s">
        <v>34</v>
      </c>
      <c r="G127" s="43">
        <v>0.16500000000000001</v>
      </c>
      <c r="H127" s="32" t="s">
        <v>34</v>
      </c>
      <c r="I127" s="32" t="s">
        <v>34</v>
      </c>
      <c r="J127" s="32" t="s">
        <v>34</v>
      </c>
      <c r="K127" s="32" t="s">
        <v>34</v>
      </c>
      <c r="L127" s="32" t="s">
        <v>34</v>
      </c>
      <c r="M127" s="10">
        <v>91</v>
      </c>
      <c r="N127" s="32" t="s">
        <v>43</v>
      </c>
      <c r="O127" s="32">
        <v>0.98750000000000004</v>
      </c>
      <c r="P127" s="32">
        <v>0.58499999999999996</v>
      </c>
      <c r="Q127" s="32">
        <v>0</v>
      </c>
      <c r="R127" s="32" t="s">
        <v>34</v>
      </c>
      <c r="S127" s="36">
        <f t="shared" si="3"/>
        <v>2.1111111111111101E-5</v>
      </c>
      <c r="T127" s="32" t="s">
        <v>36</v>
      </c>
      <c r="U127" s="32" t="s">
        <v>37</v>
      </c>
      <c r="V127" s="32" t="s">
        <v>38</v>
      </c>
      <c r="W127" s="32" t="s">
        <v>34</v>
      </c>
      <c r="X127" s="13">
        <v>0.25</v>
      </c>
      <c r="Y127" s="32">
        <v>1</v>
      </c>
      <c r="Z127" s="32" t="s">
        <v>39</v>
      </c>
      <c r="AA127" s="32" t="s">
        <v>34</v>
      </c>
      <c r="AB127" s="13" t="s">
        <v>34</v>
      </c>
      <c r="AC127" s="32" t="s">
        <v>318</v>
      </c>
      <c r="AD127" s="32" t="s">
        <v>32</v>
      </c>
      <c r="AE127" s="32">
        <v>0.46910000000000002</v>
      </c>
      <c r="AF127" s="44" t="s">
        <v>45</v>
      </c>
      <c r="AG127" s="32">
        <v>2013</v>
      </c>
      <c r="AH127" s="44" t="s">
        <v>46</v>
      </c>
      <c r="AI127" s="99">
        <f t="shared" si="2"/>
        <v>0.52631578947368396</v>
      </c>
    </row>
    <row r="128" spans="1:35" s="10" customFormat="1" x14ac:dyDescent="0.3">
      <c r="A128" s="11">
        <v>3.9924906132665798</v>
      </c>
      <c r="B128" s="45">
        <v>1.0370370370370301E-5</v>
      </c>
      <c r="C128" s="33" t="s">
        <v>33</v>
      </c>
      <c r="D128" s="33" t="s">
        <v>35</v>
      </c>
      <c r="E128" s="33" t="s">
        <v>170</v>
      </c>
      <c r="F128" s="33" t="s">
        <v>34</v>
      </c>
      <c r="G128" s="43">
        <v>0.16500000000000001</v>
      </c>
      <c r="H128" s="32" t="s">
        <v>34</v>
      </c>
      <c r="I128" s="32" t="s">
        <v>34</v>
      </c>
      <c r="J128" s="32" t="s">
        <v>34</v>
      </c>
      <c r="K128" s="32" t="s">
        <v>34</v>
      </c>
      <c r="L128" s="32" t="s">
        <v>34</v>
      </c>
      <c r="M128" s="10">
        <v>91</v>
      </c>
      <c r="N128" s="32" t="s">
        <v>43</v>
      </c>
      <c r="O128" s="32">
        <v>0.98750000000000004</v>
      </c>
      <c r="P128" s="32">
        <v>0.58499999999999996</v>
      </c>
      <c r="Q128" s="32">
        <v>0</v>
      </c>
      <c r="R128" s="32" t="s">
        <v>34</v>
      </c>
      <c r="S128" s="36">
        <f t="shared" si="3"/>
        <v>2.1111111111111101E-5</v>
      </c>
      <c r="T128" s="32" t="s">
        <v>36</v>
      </c>
      <c r="U128" s="32" t="s">
        <v>37</v>
      </c>
      <c r="V128" s="32" t="s">
        <v>38</v>
      </c>
      <c r="W128" s="32" t="s">
        <v>34</v>
      </c>
      <c r="X128" s="13">
        <v>0.25</v>
      </c>
      <c r="Y128" s="32">
        <v>1</v>
      </c>
      <c r="Z128" s="32" t="s">
        <v>39</v>
      </c>
      <c r="AA128" s="32" t="s">
        <v>34</v>
      </c>
      <c r="AB128" s="13" t="s">
        <v>34</v>
      </c>
      <c r="AC128" s="32" t="s">
        <v>318</v>
      </c>
      <c r="AD128" s="32" t="s">
        <v>32</v>
      </c>
      <c r="AE128" s="32">
        <v>0.46910000000000002</v>
      </c>
      <c r="AF128" s="44" t="s">
        <v>45</v>
      </c>
      <c r="AG128" s="32">
        <v>2013</v>
      </c>
      <c r="AH128" s="44" t="s">
        <v>46</v>
      </c>
      <c r="AI128" s="99">
        <f t="shared" si="2"/>
        <v>0.49122807017543552</v>
      </c>
    </row>
    <row r="129" spans="1:35" s="10" customFormat="1" x14ac:dyDescent="0.3">
      <c r="A129" s="11">
        <v>4.6120150187734597</v>
      </c>
      <c r="B129" s="45">
        <v>7.0370370370370502E-6</v>
      </c>
      <c r="C129" s="33" t="s">
        <v>33</v>
      </c>
      <c r="D129" s="33" t="s">
        <v>35</v>
      </c>
      <c r="E129" s="33" t="s">
        <v>170</v>
      </c>
      <c r="F129" s="33" t="s">
        <v>34</v>
      </c>
      <c r="G129" s="43">
        <v>0.16500000000000001</v>
      </c>
      <c r="H129" s="32" t="s">
        <v>34</v>
      </c>
      <c r="I129" s="32" t="s">
        <v>34</v>
      </c>
      <c r="J129" s="32" t="s">
        <v>34</v>
      </c>
      <c r="K129" s="32" t="s">
        <v>34</v>
      </c>
      <c r="L129" s="32" t="s">
        <v>34</v>
      </c>
      <c r="M129" s="10">
        <v>91</v>
      </c>
      <c r="N129" s="32" t="s">
        <v>43</v>
      </c>
      <c r="O129" s="32">
        <v>0.98750000000000004</v>
      </c>
      <c r="P129" s="32">
        <v>0.58499999999999996</v>
      </c>
      <c r="Q129" s="32">
        <v>0</v>
      </c>
      <c r="R129" s="32" t="s">
        <v>34</v>
      </c>
      <c r="S129" s="36">
        <f t="shared" si="3"/>
        <v>2.1111111111111101E-5</v>
      </c>
      <c r="T129" s="32" t="s">
        <v>36</v>
      </c>
      <c r="U129" s="32" t="s">
        <v>37</v>
      </c>
      <c r="V129" s="32" t="s">
        <v>38</v>
      </c>
      <c r="W129" s="32" t="s">
        <v>34</v>
      </c>
      <c r="X129" s="13">
        <v>0.25</v>
      </c>
      <c r="Y129" s="32">
        <v>1</v>
      </c>
      <c r="Z129" s="32" t="s">
        <v>39</v>
      </c>
      <c r="AA129" s="32" t="s">
        <v>34</v>
      </c>
      <c r="AB129" s="13" t="s">
        <v>34</v>
      </c>
      <c r="AC129" s="32" t="s">
        <v>318</v>
      </c>
      <c r="AD129" s="32" t="s">
        <v>32</v>
      </c>
      <c r="AE129" s="32">
        <v>0.46910000000000002</v>
      </c>
      <c r="AF129" s="44" t="s">
        <v>45</v>
      </c>
      <c r="AG129" s="32">
        <v>2013</v>
      </c>
      <c r="AH129" s="44" t="s">
        <v>46</v>
      </c>
      <c r="AI129" s="99">
        <f t="shared" si="2"/>
        <v>0.33333333333333415</v>
      </c>
    </row>
    <row r="130" spans="1:35" s="10" customFormat="1" x14ac:dyDescent="0.3">
      <c r="A130" s="11">
        <v>5.2252816020025001</v>
      </c>
      <c r="B130" s="45">
        <v>7.59259259259262E-6</v>
      </c>
      <c r="C130" s="33" t="s">
        <v>33</v>
      </c>
      <c r="D130" s="33" t="s">
        <v>35</v>
      </c>
      <c r="E130" s="33" t="s">
        <v>170</v>
      </c>
      <c r="F130" s="33" t="s">
        <v>34</v>
      </c>
      <c r="G130" s="43">
        <v>0.16500000000000001</v>
      </c>
      <c r="H130" s="32" t="s">
        <v>34</v>
      </c>
      <c r="I130" s="32" t="s">
        <v>34</v>
      </c>
      <c r="J130" s="32" t="s">
        <v>34</v>
      </c>
      <c r="K130" s="32" t="s">
        <v>34</v>
      </c>
      <c r="L130" s="32" t="s">
        <v>34</v>
      </c>
      <c r="M130" s="10">
        <v>91</v>
      </c>
      <c r="N130" s="32" t="s">
        <v>43</v>
      </c>
      <c r="O130" s="32">
        <v>0.98750000000000004</v>
      </c>
      <c r="P130" s="32">
        <v>0.58499999999999996</v>
      </c>
      <c r="Q130" s="32">
        <v>0</v>
      </c>
      <c r="R130" s="32" t="s">
        <v>34</v>
      </c>
      <c r="S130" s="36">
        <f t="shared" si="3"/>
        <v>2.1111111111111101E-5</v>
      </c>
      <c r="T130" s="32" t="s">
        <v>36</v>
      </c>
      <c r="U130" s="32" t="s">
        <v>37</v>
      </c>
      <c r="V130" s="32" t="s">
        <v>38</v>
      </c>
      <c r="W130" s="32" t="s">
        <v>34</v>
      </c>
      <c r="X130" s="13">
        <v>0.25</v>
      </c>
      <c r="Y130" s="32">
        <v>1</v>
      </c>
      <c r="Z130" s="32" t="s">
        <v>39</v>
      </c>
      <c r="AA130" s="32" t="s">
        <v>34</v>
      </c>
      <c r="AB130" s="13" t="s">
        <v>34</v>
      </c>
      <c r="AC130" s="32" t="s">
        <v>318</v>
      </c>
      <c r="AD130" s="32" t="s">
        <v>32</v>
      </c>
      <c r="AE130" s="32">
        <v>0.46910000000000002</v>
      </c>
      <c r="AF130" s="44" t="s">
        <v>45</v>
      </c>
      <c r="AG130" s="32">
        <v>2013</v>
      </c>
      <c r="AH130" s="44" t="s">
        <v>46</v>
      </c>
      <c r="AI130" s="99">
        <f t="shared" si="2"/>
        <v>0.35964912280701899</v>
      </c>
    </row>
    <row r="131" spans="1:35" s="10" customFormat="1" x14ac:dyDescent="0.3">
      <c r="A131" s="11">
        <v>5.8260325406758398</v>
      </c>
      <c r="B131" s="45">
        <v>8.8888888888889002E-6</v>
      </c>
      <c r="C131" s="33" t="s">
        <v>33</v>
      </c>
      <c r="D131" s="33" t="s">
        <v>35</v>
      </c>
      <c r="E131" s="33" t="s">
        <v>170</v>
      </c>
      <c r="F131" s="33" t="s">
        <v>34</v>
      </c>
      <c r="G131" s="43">
        <v>0.16500000000000001</v>
      </c>
      <c r="H131" s="32" t="s">
        <v>34</v>
      </c>
      <c r="I131" s="32" t="s">
        <v>34</v>
      </c>
      <c r="J131" s="32" t="s">
        <v>34</v>
      </c>
      <c r="K131" s="32" t="s">
        <v>34</v>
      </c>
      <c r="L131" s="32" t="s">
        <v>34</v>
      </c>
      <c r="M131" s="10">
        <v>91</v>
      </c>
      <c r="N131" s="32" t="s">
        <v>43</v>
      </c>
      <c r="O131" s="32">
        <v>0.98750000000000004</v>
      </c>
      <c r="P131" s="32">
        <v>0.58499999999999996</v>
      </c>
      <c r="Q131" s="32">
        <v>0</v>
      </c>
      <c r="R131" s="32" t="s">
        <v>34</v>
      </c>
      <c r="S131" s="36">
        <f t="shared" si="3"/>
        <v>2.1111111111111101E-5</v>
      </c>
      <c r="T131" s="32" t="s">
        <v>36</v>
      </c>
      <c r="U131" s="32" t="s">
        <v>37</v>
      </c>
      <c r="V131" s="32" t="s">
        <v>38</v>
      </c>
      <c r="W131" s="32" t="s">
        <v>34</v>
      </c>
      <c r="X131" s="13">
        <v>0.25</v>
      </c>
      <c r="Y131" s="32">
        <v>1</v>
      </c>
      <c r="Z131" s="32" t="s">
        <v>39</v>
      </c>
      <c r="AA131" s="32" t="s">
        <v>34</v>
      </c>
      <c r="AB131" s="13" t="s">
        <v>34</v>
      </c>
      <c r="AC131" s="32" t="s">
        <v>318</v>
      </c>
      <c r="AD131" s="32" t="s">
        <v>32</v>
      </c>
      <c r="AE131" s="32">
        <v>0.46910000000000002</v>
      </c>
      <c r="AF131" s="44" t="s">
        <v>45</v>
      </c>
      <c r="AG131" s="32">
        <v>2013</v>
      </c>
      <c r="AH131" s="44" t="s">
        <v>46</v>
      </c>
      <c r="AI131" s="99">
        <f t="shared" ref="AI131:AI194" si="4">B131/S131</f>
        <v>0.42105263157894812</v>
      </c>
    </row>
    <row r="132" spans="1:35" s="10" customFormat="1" x14ac:dyDescent="0.3">
      <c r="A132" s="11">
        <v>6.4518147684605696</v>
      </c>
      <c r="B132" s="45">
        <v>7.7777777777777995E-6</v>
      </c>
      <c r="C132" s="33" t="s">
        <v>33</v>
      </c>
      <c r="D132" s="33" t="s">
        <v>35</v>
      </c>
      <c r="E132" s="33" t="s">
        <v>170</v>
      </c>
      <c r="F132" s="33" t="s">
        <v>34</v>
      </c>
      <c r="G132" s="43">
        <v>0.16500000000000001</v>
      </c>
      <c r="H132" s="32" t="s">
        <v>34</v>
      </c>
      <c r="I132" s="32" t="s">
        <v>34</v>
      </c>
      <c r="J132" s="32" t="s">
        <v>34</v>
      </c>
      <c r="K132" s="32" t="s">
        <v>34</v>
      </c>
      <c r="L132" s="32" t="s">
        <v>34</v>
      </c>
      <c r="M132" s="10">
        <v>91</v>
      </c>
      <c r="N132" s="32" t="s">
        <v>43</v>
      </c>
      <c r="O132" s="32">
        <v>0.98750000000000004</v>
      </c>
      <c r="P132" s="32">
        <v>0.58499999999999996</v>
      </c>
      <c r="Q132" s="32">
        <v>0</v>
      </c>
      <c r="R132" s="32" t="s">
        <v>34</v>
      </c>
      <c r="S132" s="36">
        <f t="shared" ref="S132:S195" si="5">IF(A132=0,B132,S131)</f>
        <v>2.1111111111111101E-5</v>
      </c>
      <c r="T132" s="32" t="s">
        <v>36</v>
      </c>
      <c r="U132" s="32" t="s">
        <v>37</v>
      </c>
      <c r="V132" s="32" t="s">
        <v>38</v>
      </c>
      <c r="W132" s="32" t="s">
        <v>34</v>
      </c>
      <c r="X132" s="13">
        <v>0.25</v>
      </c>
      <c r="Y132" s="32">
        <v>1</v>
      </c>
      <c r="Z132" s="32" t="s">
        <v>39</v>
      </c>
      <c r="AA132" s="32" t="s">
        <v>34</v>
      </c>
      <c r="AB132" s="13" t="s">
        <v>34</v>
      </c>
      <c r="AC132" s="32" t="s">
        <v>318</v>
      </c>
      <c r="AD132" s="32" t="s">
        <v>32</v>
      </c>
      <c r="AE132" s="32">
        <v>0.46910000000000002</v>
      </c>
      <c r="AF132" s="44" t="s">
        <v>45</v>
      </c>
      <c r="AG132" s="32">
        <v>2013</v>
      </c>
      <c r="AH132" s="44" t="s">
        <v>46</v>
      </c>
      <c r="AI132" s="99">
        <f t="shared" si="4"/>
        <v>0.36842105263158015</v>
      </c>
    </row>
    <row r="133" spans="1:35" s="10" customFormat="1" x14ac:dyDescent="0.3">
      <c r="A133" s="11">
        <v>7.0525657071339101</v>
      </c>
      <c r="B133" s="45">
        <v>8.8888888888889002E-6</v>
      </c>
      <c r="C133" s="33" t="s">
        <v>33</v>
      </c>
      <c r="D133" s="33" t="s">
        <v>35</v>
      </c>
      <c r="E133" s="33" t="s">
        <v>170</v>
      </c>
      <c r="F133" s="33" t="s">
        <v>34</v>
      </c>
      <c r="G133" s="43">
        <v>0.16500000000000001</v>
      </c>
      <c r="H133" s="32" t="s">
        <v>34</v>
      </c>
      <c r="I133" s="32" t="s">
        <v>34</v>
      </c>
      <c r="J133" s="32" t="s">
        <v>34</v>
      </c>
      <c r="K133" s="32" t="s">
        <v>34</v>
      </c>
      <c r="L133" s="32" t="s">
        <v>34</v>
      </c>
      <c r="M133" s="10">
        <v>91</v>
      </c>
      <c r="N133" s="32" t="s">
        <v>43</v>
      </c>
      <c r="O133" s="32">
        <v>0.98750000000000004</v>
      </c>
      <c r="P133" s="32">
        <v>0.58499999999999996</v>
      </c>
      <c r="Q133" s="32">
        <v>0</v>
      </c>
      <c r="R133" s="32" t="s">
        <v>34</v>
      </c>
      <c r="S133" s="36">
        <f t="shared" si="5"/>
        <v>2.1111111111111101E-5</v>
      </c>
      <c r="T133" s="32" t="s">
        <v>36</v>
      </c>
      <c r="U133" s="32" t="s">
        <v>37</v>
      </c>
      <c r="V133" s="32" t="s">
        <v>38</v>
      </c>
      <c r="W133" s="32" t="s">
        <v>34</v>
      </c>
      <c r="X133" s="13">
        <v>0.25</v>
      </c>
      <c r="Y133" s="32">
        <v>1</v>
      </c>
      <c r="Z133" s="32" t="s">
        <v>39</v>
      </c>
      <c r="AA133" s="32" t="s">
        <v>34</v>
      </c>
      <c r="AB133" s="13" t="s">
        <v>34</v>
      </c>
      <c r="AC133" s="32" t="s">
        <v>318</v>
      </c>
      <c r="AD133" s="32" t="s">
        <v>32</v>
      </c>
      <c r="AE133" s="32">
        <v>0.46910000000000002</v>
      </c>
      <c r="AF133" s="44" t="s">
        <v>45</v>
      </c>
      <c r="AG133" s="32">
        <v>2013</v>
      </c>
      <c r="AH133" s="44" t="s">
        <v>46</v>
      </c>
      <c r="AI133" s="99">
        <f t="shared" si="4"/>
        <v>0.42105263157894812</v>
      </c>
    </row>
    <row r="134" spans="1:35" s="10" customFormat="1" x14ac:dyDescent="0.3">
      <c r="A134" s="11">
        <v>7.6783479349186399</v>
      </c>
      <c r="B134" s="45">
        <v>3.70370370370373E-6</v>
      </c>
      <c r="C134" s="33" t="s">
        <v>33</v>
      </c>
      <c r="D134" s="33" t="s">
        <v>35</v>
      </c>
      <c r="E134" s="33" t="s">
        <v>170</v>
      </c>
      <c r="F134" s="33" t="s">
        <v>34</v>
      </c>
      <c r="G134" s="43">
        <v>0.16500000000000001</v>
      </c>
      <c r="H134" s="32" t="s">
        <v>34</v>
      </c>
      <c r="I134" s="32" t="s">
        <v>34</v>
      </c>
      <c r="J134" s="32" t="s">
        <v>34</v>
      </c>
      <c r="K134" s="32" t="s">
        <v>34</v>
      </c>
      <c r="L134" s="32" t="s">
        <v>34</v>
      </c>
      <c r="M134" s="10">
        <v>91</v>
      </c>
      <c r="N134" s="32" t="s">
        <v>43</v>
      </c>
      <c r="O134" s="32">
        <v>0.98750000000000004</v>
      </c>
      <c r="P134" s="32">
        <v>0.58499999999999996</v>
      </c>
      <c r="Q134" s="32">
        <v>0</v>
      </c>
      <c r="R134" s="32" t="s">
        <v>34</v>
      </c>
      <c r="S134" s="36">
        <f t="shared" si="5"/>
        <v>2.1111111111111101E-5</v>
      </c>
      <c r="T134" s="32" t="s">
        <v>36</v>
      </c>
      <c r="U134" s="32" t="s">
        <v>37</v>
      </c>
      <c r="V134" s="32" t="s">
        <v>38</v>
      </c>
      <c r="W134" s="32" t="s">
        <v>34</v>
      </c>
      <c r="X134" s="13">
        <v>0.25</v>
      </c>
      <c r="Y134" s="32">
        <v>1</v>
      </c>
      <c r="Z134" s="32" t="s">
        <v>39</v>
      </c>
      <c r="AA134" s="32" t="s">
        <v>34</v>
      </c>
      <c r="AB134" s="13" t="s">
        <v>34</v>
      </c>
      <c r="AC134" s="32" t="s">
        <v>318</v>
      </c>
      <c r="AD134" s="32" t="s">
        <v>32</v>
      </c>
      <c r="AE134" s="32">
        <v>0.46910000000000002</v>
      </c>
      <c r="AF134" s="44" t="s">
        <v>45</v>
      </c>
      <c r="AG134" s="32">
        <v>2013</v>
      </c>
      <c r="AH134" s="44" t="s">
        <v>46</v>
      </c>
      <c r="AI134" s="99">
        <f t="shared" si="4"/>
        <v>0.17543859649122939</v>
      </c>
    </row>
    <row r="135" spans="1:35" s="10" customFormat="1" x14ac:dyDescent="0.3">
      <c r="A135" s="11">
        <v>8.2853566958698295</v>
      </c>
      <c r="B135" s="45">
        <v>2.03703703703704E-6</v>
      </c>
      <c r="C135" s="33" t="s">
        <v>33</v>
      </c>
      <c r="D135" s="33" t="s">
        <v>35</v>
      </c>
      <c r="E135" s="33" t="s">
        <v>170</v>
      </c>
      <c r="F135" s="33" t="s">
        <v>34</v>
      </c>
      <c r="G135" s="43">
        <v>0.16500000000000001</v>
      </c>
      <c r="H135" s="32" t="s">
        <v>34</v>
      </c>
      <c r="I135" s="32" t="s">
        <v>34</v>
      </c>
      <c r="J135" s="32" t="s">
        <v>34</v>
      </c>
      <c r="K135" s="32" t="s">
        <v>34</v>
      </c>
      <c r="L135" s="32" t="s">
        <v>34</v>
      </c>
      <c r="M135" s="10">
        <v>91</v>
      </c>
      <c r="N135" s="32" t="s">
        <v>43</v>
      </c>
      <c r="O135" s="32">
        <v>0.98750000000000004</v>
      </c>
      <c r="P135" s="32">
        <v>0.58499999999999996</v>
      </c>
      <c r="Q135" s="32">
        <v>0</v>
      </c>
      <c r="R135" s="32" t="s">
        <v>34</v>
      </c>
      <c r="S135" s="36">
        <f t="shared" si="5"/>
        <v>2.1111111111111101E-5</v>
      </c>
      <c r="T135" s="32" t="s">
        <v>36</v>
      </c>
      <c r="U135" s="32" t="s">
        <v>37</v>
      </c>
      <c r="V135" s="32" t="s">
        <v>38</v>
      </c>
      <c r="W135" s="32" t="s">
        <v>34</v>
      </c>
      <c r="X135" s="13">
        <v>0.25</v>
      </c>
      <c r="Y135" s="32">
        <v>1</v>
      </c>
      <c r="Z135" s="32" t="s">
        <v>39</v>
      </c>
      <c r="AA135" s="32" t="s">
        <v>34</v>
      </c>
      <c r="AB135" s="13" t="s">
        <v>34</v>
      </c>
      <c r="AC135" s="32" t="s">
        <v>318</v>
      </c>
      <c r="AD135" s="32" t="s">
        <v>32</v>
      </c>
      <c r="AE135" s="32">
        <v>0.46910000000000002</v>
      </c>
      <c r="AF135" s="44" t="s">
        <v>45</v>
      </c>
      <c r="AG135" s="32">
        <v>2013</v>
      </c>
      <c r="AH135" s="44" t="s">
        <v>46</v>
      </c>
      <c r="AI135" s="99">
        <f t="shared" si="4"/>
        <v>9.6491228070175628E-2</v>
      </c>
    </row>
    <row r="136" spans="1:35" s="10" customFormat="1" x14ac:dyDescent="0.3">
      <c r="A136" s="11">
        <v>8.89236545682102</v>
      </c>
      <c r="B136" s="45">
        <v>1.2962962962963001E-6</v>
      </c>
      <c r="C136" s="33" t="s">
        <v>33</v>
      </c>
      <c r="D136" s="33" t="s">
        <v>35</v>
      </c>
      <c r="E136" s="33" t="s">
        <v>170</v>
      </c>
      <c r="F136" s="33" t="s">
        <v>34</v>
      </c>
      <c r="G136" s="43">
        <v>0.16500000000000001</v>
      </c>
      <c r="H136" s="32" t="s">
        <v>34</v>
      </c>
      <c r="I136" s="32" t="s">
        <v>34</v>
      </c>
      <c r="J136" s="32" t="s">
        <v>34</v>
      </c>
      <c r="K136" s="32" t="s">
        <v>34</v>
      </c>
      <c r="L136" s="32" t="s">
        <v>34</v>
      </c>
      <c r="M136" s="10">
        <v>91</v>
      </c>
      <c r="N136" s="32" t="s">
        <v>43</v>
      </c>
      <c r="O136" s="32">
        <v>0.98750000000000004</v>
      </c>
      <c r="P136" s="32">
        <v>0.58499999999999996</v>
      </c>
      <c r="Q136" s="32">
        <v>0</v>
      </c>
      <c r="R136" s="32" t="s">
        <v>34</v>
      </c>
      <c r="S136" s="36">
        <f t="shared" si="5"/>
        <v>2.1111111111111101E-5</v>
      </c>
      <c r="T136" s="32" t="s">
        <v>36</v>
      </c>
      <c r="U136" s="32" t="s">
        <v>37</v>
      </c>
      <c r="V136" s="32" t="s">
        <v>38</v>
      </c>
      <c r="W136" s="32" t="s">
        <v>34</v>
      </c>
      <c r="X136" s="13">
        <v>0.25</v>
      </c>
      <c r="Y136" s="32">
        <v>1</v>
      </c>
      <c r="Z136" s="32" t="s">
        <v>39</v>
      </c>
      <c r="AA136" s="32" t="s">
        <v>34</v>
      </c>
      <c r="AB136" s="13" t="s">
        <v>34</v>
      </c>
      <c r="AC136" s="32" t="s">
        <v>318</v>
      </c>
      <c r="AD136" s="32" t="s">
        <v>32</v>
      </c>
      <c r="AE136" s="32">
        <v>0.46910000000000002</v>
      </c>
      <c r="AF136" s="44" t="s">
        <v>45</v>
      </c>
      <c r="AG136" s="32">
        <v>2013</v>
      </c>
      <c r="AH136" s="44" t="s">
        <v>46</v>
      </c>
      <c r="AI136" s="99">
        <f t="shared" si="4"/>
        <v>6.1403508771930036E-2</v>
      </c>
    </row>
    <row r="137" spans="1:35" s="10" customFormat="1" x14ac:dyDescent="0.3">
      <c r="A137" s="11">
        <v>0.25220680958385899</v>
      </c>
      <c r="B137" s="45">
        <v>6.5250965250965298E-5</v>
      </c>
      <c r="C137" s="33" t="s">
        <v>33</v>
      </c>
      <c r="D137" s="33" t="s">
        <v>35</v>
      </c>
      <c r="E137" s="33" t="s">
        <v>170</v>
      </c>
      <c r="F137" s="33" t="s">
        <v>34</v>
      </c>
      <c r="G137" s="43">
        <v>0.16500000000000001</v>
      </c>
      <c r="H137" s="32" t="s">
        <v>34</v>
      </c>
      <c r="I137" s="32" t="s">
        <v>34</v>
      </c>
      <c r="J137" s="32" t="s">
        <v>34</v>
      </c>
      <c r="K137" s="32" t="s">
        <v>34</v>
      </c>
      <c r="L137" s="32" t="s">
        <v>34</v>
      </c>
      <c r="M137" s="10">
        <v>54</v>
      </c>
      <c r="N137" s="32" t="s">
        <v>43</v>
      </c>
      <c r="O137" s="32">
        <v>0.98750000000000004</v>
      </c>
      <c r="P137" s="32">
        <v>0.58499999999999996</v>
      </c>
      <c r="Q137" s="32">
        <v>0</v>
      </c>
      <c r="R137" s="32" t="s">
        <v>34</v>
      </c>
      <c r="S137" s="36">
        <f t="shared" si="5"/>
        <v>2.1111111111111101E-5</v>
      </c>
      <c r="T137" s="32" t="s">
        <v>36</v>
      </c>
      <c r="U137" s="32" t="s">
        <v>37</v>
      </c>
      <c r="V137" s="32" t="s">
        <v>38</v>
      </c>
      <c r="W137" s="32" t="s">
        <v>34</v>
      </c>
      <c r="X137" s="10">
        <v>0.5</v>
      </c>
      <c r="Y137" s="32">
        <v>1</v>
      </c>
      <c r="Z137" s="32" t="s">
        <v>39</v>
      </c>
      <c r="AA137" s="32" t="s">
        <v>34</v>
      </c>
      <c r="AB137" s="13" t="s">
        <v>34</v>
      </c>
      <c r="AC137" s="32" t="s">
        <v>318</v>
      </c>
      <c r="AD137" s="32" t="s">
        <v>32</v>
      </c>
      <c r="AE137" s="32">
        <v>0.46910000000000002</v>
      </c>
      <c r="AF137" s="44" t="s">
        <v>45</v>
      </c>
      <c r="AG137" s="32">
        <v>2013</v>
      </c>
      <c r="AH137" s="44" t="s">
        <v>46</v>
      </c>
      <c r="AI137" s="99">
        <f t="shared" si="4"/>
        <v>3.0908351960983578</v>
      </c>
    </row>
    <row r="138" spans="1:35" s="10" customFormat="1" x14ac:dyDescent="0.3">
      <c r="A138" s="11">
        <v>0.51071878940731397</v>
      </c>
      <c r="B138" s="45">
        <v>6.6023166023166001E-5</v>
      </c>
      <c r="C138" s="33" t="s">
        <v>33</v>
      </c>
      <c r="D138" s="33" t="s">
        <v>35</v>
      </c>
      <c r="E138" s="33" t="s">
        <v>170</v>
      </c>
      <c r="F138" s="33" t="s">
        <v>34</v>
      </c>
      <c r="G138" s="43">
        <v>0.16500000000000001</v>
      </c>
      <c r="H138" s="32" t="s">
        <v>34</v>
      </c>
      <c r="I138" s="32" t="s">
        <v>34</v>
      </c>
      <c r="J138" s="32" t="s">
        <v>34</v>
      </c>
      <c r="K138" s="32" t="s">
        <v>34</v>
      </c>
      <c r="L138" s="32" t="s">
        <v>34</v>
      </c>
      <c r="M138" s="10">
        <v>54</v>
      </c>
      <c r="N138" s="32" t="s">
        <v>43</v>
      </c>
      <c r="O138" s="32">
        <v>0.98750000000000004</v>
      </c>
      <c r="P138" s="32">
        <v>0.58499999999999996</v>
      </c>
      <c r="Q138" s="32">
        <v>0</v>
      </c>
      <c r="R138" s="32" t="s">
        <v>34</v>
      </c>
      <c r="S138" s="36">
        <f t="shared" si="5"/>
        <v>2.1111111111111101E-5</v>
      </c>
      <c r="T138" s="32" t="s">
        <v>36</v>
      </c>
      <c r="U138" s="32" t="s">
        <v>37</v>
      </c>
      <c r="V138" s="32" t="s">
        <v>38</v>
      </c>
      <c r="W138" s="32" t="s">
        <v>34</v>
      </c>
      <c r="X138" s="10">
        <v>0.5</v>
      </c>
      <c r="Y138" s="32">
        <v>1</v>
      </c>
      <c r="Z138" s="32" t="s">
        <v>39</v>
      </c>
      <c r="AA138" s="32" t="s">
        <v>34</v>
      </c>
      <c r="AB138" s="13" t="s">
        <v>34</v>
      </c>
      <c r="AC138" s="32" t="s">
        <v>318</v>
      </c>
      <c r="AD138" s="32" t="s">
        <v>32</v>
      </c>
      <c r="AE138" s="32">
        <v>0.46910000000000002</v>
      </c>
      <c r="AF138" s="44" t="s">
        <v>45</v>
      </c>
      <c r="AG138" s="32">
        <v>2013</v>
      </c>
      <c r="AH138" s="44" t="s">
        <v>46</v>
      </c>
      <c r="AI138" s="99">
        <f t="shared" si="4"/>
        <v>3.1274131274131278</v>
      </c>
    </row>
    <row r="139" spans="1:35" s="10" customFormat="1" x14ac:dyDescent="0.3">
      <c r="A139" s="11">
        <v>0.76923076923076905</v>
      </c>
      <c r="B139" s="45">
        <v>4.9420849420849398E-5</v>
      </c>
      <c r="C139" s="33" t="s">
        <v>33</v>
      </c>
      <c r="D139" s="33" t="s">
        <v>35</v>
      </c>
      <c r="E139" s="33" t="s">
        <v>170</v>
      </c>
      <c r="F139" s="33" t="s">
        <v>34</v>
      </c>
      <c r="G139" s="43">
        <v>0.16500000000000001</v>
      </c>
      <c r="H139" s="32" t="s">
        <v>34</v>
      </c>
      <c r="I139" s="32" t="s">
        <v>34</v>
      </c>
      <c r="J139" s="32" t="s">
        <v>34</v>
      </c>
      <c r="K139" s="32" t="s">
        <v>34</v>
      </c>
      <c r="L139" s="32" t="s">
        <v>34</v>
      </c>
      <c r="M139" s="10">
        <v>54</v>
      </c>
      <c r="N139" s="32" t="s">
        <v>43</v>
      </c>
      <c r="O139" s="32">
        <v>0.98750000000000004</v>
      </c>
      <c r="P139" s="32">
        <v>0.58499999999999996</v>
      </c>
      <c r="Q139" s="32">
        <v>0</v>
      </c>
      <c r="R139" s="32" t="s">
        <v>34</v>
      </c>
      <c r="S139" s="36">
        <f t="shared" si="5"/>
        <v>2.1111111111111101E-5</v>
      </c>
      <c r="T139" s="32" t="s">
        <v>36</v>
      </c>
      <c r="U139" s="32" t="s">
        <v>37</v>
      </c>
      <c r="V139" s="32" t="s">
        <v>38</v>
      </c>
      <c r="W139" s="32" t="s">
        <v>34</v>
      </c>
      <c r="X139" s="10">
        <v>0.5</v>
      </c>
      <c r="Y139" s="32">
        <v>1</v>
      </c>
      <c r="Z139" s="32" t="s">
        <v>39</v>
      </c>
      <c r="AA139" s="32" t="s">
        <v>34</v>
      </c>
      <c r="AB139" s="13" t="s">
        <v>34</v>
      </c>
      <c r="AC139" s="32" t="s">
        <v>318</v>
      </c>
      <c r="AD139" s="32" t="s">
        <v>32</v>
      </c>
      <c r="AE139" s="32">
        <v>0.46910000000000002</v>
      </c>
      <c r="AF139" s="44" t="s">
        <v>45</v>
      </c>
      <c r="AG139" s="32">
        <v>2013</v>
      </c>
      <c r="AH139" s="44" t="s">
        <v>46</v>
      </c>
      <c r="AI139" s="99">
        <f t="shared" si="4"/>
        <v>2.3409876041454991</v>
      </c>
    </row>
    <row r="140" spans="1:35" s="10" customFormat="1" x14ac:dyDescent="0.3">
      <c r="A140" s="11">
        <v>1.0277427490542199</v>
      </c>
      <c r="B140" s="45">
        <v>4.2277992277992197E-5</v>
      </c>
      <c r="C140" s="33" t="s">
        <v>33</v>
      </c>
      <c r="D140" s="33" t="s">
        <v>35</v>
      </c>
      <c r="E140" s="33" t="s">
        <v>170</v>
      </c>
      <c r="F140" s="33" t="s">
        <v>34</v>
      </c>
      <c r="G140" s="43">
        <v>0.16500000000000001</v>
      </c>
      <c r="H140" s="32" t="s">
        <v>34</v>
      </c>
      <c r="I140" s="32" t="s">
        <v>34</v>
      </c>
      <c r="J140" s="32" t="s">
        <v>34</v>
      </c>
      <c r="K140" s="32" t="s">
        <v>34</v>
      </c>
      <c r="L140" s="32" t="s">
        <v>34</v>
      </c>
      <c r="M140" s="10">
        <v>54</v>
      </c>
      <c r="N140" s="32" t="s">
        <v>43</v>
      </c>
      <c r="O140" s="32">
        <v>0.98750000000000004</v>
      </c>
      <c r="P140" s="32">
        <v>0.58499999999999996</v>
      </c>
      <c r="Q140" s="32">
        <v>0</v>
      </c>
      <c r="R140" s="32" t="s">
        <v>34</v>
      </c>
      <c r="S140" s="36">
        <f t="shared" si="5"/>
        <v>2.1111111111111101E-5</v>
      </c>
      <c r="T140" s="32" t="s">
        <v>36</v>
      </c>
      <c r="U140" s="32" t="s">
        <v>37</v>
      </c>
      <c r="V140" s="32" t="s">
        <v>38</v>
      </c>
      <c r="W140" s="32" t="s">
        <v>34</v>
      </c>
      <c r="X140" s="10">
        <v>0.5</v>
      </c>
      <c r="Y140" s="32">
        <v>1</v>
      </c>
      <c r="Z140" s="32" t="s">
        <v>39</v>
      </c>
      <c r="AA140" s="32" t="s">
        <v>34</v>
      </c>
      <c r="AB140" s="13" t="s">
        <v>34</v>
      </c>
      <c r="AC140" s="32" t="s">
        <v>318</v>
      </c>
      <c r="AD140" s="32" t="s">
        <v>32</v>
      </c>
      <c r="AE140" s="32">
        <v>0.46910000000000002</v>
      </c>
      <c r="AF140" s="44" t="s">
        <v>45</v>
      </c>
      <c r="AG140" s="32">
        <v>2013</v>
      </c>
      <c r="AH140" s="44" t="s">
        <v>46</v>
      </c>
      <c r="AI140" s="99">
        <f t="shared" si="4"/>
        <v>2.0026417394838418</v>
      </c>
    </row>
    <row r="141" spans="1:35" s="10" customFormat="1" x14ac:dyDescent="0.3">
      <c r="A141" s="11">
        <v>1.28625472887767</v>
      </c>
      <c r="B141" s="45">
        <v>3.9382239382239403E-5</v>
      </c>
      <c r="C141" s="33" t="s">
        <v>33</v>
      </c>
      <c r="D141" s="33" t="s">
        <v>35</v>
      </c>
      <c r="E141" s="33" t="s">
        <v>170</v>
      </c>
      <c r="F141" s="33" t="s">
        <v>34</v>
      </c>
      <c r="G141" s="43">
        <v>0.16500000000000001</v>
      </c>
      <c r="H141" s="32" t="s">
        <v>34</v>
      </c>
      <c r="I141" s="32" t="s">
        <v>34</v>
      </c>
      <c r="J141" s="32" t="s">
        <v>34</v>
      </c>
      <c r="K141" s="32" t="s">
        <v>34</v>
      </c>
      <c r="L141" s="32" t="s">
        <v>34</v>
      </c>
      <c r="M141" s="10">
        <v>54</v>
      </c>
      <c r="N141" s="32" t="s">
        <v>43</v>
      </c>
      <c r="O141" s="32">
        <v>0.98750000000000004</v>
      </c>
      <c r="P141" s="32">
        <v>0.58499999999999996</v>
      </c>
      <c r="Q141" s="32">
        <v>0</v>
      </c>
      <c r="R141" s="32" t="s">
        <v>34</v>
      </c>
      <c r="S141" s="36">
        <f t="shared" si="5"/>
        <v>2.1111111111111101E-5</v>
      </c>
      <c r="T141" s="32" t="s">
        <v>36</v>
      </c>
      <c r="U141" s="32" t="s">
        <v>37</v>
      </c>
      <c r="V141" s="32" t="s">
        <v>38</v>
      </c>
      <c r="W141" s="32" t="s">
        <v>34</v>
      </c>
      <c r="X141" s="10">
        <v>0.5</v>
      </c>
      <c r="Y141" s="32">
        <v>1</v>
      </c>
      <c r="Z141" s="32" t="s">
        <v>39</v>
      </c>
      <c r="AA141" s="32" t="s">
        <v>34</v>
      </c>
      <c r="AB141" s="13" t="s">
        <v>34</v>
      </c>
      <c r="AC141" s="32" t="s">
        <v>318</v>
      </c>
      <c r="AD141" s="32" t="s">
        <v>32</v>
      </c>
      <c r="AE141" s="32">
        <v>0.46910000000000002</v>
      </c>
      <c r="AF141" s="44" t="s">
        <v>45</v>
      </c>
      <c r="AG141" s="32">
        <v>2013</v>
      </c>
      <c r="AH141" s="44" t="s">
        <v>46</v>
      </c>
      <c r="AI141" s="99">
        <f t="shared" si="4"/>
        <v>1.8654744970534463</v>
      </c>
    </row>
    <row r="142" spans="1:35" s="10" customFormat="1" x14ac:dyDescent="0.3">
      <c r="A142" s="11">
        <v>1.5384615384615301</v>
      </c>
      <c r="B142" s="45">
        <v>3.7065637065637099E-5</v>
      </c>
      <c r="C142" s="33" t="s">
        <v>33</v>
      </c>
      <c r="D142" s="33" t="s">
        <v>35</v>
      </c>
      <c r="E142" s="33" t="s">
        <v>170</v>
      </c>
      <c r="F142" s="33" t="s">
        <v>34</v>
      </c>
      <c r="G142" s="43">
        <v>0.16500000000000001</v>
      </c>
      <c r="H142" s="32" t="s">
        <v>34</v>
      </c>
      <c r="I142" s="32" t="s">
        <v>34</v>
      </c>
      <c r="J142" s="32" t="s">
        <v>34</v>
      </c>
      <c r="K142" s="32" t="s">
        <v>34</v>
      </c>
      <c r="L142" s="32" t="s">
        <v>34</v>
      </c>
      <c r="M142" s="10">
        <v>54</v>
      </c>
      <c r="N142" s="32" t="s">
        <v>43</v>
      </c>
      <c r="O142" s="32">
        <v>0.98750000000000004</v>
      </c>
      <c r="P142" s="32">
        <v>0.58499999999999996</v>
      </c>
      <c r="Q142" s="32">
        <v>0</v>
      </c>
      <c r="R142" s="32" t="s">
        <v>34</v>
      </c>
      <c r="S142" s="36">
        <f t="shared" si="5"/>
        <v>2.1111111111111101E-5</v>
      </c>
      <c r="T142" s="32" t="s">
        <v>36</v>
      </c>
      <c r="U142" s="32" t="s">
        <v>37</v>
      </c>
      <c r="V142" s="32" t="s">
        <v>38</v>
      </c>
      <c r="W142" s="32" t="s">
        <v>34</v>
      </c>
      <c r="X142" s="10">
        <v>0.5</v>
      </c>
      <c r="Y142" s="32">
        <v>1</v>
      </c>
      <c r="Z142" s="32" t="s">
        <v>39</v>
      </c>
      <c r="AA142" s="32" t="s">
        <v>34</v>
      </c>
      <c r="AB142" s="13" t="s">
        <v>34</v>
      </c>
      <c r="AC142" s="32" t="s">
        <v>318</v>
      </c>
      <c r="AD142" s="32" t="s">
        <v>32</v>
      </c>
      <c r="AE142" s="32">
        <v>0.46910000000000002</v>
      </c>
      <c r="AF142" s="44" t="s">
        <v>45</v>
      </c>
      <c r="AG142" s="32">
        <v>2013</v>
      </c>
      <c r="AH142" s="44" t="s">
        <v>46</v>
      </c>
      <c r="AI142" s="99">
        <f t="shared" si="4"/>
        <v>1.7557407031091266</v>
      </c>
    </row>
    <row r="143" spans="1:35" s="10" customFormat="1" x14ac:dyDescent="0.3">
      <c r="A143" s="11">
        <v>1.79697351828499</v>
      </c>
      <c r="B143" s="45">
        <v>3.7065637065636997E-5</v>
      </c>
      <c r="C143" s="33" t="s">
        <v>33</v>
      </c>
      <c r="D143" s="33" t="s">
        <v>35</v>
      </c>
      <c r="E143" s="33" t="s">
        <v>170</v>
      </c>
      <c r="F143" s="33" t="s">
        <v>34</v>
      </c>
      <c r="G143" s="43">
        <v>0.16500000000000001</v>
      </c>
      <c r="H143" s="32" t="s">
        <v>34</v>
      </c>
      <c r="I143" s="32" t="s">
        <v>34</v>
      </c>
      <c r="J143" s="32" t="s">
        <v>34</v>
      </c>
      <c r="K143" s="32" t="s">
        <v>34</v>
      </c>
      <c r="L143" s="32" t="s">
        <v>34</v>
      </c>
      <c r="M143" s="10">
        <v>54</v>
      </c>
      <c r="N143" s="32" t="s">
        <v>43</v>
      </c>
      <c r="O143" s="32">
        <v>0.98750000000000004</v>
      </c>
      <c r="P143" s="32">
        <v>0.58499999999999996</v>
      </c>
      <c r="Q143" s="32">
        <v>0</v>
      </c>
      <c r="R143" s="32" t="s">
        <v>34</v>
      </c>
      <c r="S143" s="36">
        <f t="shared" si="5"/>
        <v>2.1111111111111101E-5</v>
      </c>
      <c r="T143" s="32" t="s">
        <v>36</v>
      </c>
      <c r="U143" s="32" t="s">
        <v>37</v>
      </c>
      <c r="V143" s="32" t="s">
        <v>38</v>
      </c>
      <c r="W143" s="32" t="s">
        <v>34</v>
      </c>
      <c r="X143" s="10">
        <v>0.5</v>
      </c>
      <c r="Y143" s="32">
        <v>1</v>
      </c>
      <c r="Z143" s="32" t="s">
        <v>39</v>
      </c>
      <c r="AA143" s="32" t="s">
        <v>34</v>
      </c>
      <c r="AB143" s="13" t="s">
        <v>34</v>
      </c>
      <c r="AC143" s="32" t="s">
        <v>318</v>
      </c>
      <c r="AD143" s="32" t="s">
        <v>32</v>
      </c>
      <c r="AE143" s="32">
        <v>0.46910000000000002</v>
      </c>
      <c r="AF143" s="44" t="s">
        <v>45</v>
      </c>
      <c r="AG143" s="32">
        <v>2013</v>
      </c>
      <c r="AH143" s="44" t="s">
        <v>46</v>
      </c>
      <c r="AI143" s="99">
        <f t="shared" si="4"/>
        <v>1.7557407031091219</v>
      </c>
    </row>
    <row r="144" spans="1:35" s="10" customFormat="1" x14ac:dyDescent="0.3">
      <c r="A144" s="11">
        <v>0</v>
      </c>
      <c r="B144" s="45">
        <v>7.4131274131274103E-5</v>
      </c>
      <c r="C144" s="33" t="s">
        <v>33</v>
      </c>
      <c r="D144" s="33" t="s">
        <v>35</v>
      </c>
      <c r="E144" s="33" t="s">
        <v>170</v>
      </c>
      <c r="F144" s="33" t="s">
        <v>34</v>
      </c>
      <c r="G144" s="43">
        <v>0.16500000000000001</v>
      </c>
      <c r="H144" s="32" t="s">
        <v>34</v>
      </c>
      <c r="I144" s="32" t="s">
        <v>34</v>
      </c>
      <c r="J144" s="32" t="s">
        <v>34</v>
      </c>
      <c r="K144" s="32" t="s">
        <v>34</v>
      </c>
      <c r="L144" s="32" t="s">
        <v>34</v>
      </c>
      <c r="M144" s="10">
        <v>67</v>
      </c>
      <c r="N144" s="32" t="s">
        <v>43</v>
      </c>
      <c r="O144" s="32">
        <v>0.98750000000000004</v>
      </c>
      <c r="P144" s="32">
        <v>0.58499999999999996</v>
      </c>
      <c r="Q144" s="32">
        <v>0</v>
      </c>
      <c r="R144" s="32" t="s">
        <v>34</v>
      </c>
      <c r="S144" s="36">
        <f t="shared" si="5"/>
        <v>7.4131274131274103E-5</v>
      </c>
      <c r="T144" s="32" t="s">
        <v>36</v>
      </c>
      <c r="U144" s="32" t="s">
        <v>37</v>
      </c>
      <c r="V144" s="32" t="s">
        <v>38</v>
      </c>
      <c r="W144" s="32" t="s">
        <v>34</v>
      </c>
      <c r="X144" s="10">
        <v>0.5</v>
      </c>
      <c r="Y144" s="32">
        <v>1</v>
      </c>
      <c r="Z144" s="32" t="s">
        <v>39</v>
      </c>
      <c r="AA144" s="32" t="s">
        <v>34</v>
      </c>
      <c r="AB144" s="13" t="s">
        <v>34</v>
      </c>
      <c r="AC144" s="32" t="s">
        <v>318</v>
      </c>
      <c r="AD144" s="32" t="s">
        <v>32</v>
      </c>
      <c r="AE144" s="32">
        <v>0.46910000000000002</v>
      </c>
      <c r="AF144" s="44" t="s">
        <v>45</v>
      </c>
      <c r="AG144" s="32">
        <v>2013</v>
      </c>
      <c r="AH144" s="44" t="s">
        <v>46</v>
      </c>
      <c r="AI144" s="99">
        <f t="shared" si="4"/>
        <v>1</v>
      </c>
    </row>
    <row r="145" spans="1:35" s="10" customFormat="1" x14ac:dyDescent="0.3">
      <c r="A145" s="11">
        <v>0.89533417402269899</v>
      </c>
      <c r="B145" s="45">
        <v>4.9420849420849398E-5</v>
      </c>
      <c r="C145" s="33" t="s">
        <v>33</v>
      </c>
      <c r="D145" s="33" t="s">
        <v>35</v>
      </c>
      <c r="E145" s="33" t="s">
        <v>170</v>
      </c>
      <c r="F145" s="33" t="s">
        <v>34</v>
      </c>
      <c r="G145" s="43">
        <v>0.16500000000000001</v>
      </c>
      <c r="H145" s="32" t="s">
        <v>34</v>
      </c>
      <c r="I145" s="32" t="s">
        <v>34</v>
      </c>
      <c r="J145" s="32" t="s">
        <v>34</v>
      </c>
      <c r="K145" s="32" t="s">
        <v>34</v>
      </c>
      <c r="L145" s="32" t="s">
        <v>34</v>
      </c>
      <c r="M145" s="10">
        <v>67</v>
      </c>
      <c r="N145" s="32" t="s">
        <v>43</v>
      </c>
      <c r="O145" s="32">
        <v>0.98750000000000004</v>
      </c>
      <c r="P145" s="32">
        <v>0.58499999999999996</v>
      </c>
      <c r="Q145" s="32">
        <v>0</v>
      </c>
      <c r="R145" s="32" t="s">
        <v>34</v>
      </c>
      <c r="S145" s="36">
        <f t="shared" si="5"/>
        <v>7.4131274131274103E-5</v>
      </c>
      <c r="T145" s="32" t="s">
        <v>36</v>
      </c>
      <c r="U145" s="32" t="s">
        <v>37</v>
      </c>
      <c r="V145" s="32" t="s">
        <v>38</v>
      </c>
      <c r="W145" s="32" t="s">
        <v>34</v>
      </c>
      <c r="X145" s="10">
        <v>0.5</v>
      </c>
      <c r="Y145" s="32">
        <v>1</v>
      </c>
      <c r="Z145" s="32" t="s">
        <v>39</v>
      </c>
      <c r="AA145" s="32" t="s">
        <v>34</v>
      </c>
      <c r="AB145" s="13" t="s">
        <v>34</v>
      </c>
      <c r="AC145" s="32" t="s">
        <v>318</v>
      </c>
      <c r="AD145" s="32" t="s">
        <v>32</v>
      </c>
      <c r="AE145" s="32">
        <v>0.46910000000000002</v>
      </c>
      <c r="AF145" s="44" t="s">
        <v>45</v>
      </c>
      <c r="AG145" s="32">
        <v>2013</v>
      </c>
      <c r="AH145" s="44" t="s">
        <v>46</v>
      </c>
      <c r="AI145" s="99">
        <f t="shared" si="4"/>
        <v>0.66666666666666663</v>
      </c>
    </row>
    <row r="146" spans="1:35" s="10" customFormat="1" x14ac:dyDescent="0.3">
      <c r="A146" s="11">
        <v>1.79697351828499</v>
      </c>
      <c r="B146" s="45">
        <v>3.1081081081081102E-5</v>
      </c>
      <c r="C146" s="33" t="s">
        <v>33</v>
      </c>
      <c r="D146" s="33" t="s">
        <v>35</v>
      </c>
      <c r="E146" s="33" t="s">
        <v>170</v>
      </c>
      <c r="F146" s="33" t="s">
        <v>34</v>
      </c>
      <c r="G146" s="43">
        <v>0.16500000000000001</v>
      </c>
      <c r="H146" s="32" t="s">
        <v>34</v>
      </c>
      <c r="I146" s="32" t="s">
        <v>34</v>
      </c>
      <c r="J146" s="32" t="s">
        <v>34</v>
      </c>
      <c r="K146" s="32" t="s">
        <v>34</v>
      </c>
      <c r="L146" s="32" t="s">
        <v>34</v>
      </c>
      <c r="M146" s="10">
        <v>67</v>
      </c>
      <c r="N146" s="32" t="s">
        <v>43</v>
      </c>
      <c r="O146" s="32">
        <v>0.98750000000000004</v>
      </c>
      <c r="P146" s="32">
        <v>0.58499999999999996</v>
      </c>
      <c r="Q146" s="32">
        <v>0</v>
      </c>
      <c r="R146" s="32" t="s">
        <v>34</v>
      </c>
      <c r="S146" s="36">
        <f t="shared" si="5"/>
        <v>7.4131274131274103E-5</v>
      </c>
      <c r="T146" s="32" t="s">
        <v>36</v>
      </c>
      <c r="U146" s="32" t="s">
        <v>37</v>
      </c>
      <c r="V146" s="32" t="s">
        <v>38</v>
      </c>
      <c r="W146" s="32" t="s">
        <v>34</v>
      </c>
      <c r="X146" s="10">
        <v>0.5</v>
      </c>
      <c r="Y146" s="32">
        <v>1</v>
      </c>
      <c r="Z146" s="32" t="s">
        <v>39</v>
      </c>
      <c r="AA146" s="32" t="s">
        <v>34</v>
      </c>
      <c r="AB146" s="13" t="s">
        <v>34</v>
      </c>
      <c r="AC146" s="32" t="s">
        <v>318</v>
      </c>
      <c r="AD146" s="32" t="s">
        <v>32</v>
      </c>
      <c r="AE146" s="32">
        <v>0.46910000000000002</v>
      </c>
      <c r="AF146" s="44" t="s">
        <v>45</v>
      </c>
      <c r="AG146" s="32">
        <v>2013</v>
      </c>
      <c r="AH146" s="44" t="s">
        <v>46</v>
      </c>
      <c r="AI146" s="99">
        <f t="shared" si="4"/>
        <v>0.41927083333333376</v>
      </c>
    </row>
    <row r="147" spans="1:35" s="10" customFormat="1" x14ac:dyDescent="0.3">
      <c r="A147" s="11">
        <v>2.6923076923076898</v>
      </c>
      <c r="B147" s="45">
        <v>3.47490347490347E-5</v>
      </c>
      <c r="C147" s="33" t="s">
        <v>33</v>
      </c>
      <c r="D147" s="33" t="s">
        <v>35</v>
      </c>
      <c r="E147" s="33" t="s">
        <v>170</v>
      </c>
      <c r="F147" s="33" t="s">
        <v>34</v>
      </c>
      <c r="G147" s="43">
        <v>0.16500000000000001</v>
      </c>
      <c r="H147" s="32" t="s">
        <v>34</v>
      </c>
      <c r="I147" s="32" t="s">
        <v>34</v>
      </c>
      <c r="J147" s="32" t="s">
        <v>34</v>
      </c>
      <c r="K147" s="32" t="s">
        <v>34</v>
      </c>
      <c r="L147" s="32" t="s">
        <v>34</v>
      </c>
      <c r="M147" s="10">
        <v>67</v>
      </c>
      <c r="N147" s="32" t="s">
        <v>43</v>
      </c>
      <c r="O147" s="32">
        <v>0.98750000000000004</v>
      </c>
      <c r="P147" s="32">
        <v>0.58499999999999996</v>
      </c>
      <c r="Q147" s="32">
        <v>0</v>
      </c>
      <c r="R147" s="32" t="s">
        <v>34</v>
      </c>
      <c r="S147" s="36">
        <f t="shared" si="5"/>
        <v>7.4131274131274103E-5</v>
      </c>
      <c r="T147" s="32" t="s">
        <v>36</v>
      </c>
      <c r="U147" s="32" t="s">
        <v>37</v>
      </c>
      <c r="V147" s="32" t="s">
        <v>38</v>
      </c>
      <c r="W147" s="32" t="s">
        <v>34</v>
      </c>
      <c r="X147" s="10">
        <v>0.5</v>
      </c>
      <c r="Y147" s="32">
        <v>1</v>
      </c>
      <c r="Z147" s="32" t="s">
        <v>39</v>
      </c>
      <c r="AA147" s="32" t="s">
        <v>34</v>
      </c>
      <c r="AB147" s="13" t="s">
        <v>34</v>
      </c>
      <c r="AC147" s="32" t="s">
        <v>318</v>
      </c>
      <c r="AD147" s="32" t="s">
        <v>32</v>
      </c>
      <c r="AE147" s="32">
        <v>0.46910000000000002</v>
      </c>
      <c r="AF147" s="44" t="s">
        <v>45</v>
      </c>
      <c r="AG147" s="32">
        <v>2013</v>
      </c>
      <c r="AH147" s="44" t="s">
        <v>46</v>
      </c>
      <c r="AI147" s="99">
        <f t="shared" si="4"/>
        <v>0.4687499999999995</v>
      </c>
    </row>
    <row r="148" spans="1:35" s="10" customFormat="1" x14ac:dyDescent="0.3">
      <c r="A148" s="11">
        <v>3.58764186633038</v>
      </c>
      <c r="B148" s="45">
        <v>2.8185328185328101E-5</v>
      </c>
      <c r="C148" s="33" t="s">
        <v>33</v>
      </c>
      <c r="D148" s="33" t="s">
        <v>35</v>
      </c>
      <c r="E148" s="33" t="s">
        <v>170</v>
      </c>
      <c r="F148" s="33" t="s">
        <v>34</v>
      </c>
      <c r="G148" s="43">
        <v>0.16500000000000001</v>
      </c>
      <c r="H148" s="32" t="s">
        <v>34</v>
      </c>
      <c r="I148" s="32" t="s">
        <v>34</v>
      </c>
      <c r="J148" s="32" t="s">
        <v>34</v>
      </c>
      <c r="K148" s="32" t="s">
        <v>34</v>
      </c>
      <c r="L148" s="32" t="s">
        <v>34</v>
      </c>
      <c r="M148" s="10">
        <v>67</v>
      </c>
      <c r="N148" s="32" t="s">
        <v>43</v>
      </c>
      <c r="O148" s="32">
        <v>0.98750000000000004</v>
      </c>
      <c r="P148" s="32">
        <v>0.58499999999999996</v>
      </c>
      <c r="Q148" s="32">
        <v>0</v>
      </c>
      <c r="R148" s="32" t="s">
        <v>34</v>
      </c>
      <c r="S148" s="36">
        <f t="shared" si="5"/>
        <v>7.4131274131274103E-5</v>
      </c>
      <c r="T148" s="32" t="s">
        <v>36</v>
      </c>
      <c r="U148" s="32" t="s">
        <v>37</v>
      </c>
      <c r="V148" s="32" t="s">
        <v>38</v>
      </c>
      <c r="W148" s="32" t="s">
        <v>34</v>
      </c>
      <c r="X148" s="10">
        <v>0.5</v>
      </c>
      <c r="Y148" s="32">
        <v>1</v>
      </c>
      <c r="Z148" s="32" t="s">
        <v>39</v>
      </c>
      <c r="AA148" s="32" t="s">
        <v>34</v>
      </c>
      <c r="AB148" s="13" t="s">
        <v>34</v>
      </c>
      <c r="AC148" s="32" t="s">
        <v>318</v>
      </c>
      <c r="AD148" s="32" t="s">
        <v>32</v>
      </c>
      <c r="AE148" s="32">
        <v>0.46910000000000002</v>
      </c>
      <c r="AF148" s="44" t="s">
        <v>45</v>
      </c>
      <c r="AG148" s="32">
        <v>2013</v>
      </c>
      <c r="AH148" s="44" t="s">
        <v>46</v>
      </c>
      <c r="AI148" s="99">
        <f t="shared" si="4"/>
        <v>0.38020833333333232</v>
      </c>
    </row>
    <row r="149" spans="1:35" s="10" customFormat="1" x14ac:dyDescent="0.3">
      <c r="A149" s="11">
        <v>4.4829760403530896</v>
      </c>
      <c r="B149" s="45">
        <v>2.2779922779922698E-5</v>
      </c>
      <c r="C149" s="33" t="s">
        <v>33</v>
      </c>
      <c r="D149" s="33" t="s">
        <v>35</v>
      </c>
      <c r="E149" s="33" t="s">
        <v>170</v>
      </c>
      <c r="F149" s="33" t="s">
        <v>34</v>
      </c>
      <c r="G149" s="43">
        <v>0.16500000000000001</v>
      </c>
      <c r="H149" s="32" t="s">
        <v>34</v>
      </c>
      <c r="I149" s="32" t="s">
        <v>34</v>
      </c>
      <c r="J149" s="32" t="s">
        <v>34</v>
      </c>
      <c r="K149" s="32" t="s">
        <v>34</v>
      </c>
      <c r="L149" s="32" t="s">
        <v>34</v>
      </c>
      <c r="M149" s="10">
        <v>67</v>
      </c>
      <c r="N149" s="32" t="s">
        <v>43</v>
      </c>
      <c r="O149" s="32">
        <v>0.98750000000000004</v>
      </c>
      <c r="P149" s="32">
        <v>0.58499999999999996</v>
      </c>
      <c r="Q149" s="32">
        <v>0</v>
      </c>
      <c r="R149" s="32" t="s">
        <v>34</v>
      </c>
      <c r="S149" s="36">
        <f t="shared" si="5"/>
        <v>7.4131274131274103E-5</v>
      </c>
      <c r="T149" s="32" t="s">
        <v>36</v>
      </c>
      <c r="U149" s="32" t="s">
        <v>37</v>
      </c>
      <c r="V149" s="32" t="s">
        <v>38</v>
      </c>
      <c r="W149" s="32" t="s">
        <v>34</v>
      </c>
      <c r="X149" s="10">
        <v>0.5</v>
      </c>
      <c r="Y149" s="32">
        <v>1</v>
      </c>
      <c r="Z149" s="32" t="s">
        <v>39</v>
      </c>
      <c r="AA149" s="32" t="s">
        <v>34</v>
      </c>
      <c r="AB149" s="13" t="s">
        <v>34</v>
      </c>
      <c r="AC149" s="32" t="s">
        <v>318</v>
      </c>
      <c r="AD149" s="32" t="s">
        <v>32</v>
      </c>
      <c r="AE149" s="32">
        <v>0.46910000000000002</v>
      </c>
      <c r="AF149" s="44" t="s">
        <v>45</v>
      </c>
      <c r="AG149" s="32">
        <v>2013</v>
      </c>
      <c r="AH149" s="44" t="s">
        <v>46</v>
      </c>
      <c r="AI149" s="99">
        <f t="shared" si="4"/>
        <v>0.30729166666666569</v>
      </c>
    </row>
    <row r="150" spans="1:35" s="10" customFormat="1" x14ac:dyDescent="0.3">
      <c r="A150" s="11">
        <v>5.3846153846153797</v>
      </c>
      <c r="B150" s="45">
        <v>2.2393822393822401E-5</v>
      </c>
      <c r="C150" s="33" t="s">
        <v>33</v>
      </c>
      <c r="D150" s="33" t="s">
        <v>35</v>
      </c>
      <c r="E150" s="33" t="s">
        <v>170</v>
      </c>
      <c r="F150" s="33" t="s">
        <v>34</v>
      </c>
      <c r="G150" s="43">
        <v>0.16500000000000001</v>
      </c>
      <c r="H150" s="32" t="s">
        <v>34</v>
      </c>
      <c r="I150" s="32" t="s">
        <v>34</v>
      </c>
      <c r="J150" s="32" t="s">
        <v>34</v>
      </c>
      <c r="K150" s="32" t="s">
        <v>34</v>
      </c>
      <c r="L150" s="32" t="s">
        <v>34</v>
      </c>
      <c r="M150" s="10">
        <v>67</v>
      </c>
      <c r="N150" s="32" t="s">
        <v>43</v>
      </c>
      <c r="O150" s="32">
        <v>0.98750000000000004</v>
      </c>
      <c r="P150" s="32">
        <v>0.58499999999999996</v>
      </c>
      <c r="Q150" s="32">
        <v>0</v>
      </c>
      <c r="R150" s="32" t="s">
        <v>34</v>
      </c>
      <c r="S150" s="36">
        <f t="shared" si="5"/>
        <v>7.4131274131274103E-5</v>
      </c>
      <c r="T150" s="32" t="s">
        <v>36</v>
      </c>
      <c r="U150" s="32" t="s">
        <v>37</v>
      </c>
      <c r="V150" s="32" t="s">
        <v>38</v>
      </c>
      <c r="W150" s="32" t="s">
        <v>34</v>
      </c>
      <c r="X150" s="10">
        <v>0.5</v>
      </c>
      <c r="Y150" s="32">
        <v>1</v>
      </c>
      <c r="Z150" s="32" t="s">
        <v>39</v>
      </c>
      <c r="AA150" s="32" t="s">
        <v>34</v>
      </c>
      <c r="AB150" s="13" t="s">
        <v>34</v>
      </c>
      <c r="AC150" s="32" t="s">
        <v>318</v>
      </c>
      <c r="AD150" s="32" t="s">
        <v>32</v>
      </c>
      <c r="AE150" s="32">
        <v>0.46910000000000002</v>
      </c>
      <c r="AF150" s="44" t="s">
        <v>45</v>
      </c>
      <c r="AG150" s="32">
        <v>2013</v>
      </c>
      <c r="AH150" s="44" t="s">
        <v>46</v>
      </c>
      <c r="AI150" s="99">
        <f t="shared" si="4"/>
        <v>0.30208333333333354</v>
      </c>
    </row>
    <row r="151" spans="1:35" s="10" customFormat="1" x14ac:dyDescent="0.3">
      <c r="A151" s="11">
        <v>6.2862547288776698</v>
      </c>
      <c r="B151" s="45">
        <v>2.23938223938223E-5</v>
      </c>
      <c r="C151" s="33" t="s">
        <v>33</v>
      </c>
      <c r="D151" s="33" t="s">
        <v>35</v>
      </c>
      <c r="E151" s="33" t="s">
        <v>170</v>
      </c>
      <c r="F151" s="33" t="s">
        <v>34</v>
      </c>
      <c r="G151" s="43">
        <v>0.16500000000000001</v>
      </c>
      <c r="H151" s="32" t="s">
        <v>34</v>
      </c>
      <c r="I151" s="32" t="s">
        <v>34</v>
      </c>
      <c r="J151" s="32" t="s">
        <v>34</v>
      </c>
      <c r="K151" s="32" t="s">
        <v>34</v>
      </c>
      <c r="L151" s="32" t="s">
        <v>34</v>
      </c>
      <c r="M151" s="10">
        <v>67</v>
      </c>
      <c r="N151" s="32" t="s">
        <v>43</v>
      </c>
      <c r="O151" s="32">
        <v>0.98750000000000004</v>
      </c>
      <c r="P151" s="32">
        <v>0.58499999999999996</v>
      </c>
      <c r="Q151" s="32">
        <v>0</v>
      </c>
      <c r="R151" s="32" t="s">
        <v>34</v>
      </c>
      <c r="S151" s="36">
        <f t="shared" si="5"/>
        <v>7.4131274131274103E-5</v>
      </c>
      <c r="T151" s="32" t="s">
        <v>36</v>
      </c>
      <c r="U151" s="32" t="s">
        <v>37</v>
      </c>
      <c r="V151" s="32" t="s">
        <v>38</v>
      </c>
      <c r="W151" s="32" t="s">
        <v>34</v>
      </c>
      <c r="X151" s="10">
        <v>0.5</v>
      </c>
      <c r="Y151" s="32">
        <v>1</v>
      </c>
      <c r="Z151" s="32" t="s">
        <v>39</v>
      </c>
      <c r="AA151" s="32" t="s">
        <v>34</v>
      </c>
      <c r="AB151" s="13" t="s">
        <v>34</v>
      </c>
      <c r="AC151" s="32" t="s">
        <v>318</v>
      </c>
      <c r="AD151" s="32" t="s">
        <v>32</v>
      </c>
      <c r="AE151" s="32">
        <v>0.46910000000000002</v>
      </c>
      <c r="AF151" s="44" t="s">
        <v>45</v>
      </c>
      <c r="AG151" s="32">
        <v>2013</v>
      </c>
      <c r="AH151" s="44" t="s">
        <v>46</v>
      </c>
      <c r="AI151" s="99">
        <f t="shared" si="4"/>
        <v>0.3020833333333322</v>
      </c>
    </row>
    <row r="152" spans="1:35" s="10" customFormat="1" x14ac:dyDescent="0.3">
      <c r="A152" s="11">
        <v>0.92686002522068101</v>
      </c>
      <c r="B152" s="45">
        <v>1.17760617760618E-5</v>
      </c>
      <c r="C152" s="33" t="s">
        <v>33</v>
      </c>
      <c r="D152" s="33" t="s">
        <v>35</v>
      </c>
      <c r="E152" s="33" t="s">
        <v>170</v>
      </c>
      <c r="F152" s="33" t="s">
        <v>34</v>
      </c>
      <c r="G152" s="43">
        <v>0.16500000000000001</v>
      </c>
      <c r="H152" s="32" t="s">
        <v>34</v>
      </c>
      <c r="I152" s="32" t="s">
        <v>34</v>
      </c>
      <c r="J152" s="32" t="s">
        <v>34</v>
      </c>
      <c r="K152" s="32" t="s">
        <v>34</v>
      </c>
      <c r="L152" s="32" t="s">
        <v>34</v>
      </c>
      <c r="M152" s="10">
        <v>78</v>
      </c>
      <c r="N152" s="32" t="s">
        <v>43</v>
      </c>
      <c r="O152" s="32">
        <v>0.98750000000000004</v>
      </c>
      <c r="P152" s="32">
        <v>0.58499999999999996</v>
      </c>
      <c r="Q152" s="32">
        <v>0</v>
      </c>
      <c r="R152" s="32" t="s">
        <v>34</v>
      </c>
      <c r="S152" s="36">
        <f t="shared" si="5"/>
        <v>7.4131274131274103E-5</v>
      </c>
      <c r="T152" s="32" t="s">
        <v>36</v>
      </c>
      <c r="U152" s="32" t="s">
        <v>37</v>
      </c>
      <c r="V152" s="32" t="s">
        <v>38</v>
      </c>
      <c r="W152" s="32" t="s">
        <v>34</v>
      </c>
      <c r="X152" s="10">
        <v>0.5</v>
      </c>
      <c r="Y152" s="32">
        <v>1</v>
      </c>
      <c r="Z152" s="32" t="s">
        <v>39</v>
      </c>
      <c r="AA152" s="32" t="s">
        <v>34</v>
      </c>
      <c r="AB152" s="13" t="s">
        <v>34</v>
      </c>
      <c r="AC152" s="32" t="s">
        <v>318</v>
      </c>
      <c r="AD152" s="32" t="s">
        <v>32</v>
      </c>
      <c r="AE152" s="32">
        <v>0.46910000000000002</v>
      </c>
      <c r="AF152" s="44" t="s">
        <v>45</v>
      </c>
      <c r="AG152" s="32">
        <v>2013</v>
      </c>
      <c r="AH152" s="44" t="s">
        <v>46</v>
      </c>
      <c r="AI152" s="99">
        <f t="shared" si="4"/>
        <v>0.15885416666666705</v>
      </c>
    </row>
    <row r="153" spans="1:35" s="10" customFormat="1" x14ac:dyDescent="0.3">
      <c r="A153" s="11">
        <v>1.5447667087011301</v>
      </c>
      <c r="B153" s="45">
        <v>1.3706563706563699E-5</v>
      </c>
      <c r="C153" s="33" t="s">
        <v>33</v>
      </c>
      <c r="D153" s="33" t="s">
        <v>35</v>
      </c>
      <c r="E153" s="33" t="s">
        <v>170</v>
      </c>
      <c r="F153" s="33" t="s">
        <v>34</v>
      </c>
      <c r="G153" s="43">
        <v>0.16500000000000001</v>
      </c>
      <c r="H153" s="32" t="s">
        <v>34</v>
      </c>
      <c r="I153" s="32" t="s">
        <v>34</v>
      </c>
      <c r="J153" s="32" t="s">
        <v>34</v>
      </c>
      <c r="K153" s="32" t="s">
        <v>34</v>
      </c>
      <c r="L153" s="32" t="s">
        <v>34</v>
      </c>
      <c r="M153" s="10">
        <v>78</v>
      </c>
      <c r="N153" s="32" t="s">
        <v>43</v>
      </c>
      <c r="O153" s="32">
        <v>0.98750000000000004</v>
      </c>
      <c r="P153" s="32">
        <v>0.58499999999999996</v>
      </c>
      <c r="Q153" s="32">
        <v>0</v>
      </c>
      <c r="R153" s="32" t="s">
        <v>34</v>
      </c>
      <c r="S153" s="36">
        <f t="shared" si="5"/>
        <v>7.4131274131274103E-5</v>
      </c>
      <c r="T153" s="32" t="s">
        <v>36</v>
      </c>
      <c r="U153" s="32" t="s">
        <v>37</v>
      </c>
      <c r="V153" s="32" t="s">
        <v>38</v>
      </c>
      <c r="W153" s="32" t="s">
        <v>34</v>
      </c>
      <c r="X153" s="10">
        <v>0.5</v>
      </c>
      <c r="Y153" s="32">
        <v>1</v>
      </c>
      <c r="Z153" s="32" t="s">
        <v>39</v>
      </c>
      <c r="AA153" s="32" t="s">
        <v>34</v>
      </c>
      <c r="AB153" s="13" t="s">
        <v>34</v>
      </c>
      <c r="AC153" s="32" t="s">
        <v>318</v>
      </c>
      <c r="AD153" s="32" t="s">
        <v>32</v>
      </c>
      <c r="AE153" s="32">
        <v>0.46910000000000002</v>
      </c>
      <c r="AF153" s="44" t="s">
        <v>45</v>
      </c>
      <c r="AG153" s="32">
        <v>2013</v>
      </c>
      <c r="AH153" s="44" t="s">
        <v>46</v>
      </c>
      <c r="AI153" s="99">
        <f t="shared" si="4"/>
        <v>0.18489583333333331</v>
      </c>
    </row>
    <row r="154" spans="1:35" s="10" customFormat="1" x14ac:dyDescent="0.3">
      <c r="A154" s="11">
        <v>2.1626733921815799</v>
      </c>
      <c r="B154" s="45">
        <v>1.2741312741312701E-5</v>
      </c>
      <c r="C154" s="33" t="s">
        <v>33</v>
      </c>
      <c r="D154" s="33" t="s">
        <v>35</v>
      </c>
      <c r="E154" s="33" t="s">
        <v>170</v>
      </c>
      <c r="F154" s="33" t="s">
        <v>34</v>
      </c>
      <c r="G154" s="43">
        <v>0.16500000000000001</v>
      </c>
      <c r="H154" s="32" t="s">
        <v>34</v>
      </c>
      <c r="I154" s="32" t="s">
        <v>34</v>
      </c>
      <c r="J154" s="32" t="s">
        <v>34</v>
      </c>
      <c r="K154" s="32" t="s">
        <v>34</v>
      </c>
      <c r="L154" s="32" t="s">
        <v>34</v>
      </c>
      <c r="M154" s="10">
        <v>78</v>
      </c>
      <c r="N154" s="32" t="s">
        <v>43</v>
      </c>
      <c r="O154" s="32">
        <v>0.98750000000000004</v>
      </c>
      <c r="P154" s="32">
        <v>0.58499999999999996</v>
      </c>
      <c r="Q154" s="32">
        <v>0</v>
      </c>
      <c r="R154" s="32" t="s">
        <v>34</v>
      </c>
      <c r="S154" s="36">
        <f t="shared" si="5"/>
        <v>7.4131274131274103E-5</v>
      </c>
      <c r="T154" s="32" t="s">
        <v>36</v>
      </c>
      <c r="U154" s="32" t="s">
        <v>37</v>
      </c>
      <c r="V154" s="32" t="s">
        <v>38</v>
      </c>
      <c r="W154" s="32" t="s">
        <v>34</v>
      </c>
      <c r="X154" s="10">
        <v>0.5</v>
      </c>
      <c r="Y154" s="32">
        <v>1</v>
      </c>
      <c r="Z154" s="32" t="s">
        <v>39</v>
      </c>
      <c r="AA154" s="32" t="s">
        <v>34</v>
      </c>
      <c r="AB154" s="13" t="s">
        <v>34</v>
      </c>
      <c r="AC154" s="32" t="s">
        <v>318</v>
      </c>
      <c r="AD154" s="32" t="s">
        <v>32</v>
      </c>
      <c r="AE154" s="32">
        <v>0.46910000000000002</v>
      </c>
      <c r="AF154" s="44" t="s">
        <v>45</v>
      </c>
      <c r="AG154" s="32">
        <v>2013</v>
      </c>
      <c r="AH154" s="44" t="s">
        <v>46</v>
      </c>
      <c r="AI154" s="99">
        <f t="shared" si="4"/>
        <v>0.17187499999999953</v>
      </c>
    </row>
    <row r="155" spans="1:35" s="10" customFormat="1" x14ac:dyDescent="0.3">
      <c r="A155" s="11">
        <v>2.79949558638083</v>
      </c>
      <c r="B155" s="45">
        <v>1.04247104247104E-5</v>
      </c>
      <c r="C155" s="33" t="s">
        <v>33</v>
      </c>
      <c r="D155" s="33" t="s">
        <v>35</v>
      </c>
      <c r="E155" s="33" t="s">
        <v>170</v>
      </c>
      <c r="F155" s="33" t="s">
        <v>34</v>
      </c>
      <c r="G155" s="43">
        <v>0.16500000000000001</v>
      </c>
      <c r="H155" s="32" t="s">
        <v>34</v>
      </c>
      <c r="I155" s="32" t="s">
        <v>34</v>
      </c>
      <c r="J155" s="32" t="s">
        <v>34</v>
      </c>
      <c r="K155" s="32" t="s">
        <v>34</v>
      </c>
      <c r="L155" s="32" t="s">
        <v>34</v>
      </c>
      <c r="M155" s="10">
        <v>78</v>
      </c>
      <c r="N155" s="32" t="s">
        <v>43</v>
      </c>
      <c r="O155" s="32">
        <v>0.98750000000000004</v>
      </c>
      <c r="P155" s="32">
        <v>0.58499999999999996</v>
      </c>
      <c r="Q155" s="32">
        <v>0</v>
      </c>
      <c r="R155" s="32" t="s">
        <v>34</v>
      </c>
      <c r="S155" s="36">
        <f t="shared" si="5"/>
        <v>7.4131274131274103E-5</v>
      </c>
      <c r="T155" s="32" t="s">
        <v>36</v>
      </c>
      <c r="U155" s="32" t="s">
        <v>37</v>
      </c>
      <c r="V155" s="32" t="s">
        <v>38</v>
      </c>
      <c r="W155" s="32" t="s">
        <v>34</v>
      </c>
      <c r="X155" s="10">
        <v>0.5</v>
      </c>
      <c r="Y155" s="32">
        <v>1</v>
      </c>
      <c r="Z155" s="32" t="s">
        <v>39</v>
      </c>
      <c r="AA155" s="32" t="s">
        <v>34</v>
      </c>
      <c r="AB155" s="13" t="s">
        <v>34</v>
      </c>
      <c r="AC155" s="32" t="s">
        <v>318</v>
      </c>
      <c r="AD155" s="32" t="s">
        <v>32</v>
      </c>
      <c r="AE155" s="32">
        <v>0.46910000000000002</v>
      </c>
      <c r="AF155" s="44" t="s">
        <v>45</v>
      </c>
      <c r="AG155" s="32">
        <v>2013</v>
      </c>
      <c r="AH155" s="44" t="s">
        <v>46</v>
      </c>
      <c r="AI155" s="99">
        <f t="shared" si="4"/>
        <v>0.14062499999999972</v>
      </c>
    </row>
    <row r="156" spans="1:35" s="10" customFormat="1" x14ac:dyDescent="0.3">
      <c r="A156" s="11">
        <v>3.41740226986128</v>
      </c>
      <c r="B156" s="45">
        <v>9.2664092664092697E-6</v>
      </c>
      <c r="C156" s="33" t="s">
        <v>33</v>
      </c>
      <c r="D156" s="33" t="s">
        <v>35</v>
      </c>
      <c r="E156" s="33" t="s">
        <v>170</v>
      </c>
      <c r="F156" s="33" t="s">
        <v>34</v>
      </c>
      <c r="G156" s="43">
        <v>0.16500000000000001</v>
      </c>
      <c r="H156" s="32" t="s">
        <v>34</v>
      </c>
      <c r="I156" s="32" t="s">
        <v>34</v>
      </c>
      <c r="J156" s="32" t="s">
        <v>34</v>
      </c>
      <c r="K156" s="32" t="s">
        <v>34</v>
      </c>
      <c r="L156" s="32" t="s">
        <v>34</v>
      </c>
      <c r="M156" s="10">
        <v>78</v>
      </c>
      <c r="N156" s="32" t="s">
        <v>43</v>
      </c>
      <c r="O156" s="32">
        <v>0.98750000000000004</v>
      </c>
      <c r="P156" s="32">
        <v>0.58499999999999996</v>
      </c>
      <c r="Q156" s="32">
        <v>0</v>
      </c>
      <c r="R156" s="32" t="s">
        <v>34</v>
      </c>
      <c r="S156" s="36">
        <f t="shared" si="5"/>
        <v>7.4131274131274103E-5</v>
      </c>
      <c r="T156" s="32" t="s">
        <v>36</v>
      </c>
      <c r="U156" s="32" t="s">
        <v>37</v>
      </c>
      <c r="V156" s="32" t="s">
        <v>38</v>
      </c>
      <c r="W156" s="32" t="s">
        <v>34</v>
      </c>
      <c r="X156" s="10">
        <v>0.5</v>
      </c>
      <c r="Y156" s="32">
        <v>1</v>
      </c>
      <c r="Z156" s="32" t="s">
        <v>39</v>
      </c>
      <c r="AA156" s="32" t="s">
        <v>34</v>
      </c>
      <c r="AB156" s="13" t="s">
        <v>34</v>
      </c>
      <c r="AC156" s="32" t="s">
        <v>318</v>
      </c>
      <c r="AD156" s="32" t="s">
        <v>32</v>
      </c>
      <c r="AE156" s="32">
        <v>0.46910000000000002</v>
      </c>
      <c r="AF156" s="44" t="s">
        <v>45</v>
      </c>
      <c r="AG156" s="32">
        <v>2013</v>
      </c>
      <c r="AH156" s="44" t="s">
        <v>46</v>
      </c>
      <c r="AI156" s="99">
        <f t="shared" si="4"/>
        <v>0.12500000000000008</v>
      </c>
    </row>
    <row r="157" spans="1:35" s="10" customFormat="1" x14ac:dyDescent="0.3">
      <c r="A157" s="11">
        <v>4.0290037831021399</v>
      </c>
      <c r="B157" s="45">
        <v>9.8455598455598796E-6</v>
      </c>
      <c r="C157" s="33" t="s">
        <v>33</v>
      </c>
      <c r="D157" s="33" t="s">
        <v>35</v>
      </c>
      <c r="E157" s="33" t="s">
        <v>170</v>
      </c>
      <c r="F157" s="33" t="s">
        <v>34</v>
      </c>
      <c r="G157" s="43">
        <v>0.16500000000000001</v>
      </c>
      <c r="H157" s="32" t="s">
        <v>34</v>
      </c>
      <c r="I157" s="32" t="s">
        <v>34</v>
      </c>
      <c r="J157" s="32" t="s">
        <v>34</v>
      </c>
      <c r="K157" s="32" t="s">
        <v>34</v>
      </c>
      <c r="L157" s="32" t="s">
        <v>34</v>
      </c>
      <c r="M157" s="10">
        <v>78</v>
      </c>
      <c r="N157" s="32" t="s">
        <v>43</v>
      </c>
      <c r="O157" s="32">
        <v>0.98750000000000004</v>
      </c>
      <c r="P157" s="32">
        <v>0.58499999999999996</v>
      </c>
      <c r="Q157" s="32">
        <v>0</v>
      </c>
      <c r="R157" s="32" t="s">
        <v>34</v>
      </c>
      <c r="S157" s="36">
        <f t="shared" si="5"/>
        <v>7.4131274131274103E-5</v>
      </c>
      <c r="T157" s="32" t="s">
        <v>36</v>
      </c>
      <c r="U157" s="32" t="s">
        <v>37</v>
      </c>
      <c r="V157" s="32" t="s">
        <v>38</v>
      </c>
      <c r="W157" s="32" t="s">
        <v>34</v>
      </c>
      <c r="X157" s="10">
        <v>0.5</v>
      </c>
      <c r="Y157" s="32">
        <v>1</v>
      </c>
      <c r="Z157" s="32" t="s">
        <v>39</v>
      </c>
      <c r="AA157" s="32" t="s">
        <v>34</v>
      </c>
      <c r="AB157" s="13" t="s">
        <v>34</v>
      </c>
      <c r="AC157" s="32" t="s">
        <v>318</v>
      </c>
      <c r="AD157" s="32" t="s">
        <v>32</v>
      </c>
      <c r="AE157" s="32">
        <v>0.46910000000000002</v>
      </c>
      <c r="AF157" s="44" t="s">
        <v>45</v>
      </c>
      <c r="AG157" s="32">
        <v>2013</v>
      </c>
      <c r="AH157" s="44" t="s">
        <v>46</v>
      </c>
      <c r="AI157" s="99">
        <f t="shared" si="4"/>
        <v>0.1328125000000005</v>
      </c>
    </row>
    <row r="158" spans="1:35" s="10" customFormat="1" x14ac:dyDescent="0.3">
      <c r="A158" s="11">
        <v>4.65321563682219</v>
      </c>
      <c r="B158" s="45">
        <v>9.0733590733590805E-6</v>
      </c>
      <c r="C158" s="33" t="s">
        <v>33</v>
      </c>
      <c r="D158" s="33" t="s">
        <v>35</v>
      </c>
      <c r="E158" s="33" t="s">
        <v>170</v>
      </c>
      <c r="F158" s="33" t="s">
        <v>34</v>
      </c>
      <c r="G158" s="43">
        <v>0.16500000000000001</v>
      </c>
      <c r="H158" s="32" t="s">
        <v>34</v>
      </c>
      <c r="I158" s="32" t="s">
        <v>34</v>
      </c>
      <c r="J158" s="32" t="s">
        <v>34</v>
      </c>
      <c r="K158" s="32" t="s">
        <v>34</v>
      </c>
      <c r="L158" s="32" t="s">
        <v>34</v>
      </c>
      <c r="M158" s="10">
        <v>78</v>
      </c>
      <c r="N158" s="32" t="s">
        <v>43</v>
      </c>
      <c r="O158" s="32">
        <v>0.98750000000000004</v>
      </c>
      <c r="P158" s="32">
        <v>0.58499999999999996</v>
      </c>
      <c r="Q158" s="32">
        <v>0</v>
      </c>
      <c r="R158" s="32" t="s">
        <v>34</v>
      </c>
      <c r="S158" s="36">
        <f t="shared" si="5"/>
        <v>7.4131274131274103E-5</v>
      </c>
      <c r="T158" s="32" t="s">
        <v>36</v>
      </c>
      <c r="U158" s="32" t="s">
        <v>37</v>
      </c>
      <c r="V158" s="32" t="s">
        <v>38</v>
      </c>
      <c r="W158" s="32" t="s">
        <v>34</v>
      </c>
      <c r="X158" s="10">
        <v>0.5</v>
      </c>
      <c r="Y158" s="32">
        <v>1</v>
      </c>
      <c r="Z158" s="32" t="s">
        <v>39</v>
      </c>
      <c r="AA158" s="32" t="s">
        <v>34</v>
      </c>
      <c r="AB158" s="13" t="s">
        <v>34</v>
      </c>
      <c r="AC158" s="32" t="s">
        <v>318</v>
      </c>
      <c r="AD158" s="32" t="s">
        <v>32</v>
      </c>
      <c r="AE158" s="32">
        <v>0.46910000000000002</v>
      </c>
      <c r="AF158" s="44" t="s">
        <v>45</v>
      </c>
      <c r="AG158" s="32">
        <v>2013</v>
      </c>
      <c r="AH158" s="44" t="s">
        <v>46</v>
      </c>
      <c r="AI158" s="99">
        <f t="shared" si="4"/>
        <v>0.12239583333333348</v>
      </c>
    </row>
    <row r="159" spans="1:35" s="10" customFormat="1" x14ac:dyDescent="0.3">
      <c r="A159" s="11">
        <v>0</v>
      </c>
      <c r="B159" s="45">
        <v>6.5250965250965203E-5</v>
      </c>
      <c r="C159" s="33" t="s">
        <v>33</v>
      </c>
      <c r="D159" s="33" t="s">
        <v>35</v>
      </c>
      <c r="E159" s="33" t="s">
        <v>170</v>
      </c>
      <c r="F159" s="33" t="s">
        <v>34</v>
      </c>
      <c r="G159" s="43">
        <v>0.16500000000000001</v>
      </c>
      <c r="H159" s="32" t="s">
        <v>34</v>
      </c>
      <c r="I159" s="32" t="s">
        <v>34</v>
      </c>
      <c r="J159" s="32" t="s">
        <v>34</v>
      </c>
      <c r="K159" s="32" t="s">
        <v>34</v>
      </c>
      <c r="L159" s="32" t="s">
        <v>34</v>
      </c>
      <c r="M159" s="10">
        <v>81</v>
      </c>
      <c r="N159" s="32" t="s">
        <v>43</v>
      </c>
      <c r="O159" s="32">
        <v>0.98750000000000004</v>
      </c>
      <c r="P159" s="32">
        <v>0.58499999999999996</v>
      </c>
      <c r="Q159" s="32">
        <v>0</v>
      </c>
      <c r="R159" s="32" t="s">
        <v>34</v>
      </c>
      <c r="S159" s="36">
        <f t="shared" si="5"/>
        <v>6.5250965250965203E-5</v>
      </c>
      <c r="T159" s="32" t="s">
        <v>36</v>
      </c>
      <c r="U159" s="32" t="s">
        <v>37</v>
      </c>
      <c r="V159" s="32" t="s">
        <v>38</v>
      </c>
      <c r="W159" s="32" t="s">
        <v>34</v>
      </c>
      <c r="X159" s="10">
        <v>0.5</v>
      </c>
      <c r="Y159" s="32">
        <v>1</v>
      </c>
      <c r="Z159" s="32" t="s">
        <v>39</v>
      </c>
      <c r="AA159" s="32" t="s">
        <v>34</v>
      </c>
      <c r="AB159" s="13" t="s">
        <v>34</v>
      </c>
      <c r="AC159" s="32" t="s">
        <v>318</v>
      </c>
      <c r="AD159" s="32" t="s">
        <v>32</v>
      </c>
      <c r="AE159" s="32">
        <v>0.46910000000000002</v>
      </c>
      <c r="AF159" s="44" t="s">
        <v>45</v>
      </c>
      <c r="AG159" s="32">
        <v>2013</v>
      </c>
      <c r="AH159" s="44" t="s">
        <v>46</v>
      </c>
      <c r="AI159" s="99">
        <f t="shared" si="4"/>
        <v>1</v>
      </c>
    </row>
    <row r="160" spans="1:35" s="10" customFormat="1" x14ac:dyDescent="0.3">
      <c r="A160" s="11">
        <v>1.0214375788146199</v>
      </c>
      <c r="B160" s="45">
        <v>1.7181467181467201E-5</v>
      </c>
      <c r="C160" s="33" t="s">
        <v>33</v>
      </c>
      <c r="D160" s="33" t="s">
        <v>35</v>
      </c>
      <c r="E160" s="33" t="s">
        <v>170</v>
      </c>
      <c r="F160" s="33" t="s">
        <v>34</v>
      </c>
      <c r="G160" s="43">
        <v>0.16500000000000001</v>
      </c>
      <c r="H160" s="32" t="s">
        <v>34</v>
      </c>
      <c r="I160" s="32" t="s">
        <v>34</v>
      </c>
      <c r="J160" s="32" t="s">
        <v>34</v>
      </c>
      <c r="K160" s="32" t="s">
        <v>34</v>
      </c>
      <c r="L160" s="32" t="s">
        <v>34</v>
      </c>
      <c r="M160" s="10">
        <v>81</v>
      </c>
      <c r="N160" s="32" t="s">
        <v>43</v>
      </c>
      <c r="O160" s="32">
        <v>0.98750000000000004</v>
      </c>
      <c r="P160" s="32">
        <v>0.58499999999999996</v>
      </c>
      <c r="Q160" s="32">
        <v>0</v>
      </c>
      <c r="R160" s="32" t="s">
        <v>34</v>
      </c>
      <c r="S160" s="36">
        <f t="shared" si="5"/>
        <v>6.5250965250965203E-5</v>
      </c>
      <c r="T160" s="32" t="s">
        <v>36</v>
      </c>
      <c r="U160" s="32" t="s">
        <v>37</v>
      </c>
      <c r="V160" s="32" t="s">
        <v>38</v>
      </c>
      <c r="W160" s="32" t="s">
        <v>34</v>
      </c>
      <c r="X160" s="10">
        <v>0.5</v>
      </c>
      <c r="Y160" s="32">
        <v>1</v>
      </c>
      <c r="Z160" s="32" t="s">
        <v>39</v>
      </c>
      <c r="AA160" s="32" t="s">
        <v>34</v>
      </c>
      <c r="AB160" s="13" t="s">
        <v>34</v>
      </c>
      <c r="AC160" s="32" t="s">
        <v>318</v>
      </c>
      <c r="AD160" s="32" t="s">
        <v>32</v>
      </c>
      <c r="AE160" s="32">
        <v>0.46910000000000002</v>
      </c>
      <c r="AF160" s="44" t="s">
        <v>45</v>
      </c>
      <c r="AG160" s="32">
        <v>2013</v>
      </c>
      <c r="AH160" s="44" t="s">
        <v>46</v>
      </c>
      <c r="AI160" s="99">
        <f t="shared" si="4"/>
        <v>0.26331360946745613</v>
      </c>
    </row>
    <row r="161" spans="1:35" s="10" customFormat="1" x14ac:dyDescent="0.3">
      <c r="A161" s="11">
        <v>2.0554854981084398</v>
      </c>
      <c r="B161" s="45">
        <v>1.08108108108108E-5</v>
      </c>
      <c r="C161" s="33" t="s">
        <v>33</v>
      </c>
      <c r="D161" s="33" t="s">
        <v>35</v>
      </c>
      <c r="E161" s="33" t="s">
        <v>170</v>
      </c>
      <c r="F161" s="33" t="s">
        <v>34</v>
      </c>
      <c r="G161" s="43">
        <v>0.16500000000000001</v>
      </c>
      <c r="H161" s="32" t="s">
        <v>34</v>
      </c>
      <c r="I161" s="32" t="s">
        <v>34</v>
      </c>
      <c r="J161" s="32" t="s">
        <v>34</v>
      </c>
      <c r="K161" s="32" t="s">
        <v>34</v>
      </c>
      <c r="L161" s="32" t="s">
        <v>34</v>
      </c>
      <c r="M161" s="10">
        <v>81</v>
      </c>
      <c r="N161" s="32" t="s">
        <v>43</v>
      </c>
      <c r="O161" s="32">
        <v>0.98750000000000004</v>
      </c>
      <c r="P161" s="32">
        <v>0.58499999999999996</v>
      </c>
      <c r="Q161" s="32">
        <v>0</v>
      </c>
      <c r="R161" s="32" t="s">
        <v>34</v>
      </c>
      <c r="S161" s="36">
        <f t="shared" si="5"/>
        <v>6.5250965250965203E-5</v>
      </c>
      <c r="T161" s="32" t="s">
        <v>36</v>
      </c>
      <c r="U161" s="32" t="s">
        <v>37</v>
      </c>
      <c r="V161" s="32" t="s">
        <v>38</v>
      </c>
      <c r="W161" s="32" t="s">
        <v>34</v>
      </c>
      <c r="X161" s="10">
        <v>0.5</v>
      </c>
      <c r="Y161" s="32">
        <v>1</v>
      </c>
      <c r="Z161" s="32" t="s">
        <v>39</v>
      </c>
      <c r="AA161" s="32" t="s">
        <v>34</v>
      </c>
      <c r="AB161" s="13" t="s">
        <v>34</v>
      </c>
      <c r="AC161" s="32" t="s">
        <v>318</v>
      </c>
      <c r="AD161" s="32" t="s">
        <v>32</v>
      </c>
      <c r="AE161" s="32">
        <v>0.46910000000000002</v>
      </c>
      <c r="AF161" s="44" t="s">
        <v>45</v>
      </c>
      <c r="AG161" s="32">
        <v>2013</v>
      </c>
      <c r="AH161" s="44" t="s">
        <v>46</v>
      </c>
      <c r="AI161" s="99">
        <f t="shared" si="4"/>
        <v>0.16568047337278102</v>
      </c>
    </row>
    <row r="162" spans="1:35" s="10" customFormat="1" x14ac:dyDescent="0.3">
      <c r="A162" s="11">
        <v>3.07692307692307</v>
      </c>
      <c r="B162" s="45">
        <v>7.7220077220077493E-6</v>
      </c>
      <c r="C162" s="33" t="s">
        <v>33</v>
      </c>
      <c r="D162" s="33" t="s">
        <v>35</v>
      </c>
      <c r="E162" s="33" t="s">
        <v>170</v>
      </c>
      <c r="F162" s="33" t="s">
        <v>34</v>
      </c>
      <c r="G162" s="43">
        <v>0.16500000000000001</v>
      </c>
      <c r="H162" s="32" t="s">
        <v>34</v>
      </c>
      <c r="I162" s="32" t="s">
        <v>34</v>
      </c>
      <c r="J162" s="32" t="s">
        <v>34</v>
      </c>
      <c r="K162" s="32" t="s">
        <v>34</v>
      </c>
      <c r="L162" s="32" t="s">
        <v>34</v>
      </c>
      <c r="M162" s="10">
        <v>81</v>
      </c>
      <c r="N162" s="32" t="s">
        <v>43</v>
      </c>
      <c r="O162" s="32">
        <v>0.98750000000000004</v>
      </c>
      <c r="P162" s="32">
        <v>0.58499999999999996</v>
      </c>
      <c r="Q162" s="32">
        <v>0</v>
      </c>
      <c r="R162" s="32" t="s">
        <v>34</v>
      </c>
      <c r="S162" s="36">
        <f t="shared" si="5"/>
        <v>6.5250965250965203E-5</v>
      </c>
      <c r="T162" s="32" t="s">
        <v>36</v>
      </c>
      <c r="U162" s="32" t="s">
        <v>37</v>
      </c>
      <c r="V162" s="32" t="s">
        <v>38</v>
      </c>
      <c r="W162" s="32" t="s">
        <v>34</v>
      </c>
      <c r="X162" s="10">
        <v>0.5</v>
      </c>
      <c r="Y162" s="32">
        <v>1</v>
      </c>
      <c r="Z162" s="32" t="s">
        <v>39</v>
      </c>
      <c r="AA162" s="32" t="s">
        <v>34</v>
      </c>
      <c r="AB162" s="13" t="s">
        <v>34</v>
      </c>
      <c r="AC162" s="32" t="s">
        <v>318</v>
      </c>
      <c r="AD162" s="32" t="s">
        <v>32</v>
      </c>
      <c r="AE162" s="32">
        <v>0.46910000000000002</v>
      </c>
      <c r="AF162" s="44" t="s">
        <v>45</v>
      </c>
      <c r="AG162" s="32">
        <v>2013</v>
      </c>
      <c r="AH162" s="44" t="s">
        <v>46</v>
      </c>
      <c r="AI162" s="99">
        <f t="shared" si="4"/>
        <v>0.1183431952662727</v>
      </c>
    </row>
    <row r="163" spans="1:35" s="10" customFormat="1" x14ac:dyDescent="0.3">
      <c r="A163" s="11">
        <v>4.1109709962169001</v>
      </c>
      <c r="B163" s="45">
        <v>7.7220077220077306E-6</v>
      </c>
      <c r="C163" s="33" t="s">
        <v>33</v>
      </c>
      <c r="D163" s="33" t="s">
        <v>35</v>
      </c>
      <c r="E163" s="33" t="s">
        <v>170</v>
      </c>
      <c r="F163" s="33" t="s">
        <v>34</v>
      </c>
      <c r="G163" s="43">
        <v>0.16500000000000001</v>
      </c>
      <c r="H163" s="32" t="s">
        <v>34</v>
      </c>
      <c r="I163" s="32" t="s">
        <v>34</v>
      </c>
      <c r="J163" s="32" t="s">
        <v>34</v>
      </c>
      <c r="K163" s="32" t="s">
        <v>34</v>
      </c>
      <c r="L163" s="32" t="s">
        <v>34</v>
      </c>
      <c r="M163" s="10">
        <v>81</v>
      </c>
      <c r="N163" s="32" t="s">
        <v>43</v>
      </c>
      <c r="O163" s="32">
        <v>0.98750000000000004</v>
      </c>
      <c r="P163" s="32">
        <v>0.58499999999999996</v>
      </c>
      <c r="Q163" s="32">
        <v>0</v>
      </c>
      <c r="R163" s="32" t="s">
        <v>34</v>
      </c>
      <c r="S163" s="36">
        <f t="shared" si="5"/>
        <v>6.5250965250965203E-5</v>
      </c>
      <c r="T163" s="32" t="s">
        <v>36</v>
      </c>
      <c r="U163" s="32" t="s">
        <v>37</v>
      </c>
      <c r="V163" s="32" t="s">
        <v>38</v>
      </c>
      <c r="W163" s="32" t="s">
        <v>34</v>
      </c>
      <c r="X163" s="10">
        <v>0.5</v>
      </c>
      <c r="Y163" s="32">
        <v>1</v>
      </c>
      <c r="Z163" s="32" t="s">
        <v>39</v>
      </c>
      <c r="AA163" s="32" t="s">
        <v>34</v>
      </c>
      <c r="AB163" s="13" t="s">
        <v>34</v>
      </c>
      <c r="AC163" s="32" t="s">
        <v>318</v>
      </c>
      <c r="AD163" s="32" t="s">
        <v>32</v>
      </c>
      <c r="AE163" s="32">
        <v>0.46910000000000002</v>
      </c>
      <c r="AF163" s="44" t="s">
        <v>45</v>
      </c>
      <c r="AG163" s="32">
        <v>2013</v>
      </c>
      <c r="AH163" s="44" t="s">
        <v>46</v>
      </c>
      <c r="AI163" s="99">
        <f t="shared" si="4"/>
        <v>0.11834319526627241</v>
      </c>
    </row>
    <row r="164" spans="1:35" s="10" customFormat="1" x14ac:dyDescent="0.3">
      <c r="A164" s="11">
        <v>5.1450189155107102</v>
      </c>
      <c r="B164" s="45">
        <v>8.4942084942085501E-6</v>
      </c>
      <c r="C164" s="33" t="s">
        <v>33</v>
      </c>
      <c r="D164" s="33" t="s">
        <v>35</v>
      </c>
      <c r="E164" s="33" t="s">
        <v>170</v>
      </c>
      <c r="F164" s="33" t="s">
        <v>34</v>
      </c>
      <c r="G164" s="43">
        <v>0.16500000000000001</v>
      </c>
      <c r="H164" s="32" t="s">
        <v>34</v>
      </c>
      <c r="I164" s="32" t="s">
        <v>34</v>
      </c>
      <c r="J164" s="32" t="s">
        <v>34</v>
      </c>
      <c r="K164" s="32" t="s">
        <v>34</v>
      </c>
      <c r="L164" s="32" t="s">
        <v>34</v>
      </c>
      <c r="M164" s="10">
        <v>81</v>
      </c>
      <c r="N164" s="32" t="s">
        <v>43</v>
      </c>
      <c r="O164" s="32">
        <v>0.98750000000000004</v>
      </c>
      <c r="P164" s="32">
        <v>0.58499999999999996</v>
      </c>
      <c r="Q164" s="32">
        <v>0</v>
      </c>
      <c r="R164" s="32" t="s">
        <v>34</v>
      </c>
      <c r="S164" s="36">
        <f t="shared" si="5"/>
        <v>6.5250965250965203E-5</v>
      </c>
      <c r="T164" s="32" t="s">
        <v>36</v>
      </c>
      <c r="U164" s="32" t="s">
        <v>37</v>
      </c>
      <c r="V164" s="32" t="s">
        <v>38</v>
      </c>
      <c r="W164" s="32" t="s">
        <v>34</v>
      </c>
      <c r="X164" s="10">
        <v>0.5</v>
      </c>
      <c r="Y164" s="32">
        <v>1</v>
      </c>
      <c r="Z164" s="32" t="s">
        <v>39</v>
      </c>
      <c r="AA164" s="32" t="s">
        <v>34</v>
      </c>
      <c r="AB164" s="13" t="s">
        <v>34</v>
      </c>
      <c r="AC164" s="32" t="s">
        <v>318</v>
      </c>
      <c r="AD164" s="32" t="s">
        <v>32</v>
      </c>
      <c r="AE164" s="32">
        <v>0.46910000000000002</v>
      </c>
      <c r="AF164" s="44" t="s">
        <v>45</v>
      </c>
      <c r="AG164" s="32">
        <v>2013</v>
      </c>
      <c r="AH164" s="44" t="s">
        <v>46</v>
      </c>
      <c r="AI164" s="99">
        <f t="shared" si="4"/>
        <v>0.13017751479290035</v>
      </c>
    </row>
    <row r="165" spans="1:35" s="10" customFormat="1" x14ac:dyDescent="0.3">
      <c r="A165" s="11">
        <v>6.1664564943253399</v>
      </c>
      <c r="B165" s="45">
        <v>8.1081081081081294E-6</v>
      </c>
      <c r="C165" s="33" t="s">
        <v>33</v>
      </c>
      <c r="D165" s="33" t="s">
        <v>35</v>
      </c>
      <c r="E165" s="33" t="s">
        <v>170</v>
      </c>
      <c r="F165" s="33" t="s">
        <v>34</v>
      </c>
      <c r="G165" s="43">
        <v>0.16500000000000001</v>
      </c>
      <c r="H165" s="32" t="s">
        <v>34</v>
      </c>
      <c r="I165" s="32" t="s">
        <v>34</v>
      </c>
      <c r="J165" s="32" t="s">
        <v>34</v>
      </c>
      <c r="K165" s="32" t="s">
        <v>34</v>
      </c>
      <c r="L165" s="32" t="s">
        <v>34</v>
      </c>
      <c r="M165" s="10">
        <v>81</v>
      </c>
      <c r="N165" s="32" t="s">
        <v>43</v>
      </c>
      <c r="O165" s="32">
        <v>0.98750000000000004</v>
      </c>
      <c r="P165" s="32">
        <v>0.58499999999999996</v>
      </c>
      <c r="Q165" s="32">
        <v>0</v>
      </c>
      <c r="R165" s="32" t="s">
        <v>34</v>
      </c>
      <c r="S165" s="36">
        <f t="shared" si="5"/>
        <v>6.5250965250965203E-5</v>
      </c>
      <c r="T165" s="32" t="s">
        <v>36</v>
      </c>
      <c r="U165" s="32" t="s">
        <v>37</v>
      </c>
      <c r="V165" s="32" t="s">
        <v>38</v>
      </c>
      <c r="W165" s="32" t="s">
        <v>34</v>
      </c>
      <c r="X165" s="10">
        <v>0.5</v>
      </c>
      <c r="Y165" s="32">
        <v>1</v>
      </c>
      <c r="Z165" s="32" t="s">
        <v>39</v>
      </c>
      <c r="AA165" s="32" t="s">
        <v>34</v>
      </c>
      <c r="AB165" s="13" t="s">
        <v>34</v>
      </c>
      <c r="AC165" s="32" t="s">
        <v>318</v>
      </c>
      <c r="AD165" s="32" t="s">
        <v>32</v>
      </c>
      <c r="AE165" s="32">
        <v>0.46910000000000002</v>
      </c>
      <c r="AF165" s="44" t="s">
        <v>45</v>
      </c>
      <c r="AG165" s="32">
        <v>2013</v>
      </c>
      <c r="AH165" s="44" t="s">
        <v>46</v>
      </c>
      <c r="AI165" s="99">
        <f t="shared" si="4"/>
        <v>0.12426035502958621</v>
      </c>
    </row>
    <row r="166" spans="1:35" s="10" customFormat="1" x14ac:dyDescent="0.3">
      <c r="A166" s="11">
        <v>7.2005044136191598</v>
      </c>
      <c r="B166" s="45">
        <v>7.7220077220077306E-6</v>
      </c>
      <c r="C166" s="33" t="s">
        <v>33</v>
      </c>
      <c r="D166" s="33" t="s">
        <v>35</v>
      </c>
      <c r="E166" s="33" t="s">
        <v>170</v>
      </c>
      <c r="F166" s="33" t="s">
        <v>34</v>
      </c>
      <c r="G166" s="43">
        <v>0.16500000000000001</v>
      </c>
      <c r="H166" s="32" t="s">
        <v>34</v>
      </c>
      <c r="I166" s="32" t="s">
        <v>34</v>
      </c>
      <c r="J166" s="32" t="s">
        <v>34</v>
      </c>
      <c r="K166" s="32" t="s">
        <v>34</v>
      </c>
      <c r="L166" s="32" t="s">
        <v>34</v>
      </c>
      <c r="M166" s="10">
        <v>81</v>
      </c>
      <c r="N166" s="32" t="s">
        <v>43</v>
      </c>
      <c r="O166" s="32">
        <v>0.98750000000000004</v>
      </c>
      <c r="P166" s="32">
        <v>0.58499999999999996</v>
      </c>
      <c r="Q166" s="32">
        <v>0</v>
      </c>
      <c r="R166" s="32" t="s">
        <v>34</v>
      </c>
      <c r="S166" s="36">
        <f t="shared" si="5"/>
        <v>6.5250965250965203E-5</v>
      </c>
      <c r="T166" s="32" t="s">
        <v>36</v>
      </c>
      <c r="U166" s="32" t="s">
        <v>37</v>
      </c>
      <c r="V166" s="32" t="s">
        <v>38</v>
      </c>
      <c r="W166" s="32" t="s">
        <v>34</v>
      </c>
      <c r="X166" s="10">
        <v>0.5</v>
      </c>
      <c r="Y166" s="32">
        <v>1</v>
      </c>
      <c r="Z166" s="32" t="s">
        <v>39</v>
      </c>
      <c r="AA166" s="32" t="s">
        <v>34</v>
      </c>
      <c r="AB166" s="13" t="s">
        <v>34</v>
      </c>
      <c r="AC166" s="32" t="s">
        <v>318</v>
      </c>
      <c r="AD166" s="32" t="s">
        <v>32</v>
      </c>
      <c r="AE166" s="32">
        <v>0.46910000000000002</v>
      </c>
      <c r="AF166" s="44" t="s">
        <v>45</v>
      </c>
      <c r="AG166" s="32">
        <v>2013</v>
      </c>
      <c r="AH166" s="44" t="s">
        <v>46</v>
      </c>
      <c r="AI166" s="99">
        <f t="shared" si="4"/>
        <v>0.11834319526627241</v>
      </c>
    </row>
    <row r="167" spans="1:35" s="10" customFormat="1" x14ac:dyDescent="0.3">
      <c r="A167" s="11">
        <v>0</v>
      </c>
      <c r="B167" s="45">
        <v>2.7992277992278E-5</v>
      </c>
      <c r="C167" s="33" t="s">
        <v>33</v>
      </c>
      <c r="D167" s="33" t="s">
        <v>35</v>
      </c>
      <c r="E167" s="33" t="s">
        <v>170</v>
      </c>
      <c r="F167" s="33" t="s">
        <v>34</v>
      </c>
      <c r="G167" s="43">
        <v>0.16500000000000001</v>
      </c>
      <c r="H167" s="32" t="s">
        <v>34</v>
      </c>
      <c r="I167" s="32" t="s">
        <v>34</v>
      </c>
      <c r="J167" s="32" t="s">
        <v>34</v>
      </c>
      <c r="K167" s="32" t="s">
        <v>34</v>
      </c>
      <c r="L167" s="32" t="s">
        <v>34</v>
      </c>
      <c r="M167" s="10">
        <v>100</v>
      </c>
      <c r="N167" s="32" t="s">
        <v>43</v>
      </c>
      <c r="O167" s="32">
        <v>0.98750000000000004</v>
      </c>
      <c r="P167" s="32">
        <v>0.58499999999999996</v>
      </c>
      <c r="Q167" s="32">
        <v>0</v>
      </c>
      <c r="R167" s="32" t="s">
        <v>34</v>
      </c>
      <c r="S167" s="36">
        <f t="shared" si="5"/>
        <v>2.7992277992278E-5</v>
      </c>
      <c r="T167" s="32" t="s">
        <v>36</v>
      </c>
      <c r="U167" s="32" t="s">
        <v>37</v>
      </c>
      <c r="V167" s="32" t="s">
        <v>38</v>
      </c>
      <c r="W167" s="32" t="s">
        <v>34</v>
      </c>
      <c r="X167" s="10">
        <v>0.5</v>
      </c>
      <c r="Y167" s="32">
        <v>1</v>
      </c>
      <c r="Z167" s="32" t="s">
        <v>39</v>
      </c>
      <c r="AA167" s="32" t="s">
        <v>34</v>
      </c>
      <c r="AB167" s="13" t="s">
        <v>34</v>
      </c>
      <c r="AC167" s="32" t="s">
        <v>318</v>
      </c>
      <c r="AD167" s="32" t="s">
        <v>32</v>
      </c>
      <c r="AE167" s="32">
        <v>0.46910000000000002</v>
      </c>
      <c r="AF167" s="44" t="s">
        <v>45</v>
      </c>
      <c r="AG167" s="32">
        <v>2013</v>
      </c>
      <c r="AH167" s="44" t="s">
        <v>46</v>
      </c>
      <c r="AI167" s="99">
        <f t="shared" si="4"/>
        <v>1</v>
      </c>
    </row>
    <row r="168" spans="1:35" s="10" customFormat="1" x14ac:dyDescent="0.3">
      <c r="A168" s="11">
        <v>0.30264817150063</v>
      </c>
      <c r="B168" s="45">
        <v>1.35135135135135E-5</v>
      </c>
      <c r="C168" s="33" t="s">
        <v>33</v>
      </c>
      <c r="D168" s="33" t="s">
        <v>35</v>
      </c>
      <c r="E168" s="33" t="s">
        <v>170</v>
      </c>
      <c r="F168" s="33" t="s">
        <v>34</v>
      </c>
      <c r="G168" s="43">
        <v>0.16500000000000001</v>
      </c>
      <c r="H168" s="32" t="s">
        <v>34</v>
      </c>
      <c r="I168" s="32" t="s">
        <v>34</v>
      </c>
      <c r="J168" s="32" t="s">
        <v>34</v>
      </c>
      <c r="K168" s="32" t="s">
        <v>34</v>
      </c>
      <c r="L168" s="32" t="s">
        <v>34</v>
      </c>
      <c r="M168" s="10">
        <v>100</v>
      </c>
      <c r="N168" s="32" t="s">
        <v>43</v>
      </c>
      <c r="O168" s="32">
        <v>0.98750000000000004</v>
      </c>
      <c r="P168" s="32">
        <v>0.58499999999999996</v>
      </c>
      <c r="Q168" s="32">
        <v>0</v>
      </c>
      <c r="R168" s="32" t="s">
        <v>34</v>
      </c>
      <c r="S168" s="36">
        <f t="shared" si="5"/>
        <v>2.7992277992278E-5</v>
      </c>
      <c r="T168" s="32" t="s">
        <v>36</v>
      </c>
      <c r="U168" s="32" t="s">
        <v>37</v>
      </c>
      <c r="V168" s="32" t="s">
        <v>38</v>
      </c>
      <c r="W168" s="32" t="s">
        <v>34</v>
      </c>
      <c r="X168" s="10">
        <v>0.5</v>
      </c>
      <c r="Y168" s="32">
        <v>1</v>
      </c>
      <c r="Z168" s="32" t="s">
        <v>39</v>
      </c>
      <c r="AA168" s="32" t="s">
        <v>34</v>
      </c>
      <c r="AB168" s="13" t="s">
        <v>34</v>
      </c>
      <c r="AC168" s="32" t="s">
        <v>318</v>
      </c>
      <c r="AD168" s="32" t="s">
        <v>32</v>
      </c>
      <c r="AE168" s="32">
        <v>0.46910000000000002</v>
      </c>
      <c r="AF168" s="44" t="s">
        <v>45</v>
      </c>
      <c r="AG168" s="32">
        <v>2013</v>
      </c>
      <c r="AH168" s="44" t="s">
        <v>46</v>
      </c>
      <c r="AI168" s="99">
        <f t="shared" si="4"/>
        <v>0.48275862068965453</v>
      </c>
    </row>
    <row r="169" spans="1:35" s="10" customFormat="1" x14ac:dyDescent="0.3">
      <c r="A169" s="11">
        <v>0.60529634300126001</v>
      </c>
      <c r="B169" s="45">
        <v>6.9498069498069603E-6</v>
      </c>
      <c r="C169" s="33" t="s">
        <v>33</v>
      </c>
      <c r="D169" s="33" t="s">
        <v>35</v>
      </c>
      <c r="E169" s="33" t="s">
        <v>170</v>
      </c>
      <c r="F169" s="33" t="s">
        <v>34</v>
      </c>
      <c r="G169" s="43">
        <v>0.16500000000000001</v>
      </c>
      <c r="H169" s="32" t="s">
        <v>34</v>
      </c>
      <c r="I169" s="32" t="s">
        <v>34</v>
      </c>
      <c r="J169" s="32" t="s">
        <v>34</v>
      </c>
      <c r="K169" s="32" t="s">
        <v>34</v>
      </c>
      <c r="L169" s="32" t="s">
        <v>34</v>
      </c>
      <c r="M169" s="10">
        <v>100</v>
      </c>
      <c r="N169" s="32" t="s">
        <v>43</v>
      </c>
      <c r="O169" s="32">
        <v>0.98750000000000004</v>
      </c>
      <c r="P169" s="32">
        <v>0.58499999999999996</v>
      </c>
      <c r="Q169" s="32">
        <v>0</v>
      </c>
      <c r="R169" s="32" t="s">
        <v>34</v>
      </c>
      <c r="S169" s="36">
        <f t="shared" si="5"/>
        <v>2.7992277992278E-5</v>
      </c>
      <c r="T169" s="32" t="s">
        <v>36</v>
      </c>
      <c r="U169" s="32" t="s">
        <v>37</v>
      </c>
      <c r="V169" s="32" t="s">
        <v>38</v>
      </c>
      <c r="W169" s="32" t="s">
        <v>34</v>
      </c>
      <c r="X169" s="10">
        <v>0.5</v>
      </c>
      <c r="Y169" s="32">
        <v>1</v>
      </c>
      <c r="Z169" s="32" t="s">
        <v>39</v>
      </c>
      <c r="AA169" s="32" t="s">
        <v>34</v>
      </c>
      <c r="AB169" s="13" t="s">
        <v>34</v>
      </c>
      <c r="AC169" s="32" t="s">
        <v>318</v>
      </c>
      <c r="AD169" s="32" t="s">
        <v>32</v>
      </c>
      <c r="AE169" s="32">
        <v>0.46910000000000002</v>
      </c>
      <c r="AF169" s="44" t="s">
        <v>45</v>
      </c>
      <c r="AG169" s="32">
        <v>2013</v>
      </c>
      <c r="AH169" s="44" t="s">
        <v>46</v>
      </c>
      <c r="AI169" s="99">
        <f t="shared" si="4"/>
        <v>0.24827586206896582</v>
      </c>
    </row>
    <row r="170" spans="1:35" s="10" customFormat="1" x14ac:dyDescent="0.3">
      <c r="A170" s="11">
        <v>0.91424968474148705</v>
      </c>
      <c r="B170" s="45">
        <v>6.3706563706563698E-6</v>
      </c>
      <c r="C170" s="33" t="s">
        <v>33</v>
      </c>
      <c r="D170" s="33" t="s">
        <v>35</v>
      </c>
      <c r="E170" s="33" t="s">
        <v>170</v>
      </c>
      <c r="F170" s="33" t="s">
        <v>34</v>
      </c>
      <c r="G170" s="43">
        <v>0.16500000000000001</v>
      </c>
      <c r="H170" s="32" t="s">
        <v>34</v>
      </c>
      <c r="I170" s="32" t="s">
        <v>34</v>
      </c>
      <c r="J170" s="32" t="s">
        <v>34</v>
      </c>
      <c r="K170" s="32" t="s">
        <v>34</v>
      </c>
      <c r="L170" s="32" t="s">
        <v>34</v>
      </c>
      <c r="M170" s="10">
        <v>100</v>
      </c>
      <c r="N170" s="32" t="s">
        <v>43</v>
      </c>
      <c r="O170" s="32">
        <v>0.98750000000000004</v>
      </c>
      <c r="P170" s="32">
        <v>0.58499999999999996</v>
      </c>
      <c r="Q170" s="32">
        <v>0</v>
      </c>
      <c r="R170" s="32" t="s">
        <v>34</v>
      </c>
      <c r="S170" s="36">
        <f t="shared" si="5"/>
        <v>2.7992277992278E-5</v>
      </c>
      <c r="T170" s="32" t="s">
        <v>36</v>
      </c>
      <c r="U170" s="32" t="s">
        <v>37</v>
      </c>
      <c r="V170" s="32" t="s">
        <v>38</v>
      </c>
      <c r="W170" s="32" t="s">
        <v>34</v>
      </c>
      <c r="X170" s="10">
        <v>0.5</v>
      </c>
      <c r="Y170" s="32">
        <v>1</v>
      </c>
      <c r="Z170" s="32" t="s">
        <v>39</v>
      </c>
      <c r="AA170" s="32" t="s">
        <v>34</v>
      </c>
      <c r="AB170" s="13" t="s">
        <v>34</v>
      </c>
      <c r="AC170" s="32" t="s">
        <v>318</v>
      </c>
      <c r="AD170" s="32" t="s">
        <v>32</v>
      </c>
      <c r="AE170" s="32">
        <v>0.46910000000000002</v>
      </c>
      <c r="AF170" s="44" t="s">
        <v>45</v>
      </c>
      <c r="AG170" s="32">
        <v>2013</v>
      </c>
      <c r="AH170" s="44" t="s">
        <v>46</v>
      </c>
      <c r="AI170" s="99">
        <f t="shared" si="4"/>
        <v>0.22758620689655162</v>
      </c>
    </row>
    <row r="171" spans="1:35" s="10" customFormat="1" x14ac:dyDescent="0.3">
      <c r="A171" s="11">
        <v>1.22320302648171</v>
      </c>
      <c r="B171" s="45">
        <v>9.4594594594594504E-6</v>
      </c>
      <c r="C171" s="33" t="s">
        <v>33</v>
      </c>
      <c r="D171" s="33" t="s">
        <v>35</v>
      </c>
      <c r="E171" s="33" t="s">
        <v>170</v>
      </c>
      <c r="F171" s="33" t="s">
        <v>34</v>
      </c>
      <c r="G171" s="43">
        <v>0.16500000000000001</v>
      </c>
      <c r="H171" s="32" t="s">
        <v>34</v>
      </c>
      <c r="I171" s="32" t="s">
        <v>34</v>
      </c>
      <c r="J171" s="32" t="s">
        <v>34</v>
      </c>
      <c r="K171" s="32" t="s">
        <v>34</v>
      </c>
      <c r="L171" s="32" t="s">
        <v>34</v>
      </c>
      <c r="M171" s="10">
        <v>100</v>
      </c>
      <c r="N171" s="32" t="s">
        <v>43</v>
      </c>
      <c r="O171" s="32">
        <v>0.98750000000000004</v>
      </c>
      <c r="P171" s="32">
        <v>0.58499999999999996</v>
      </c>
      <c r="Q171" s="32">
        <v>0</v>
      </c>
      <c r="R171" s="32" t="s">
        <v>34</v>
      </c>
      <c r="S171" s="36">
        <f t="shared" si="5"/>
        <v>2.7992277992278E-5</v>
      </c>
      <c r="T171" s="32" t="s">
        <v>36</v>
      </c>
      <c r="U171" s="32" t="s">
        <v>37</v>
      </c>
      <c r="V171" s="32" t="s">
        <v>38</v>
      </c>
      <c r="W171" s="32" t="s">
        <v>34</v>
      </c>
      <c r="X171" s="10">
        <v>0.5</v>
      </c>
      <c r="Y171" s="32">
        <v>1</v>
      </c>
      <c r="Z171" s="32" t="s">
        <v>39</v>
      </c>
      <c r="AA171" s="32" t="s">
        <v>34</v>
      </c>
      <c r="AB171" s="13" t="s">
        <v>34</v>
      </c>
      <c r="AC171" s="32" t="s">
        <v>318</v>
      </c>
      <c r="AD171" s="32" t="s">
        <v>32</v>
      </c>
      <c r="AE171" s="32">
        <v>0.46910000000000002</v>
      </c>
      <c r="AF171" s="44" t="s">
        <v>45</v>
      </c>
      <c r="AG171" s="32">
        <v>2013</v>
      </c>
      <c r="AH171" s="44" t="s">
        <v>46</v>
      </c>
      <c r="AI171" s="99">
        <f t="shared" si="4"/>
        <v>0.33793103448275819</v>
      </c>
    </row>
    <row r="172" spans="1:35" s="10" customFormat="1" x14ac:dyDescent="0.3">
      <c r="A172" s="11">
        <v>1.5258511979823399</v>
      </c>
      <c r="B172" s="45">
        <v>9.6525096525096904E-6</v>
      </c>
      <c r="C172" s="33" t="s">
        <v>33</v>
      </c>
      <c r="D172" s="33" t="s">
        <v>35</v>
      </c>
      <c r="E172" s="33" t="s">
        <v>170</v>
      </c>
      <c r="F172" s="33" t="s">
        <v>34</v>
      </c>
      <c r="G172" s="43">
        <v>0.16500000000000001</v>
      </c>
      <c r="H172" s="32" t="s">
        <v>34</v>
      </c>
      <c r="I172" s="32" t="s">
        <v>34</v>
      </c>
      <c r="J172" s="32" t="s">
        <v>34</v>
      </c>
      <c r="K172" s="32" t="s">
        <v>34</v>
      </c>
      <c r="L172" s="32" t="s">
        <v>34</v>
      </c>
      <c r="M172" s="10">
        <v>100</v>
      </c>
      <c r="N172" s="32" t="s">
        <v>43</v>
      </c>
      <c r="O172" s="32">
        <v>0.98750000000000004</v>
      </c>
      <c r="P172" s="32">
        <v>0.58499999999999996</v>
      </c>
      <c r="Q172" s="32">
        <v>0</v>
      </c>
      <c r="R172" s="32" t="s">
        <v>34</v>
      </c>
      <c r="S172" s="36">
        <f t="shared" si="5"/>
        <v>2.7992277992278E-5</v>
      </c>
      <c r="T172" s="32" t="s">
        <v>36</v>
      </c>
      <c r="U172" s="32" t="s">
        <v>37</v>
      </c>
      <c r="V172" s="32" t="s">
        <v>38</v>
      </c>
      <c r="W172" s="32" t="s">
        <v>34</v>
      </c>
      <c r="X172" s="10">
        <v>0.5</v>
      </c>
      <c r="Y172" s="32">
        <v>1</v>
      </c>
      <c r="Z172" s="32" t="s">
        <v>39</v>
      </c>
      <c r="AA172" s="32" t="s">
        <v>34</v>
      </c>
      <c r="AB172" s="13" t="s">
        <v>34</v>
      </c>
      <c r="AC172" s="32" t="s">
        <v>318</v>
      </c>
      <c r="AD172" s="32" t="s">
        <v>32</v>
      </c>
      <c r="AE172" s="32">
        <v>0.46910000000000002</v>
      </c>
      <c r="AF172" s="44" t="s">
        <v>45</v>
      </c>
      <c r="AG172" s="32">
        <v>2013</v>
      </c>
      <c r="AH172" s="44" t="s">
        <v>46</v>
      </c>
      <c r="AI172" s="99">
        <f t="shared" si="4"/>
        <v>0.3448275862068978</v>
      </c>
    </row>
    <row r="173" spans="1:35" s="10" customFormat="1" x14ac:dyDescent="0.3">
      <c r="A173" s="11">
        <v>1.8348045397225701</v>
      </c>
      <c r="B173" s="45">
        <v>7.5289575289575101E-6</v>
      </c>
      <c r="C173" s="33" t="s">
        <v>33</v>
      </c>
      <c r="D173" s="33" t="s">
        <v>35</v>
      </c>
      <c r="E173" s="33" t="s">
        <v>170</v>
      </c>
      <c r="F173" s="33" t="s">
        <v>34</v>
      </c>
      <c r="G173" s="43">
        <v>0.16500000000000001</v>
      </c>
      <c r="H173" s="32" t="s">
        <v>34</v>
      </c>
      <c r="I173" s="32" t="s">
        <v>34</v>
      </c>
      <c r="J173" s="32" t="s">
        <v>34</v>
      </c>
      <c r="K173" s="32" t="s">
        <v>34</v>
      </c>
      <c r="L173" s="32" t="s">
        <v>34</v>
      </c>
      <c r="M173" s="10">
        <v>100</v>
      </c>
      <c r="N173" s="32" t="s">
        <v>43</v>
      </c>
      <c r="O173" s="32">
        <v>0.98750000000000004</v>
      </c>
      <c r="P173" s="32">
        <v>0.58499999999999996</v>
      </c>
      <c r="Q173" s="32">
        <v>0</v>
      </c>
      <c r="R173" s="32" t="s">
        <v>34</v>
      </c>
      <c r="S173" s="36">
        <f t="shared" si="5"/>
        <v>2.7992277992278E-5</v>
      </c>
      <c r="T173" s="32" t="s">
        <v>36</v>
      </c>
      <c r="U173" s="32" t="s">
        <v>37</v>
      </c>
      <c r="V173" s="32" t="s">
        <v>38</v>
      </c>
      <c r="W173" s="32" t="s">
        <v>34</v>
      </c>
      <c r="X173" s="10">
        <v>0.5</v>
      </c>
      <c r="Y173" s="32">
        <v>1</v>
      </c>
      <c r="Z173" s="32" t="s">
        <v>39</v>
      </c>
      <c r="AA173" s="32" t="s">
        <v>34</v>
      </c>
      <c r="AB173" s="13" t="s">
        <v>34</v>
      </c>
      <c r="AC173" s="32" t="s">
        <v>318</v>
      </c>
      <c r="AD173" s="32" t="s">
        <v>32</v>
      </c>
      <c r="AE173" s="32">
        <v>0.46910000000000002</v>
      </c>
      <c r="AF173" s="44" t="s">
        <v>45</v>
      </c>
      <c r="AG173" s="32">
        <v>2013</v>
      </c>
      <c r="AH173" s="44" t="s">
        <v>46</v>
      </c>
      <c r="AI173" s="99">
        <f t="shared" si="4"/>
        <v>0.26896551724137857</v>
      </c>
    </row>
    <row r="174" spans="1:35" s="10" customFormat="1" x14ac:dyDescent="0.3">
      <c r="A174" s="11">
        <v>2.1437578814628</v>
      </c>
      <c r="B174" s="45">
        <v>5.9845559845560499E-6</v>
      </c>
      <c r="C174" s="33" t="s">
        <v>33</v>
      </c>
      <c r="D174" s="33" t="s">
        <v>35</v>
      </c>
      <c r="E174" s="33" t="s">
        <v>170</v>
      </c>
      <c r="F174" s="33" t="s">
        <v>34</v>
      </c>
      <c r="G174" s="43">
        <v>0.16500000000000001</v>
      </c>
      <c r="H174" s="32" t="s">
        <v>34</v>
      </c>
      <c r="I174" s="32" t="s">
        <v>34</v>
      </c>
      <c r="J174" s="32" t="s">
        <v>34</v>
      </c>
      <c r="K174" s="32" t="s">
        <v>34</v>
      </c>
      <c r="L174" s="32" t="s">
        <v>34</v>
      </c>
      <c r="M174" s="10">
        <v>100</v>
      </c>
      <c r="N174" s="32" t="s">
        <v>43</v>
      </c>
      <c r="O174" s="32">
        <v>0.98750000000000004</v>
      </c>
      <c r="P174" s="32">
        <v>0.58499999999999996</v>
      </c>
      <c r="Q174" s="32">
        <v>0</v>
      </c>
      <c r="R174" s="32" t="s">
        <v>34</v>
      </c>
      <c r="S174" s="36">
        <f t="shared" si="5"/>
        <v>2.7992277992278E-5</v>
      </c>
      <c r="T174" s="32" t="s">
        <v>36</v>
      </c>
      <c r="U174" s="32" t="s">
        <v>37</v>
      </c>
      <c r="V174" s="32" t="s">
        <v>38</v>
      </c>
      <c r="W174" s="32" t="s">
        <v>34</v>
      </c>
      <c r="X174" s="10">
        <v>0.5</v>
      </c>
      <c r="Y174" s="32">
        <v>1</v>
      </c>
      <c r="Z174" s="32" t="s">
        <v>39</v>
      </c>
      <c r="AA174" s="32" t="s">
        <v>34</v>
      </c>
      <c r="AB174" s="13" t="s">
        <v>34</v>
      </c>
      <c r="AC174" s="32" t="s">
        <v>318</v>
      </c>
      <c r="AD174" s="32" t="s">
        <v>32</v>
      </c>
      <c r="AE174" s="32">
        <v>0.46910000000000002</v>
      </c>
      <c r="AF174" s="44" t="s">
        <v>45</v>
      </c>
      <c r="AG174" s="32">
        <v>2013</v>
      </c>
      <c r="AH174" s="44" t="s">
        <v>46</v>
      </c>
      <c r="AI174" s="99">
        <f t="shared" si="4"/>
        <v>0.21379310344827815</v>
      </c>
    </row>
    <row r="175" spans="1:35" s="10" customFormat="1" x14ac:dyDescent="0.3">
      <c r="A175" s="11">
        <v>0</v>
      </c>
      <c r="B175" s="45">
        <v>8.6100386100386098E-5</v>
      </c>
      <c r="C175" s="33" t="s">
        <v>33</v>
      </c>
      <c r="D175" s="33" t="s">
        <v>35</v>
      </c>
      <c r="E175" s="33" t="s">
        <v>170</v>
      </c>
      <c r="F175" s="33" t="s">
        <v>34</v>
      </c>
      <c r="G175" s="43">
        <v>0.16500000000000001</v>
      </c>
      <c r="H175" s="32" t="s">
        <v>34</v>
      </c>
      <c r="I175" s="32" t="s">
        <v>34</v>
      </c>
      <c r="J175" s="32" t="s">
        <v>34</v>
      </c>
      <c r="K175" s="32" t="s">
        <v>34</v>
      </c>
      <c r="L175" s="32" t="s">
        <v>34</v>
      </c>
      <c r="M175" s="10">
        <v>100</v>
      </c>
      <c r="N175" s="32" t="s">
        <v>43</v>
      </c>
      <c r="O175" s="32">
        <v>0.98750000000000004</v>
      </c>
      <c r="P175" s="32">
        <v>0.58499999999999996</v>
      </c>
      <c r="Q175" s="32">
        <v>0</v>
      </c>
      <c r="R175" s="32" t="s">
        <v>34</v>
      </c>
      <c r="S175" s="36">
        <f t="shared" si="5"/>
        <v>8.6100386100386098E-5</v>
      </c>
      <c r="T175" s="32" t="s">
        <v>36</v>
      </c>
      <c r="U175" s="32" t="s">
        <v>37</v>
      </c>
      <c r="V175" s="32" t="s">
        <v>38</v>
      </c>
      <c r="W175" s="32" t="s">
        <v>34</v>
      </c>
      <c r="X175" s="10">
        <v>0.5</v>
      </c>
      <c r="Y175" s="32">
        <v>1</v>
      </c>
      <c r="Z175" s="32" t="s">
        <v>39</v>
      </c>
      <c r="AA175" s="32" t="s">
        <v>34</v>
      </c>
      <c r="AB175" s="13" t="s">
        <v>34</v>
      </c>
      <c r="AC175" s="32" t="s">
        <v>318</v>
      </c>
      <c r="AD175" s="32" t="s">
        <v>32</v>
      </c>
      <c r="AE175" s="32">
        <v>0.46910000000000002</v>
      </c>
      <c r="AF175" s="44" t="s">
        <v>45</v>
      </c>
      <c r="AG175" s="32">
        <v>2013</v>
      </c>
      <c r="AH175" s="44" t="s">
        <v>46</v>
      </c>
      <c r="AI175" s="99">
        <f t="shared" si="4"/>
        <v>1</v>
      </c>
    </row>
    <row r="176" spans="1:35" s="10" customFormat="1" x14ac:dyDescent="0.3">
      <c r="A176" s="11">
        <v>6.3051702395964596E-2</v>
      </c>
      <c r="B176" s="45">
        <v>8.6293436293436297E-5</v>
      </c>
      <c r="C176" s="33" t="s">
        <v>33</v>
      </c>
      <c r="D176" s="33" t="s">
        <v>35</v>
      </c>
      <c r="E176" s="33" t="s">
        <v>170</v>
      </c>
      <c r="F176" s="33" t="s">
        <v>34</v>
      </c>
      <c r="G176" s="43">
        <v>0.16500000000000001</v>
      </c>
      <c r="H176" s="32" t="s">
        <v>34</v>
      </c>
      <c r="I176" s="32" t="s">
        <v>34</v>
      </c>
      <c r="J176" s="32" t="s">
        <v>34</v>
      </c>
      <c r="K176" s="32" t="s">
        <v>34</v>
      </c>
      <c r="L176" s="32" t="s">
        <v>34</v>
      </c>
      <c r="M176" s="10">
        <v>100</v>
      </c>
      <c r="N176" s="32" t="s">
        <v>43</v>
      </c>
      <c r="O176" s="32">
        <v>0.98750000000000004</v>
      </c>
      <c r="P176" s="32">
        <v>0.58499999999999996</v>
      </c>
      <c r="Q176" s="32">
        <v>0</v>
      </c>
      <c r="R176" s="32" t="s">
        <v>34</v>
      </c>
      <c r="S176" s="36">
        <f t="shared" si="5"/>
        <v>8.6100386100386098E-5</v>
      </c>
      <c r="T176" s="32" t="s">
        <v>36</v>
      </c>
      <c r="U176" s="32" t="s">
        <v>37</v>
      </c>
      <c r="V176" s="32" t="s">
        <v>38</v>
      </c>
      <c r="W176" s="32" t="s">
        <v>34</v>
      </c>
      <c r="X176" s="10">
        <v>0.5</v>
      </c>
      <c r="Y176" s="32">
        <v>1</v>
      </c>
      <c r="Z176" s="32" t="s">
        <v>39</v>
      </c>
      <c r="AA176" s="32" t="s">
        <v>34</v>
      </c>
      <c r="AB176" s="13" t="s">
        <v>34</v>
      </c>
      <c r="AC176" s="32" t="s">
        <v>318</v>
      </c>
      <c r="AD176" s="32" t="s">
        <v>32</v>
      </c>
      <c r="AE176" s="32">
        <v>0.46910000000000002</v>
      </c>
      <c r="AF176" s="44" t="s">
        <v>45</v>
      </c>
      <c r="AG176" s="32">
        <v>2013</v>
      </c>
      <c r="AH176" s="44" t="s">
        <v>46</v>
      </c>
      <c r="AI176" s="99">
        <f t="shared" si="4"/>
        <v>1.0022421524663678</v>
      </c>
    </row>
    <row r="177" spans="1:35" s="10" customFormat="1" x14ac:dyDescent="0.3">
      <c r="A177" s="11">
        <v>0.13871374527112201</v>
      </c>
      <c r="B177" s="45">
        <v>6.4671814671814605E-5</v>
      </c>
      <c r="C177" s="33" t="s">
        <v>33</v>
      </c>
      <c r="D177" s="33" t="s">
        <v>35</v>
      </c>
      <c r="E177" s="33" t="s">
        <v>170</v>
      </c>
      <c r="F177" s="33" t="s">
        <v>34</v>
      </c>
      <c r="G177" s="43">
        <v>0.16500000000000001</v>
      </c>
      <c r="H177" s="32" t="s">
        <v>34</v>
      </c>
      <c r="I177" s="32" t="s">
        <v>34</v>
      </c>
      <c r="J177" s="32" t="s">
        <v>34</v>
      </c>
      <c r="K177" s="32" t="s">
        <v>34</v>
      </c>
      <c r="L177" s="32" t="s">
        <v>34</v>
      </c>
      <c r="M177" s="10">
        <v>100</v>
      </c>
      <c r="N177" s="32" t="s">
        <v>43</v>
      </c>
      <c r="O177" s="32">
        <v>0.98750000000000004</v>
      </c>
      <c r="P177" s="32">
        <v>0.58499999999999996</v>
      </c>
      <c r="Q177" s="32">
        <v>0</v>
      </c>
      <c r="R177" s="32" t="s">
        <v>34</v>
      </c>
      <c r="S177" s="36">
        <f t="shared" si="5"/>
        <v>8.6100386100386098E-5</v>
      </c>
      <c r="T177" s="32" t="s">
        <v>36</v>
      </c>
      <c r="U177" s="32" t="s">
        <v>37</v>
      </c>
      <c r="V177" s="32" t="s">
        <v>38</v>
      </c>
      <c r="W177" s="32" t="s">
        <v>34</v>
      </c>
      <c r="X177" s="10">
        <v>0.5</v>
      </c>
      <c r="Y177" s="32">
        <v>1</v>
      </c>
      <c r="Z177" s="32" t="s">
        <v>39</v>
      </c>
      <c r="AA177" s="32" t="s">
        <v>34</v>
      </c>
      <c r="AB177" s="13" t="s">
        <v>34</v>
      </c>
      <c r="AC177" s="32" t="s">
        <v>318</v>
      </c>
      <c r="AD177" s="32" t="s">
        <v>32</v>
      </c>
      <c r="AE177" s="32">
        <v>0.46910000000000002</v>
      </c>
      <c r="AF177" s="44" t="s">
        <v>45</v>
      </c>
      <c r="AG177" s="32">
        <v>2013</v>
      </c>
      <c r="AH177" s="44" t="s">
        <v>46</v>
      </c>
      <c r="AI177" s="99">
        <f t="shared" si="4"/>
        <v>0.75112107623318314</v>
      </c>
    </row>
    <row r="178" spans="1:35" s="10" customFormat="1" x14ac:dyDescent="0.3">
      <c r="A178" s="11">
        <v>0.20807061790668399</v>
      </c>
      <c r="B178" s="45">
        <v>4.2857142857142897E-5</v>
      </c>
      <c r="C178" s="33" t="s">
        <v>33</v>
      </c>
      <c r="D178" s="33" t="s">
        <v>35</v>
      </c>
      <c r="E178" s="33" t="s">
        <v>170</v>
      </c>
      <c r="F178" s="33" t="s">
        <v>34</v>
      </c>
      <c r="G178" s="43">
        <v>0.16500000000000001</v>
      </c>
      <c r="H178" s="32" t="s">
        <v>34</v>
      </c>
      <c r="I178" s="32" t="s">
        <v>34</v>
      </c>
      <c r="J178" s="32" t="s">
        <v>34</v>
      </c>
      <c r="K178" s="32" t="s">
        <v>34</v>
      </c>
      <c r="L178" s="32" t="s">
        <v>34</v>
      </c>
      <c r="M178" s="10">
        <v>100</v>
      </c>
      <c r="N178" s="32" t="s">
        <v>43</v>
      </c>
      <c r="O178" s="32">
        <v>0.98750000000000004</v>
      </c>
      <c r="P178" s="32">
        <v>0.58499999999999996</v>
      </c>
      <c r="Q178" s="32">
        <v>0</v>
      </c>
      <c r="R178" s="32" t="s">
        <v>34</v>
      </c>
      <c r="S178" s="36">
        <f t="shared" si="5"/>
        <v>8.6100386100386098E-5</v>
      </c>
      <c r="T178" s="32" t="s">
        <v>36</v>
      </c>
      <c r="U178" s="32" t="s">
        <v>37</v>
      </c>
      <c r="V178" s="32" t="s">
        <v>38</v>
      </c>
      <c r="W178" s="32" t="s">
        <v>34</v>
      </c>
      <c r="X178" s="10">
        <v>0.5</v>
      </c>
      <c r="Y178" s="32">
        <v>1</v>
      </c>
      <c r="Z178" s="32" t="s">
        <v>39</v>
      </c>
      <c r="AA178" s="32" t="s">
        <v>34</v>
      </c>
      <c r="AB178" s="13" t="s">
        <v>34</v>
      </c>
      <c r="AC178" s="32" t="s">
        <v>318</v>
      </c>
      <c r="AD178" s="32" t="s">
        <v>32</v>
      </c>
      <c r="AE178" s="32">
        <v>0.46910000000000002</v>
      </c>
      <c r="AF178" s="44" t="s">
        <v>45</v>
      </c>
      <c r="AG178" s="32">
        <v>2013</v>
      </c>
      <c r="AH178" s="44" t="s">
        <v>46</v>
      </c>
      <c r="AI178" s="99">
        <f t="shared" si="4"/>
        <v>0.49775784753363278</v>
      </c>
    </row>
    <row r="179" spans="1:35" s="10" customFormat="1" x14ac:dyDescent="0.3">
      <c r="A179" s="11">
        <v>0.27742749054224503</v>
      </c>
      <c r="B179" s="45">
        <v>2.3938223938223901E-5</v>
      </c>
      <c r="C179" s="33" t="s">
        <v>33</v>
      </c>
      <c r="D179" s="33" t="s">
        <v>35</v>
      </c>
      <c r="E179" s="33" t="s">
        <v>170</v>
      </c>
      <c r="F179" s="33" t="s">
        <v>34</v>
      </c>
      <c r="G179" s="43">
        <v>0.16500000000000001</v>
      </c>
      <c r="H179" s="32" t="s">
        <v>34</v>
      </c>
      <c r="I179" s="32" t="s">
        <v>34</v>
      </c>
      <c r="J179" s="32" t="s">
        <v>34</v>
      </c>
      <c r="K179" s="32" t="s">
        <v>34</v>
      </c>
      <c r="L179" s="32" t="s">
        <v>34</v>
      </c>
      <c r="M179" s="10">
        <v>100</v>
      </c>
      <c r="N179" s="32" t="s">
        <v>43</v>
      </c>
      <c r="O179" s="32">
        <v>0.98750000000000004</v>
      </c>
      <c r="P179" s="32">
        <v>0.58499999999999996</v>
      </c>
      <c r="Q179" s="32">
        <v>0</v>
      </c>
      <c r="R179" s="32" t="s">
        <v>34</v>
      </c>
      <c r="S179" s="36">
        <f t="shared" si="5"/>
        <v>8.6100386100386098E-5</v>
      </c>
      <c r="T179" s="32" t="s">
        <v>36</v>
      </c>
      <c r="U179" s="32" t="s">
        <v>37</v>
      </c>
      <c r="V179" s="32" t="s">
        <v>38</v>
      </c>
      <c r="W179" s="32" t="s">
        <v>34</v>
      </c>
      <c r="X179" s="10">
        <v>0.5</v>
      </c>
      <c r="Y179" s="32">
        <v>1</v>
      </c>
      <c r="Z179" s="32" t="s">
        <v>39</v>
      </c>
      <c r="AA179" s="32" t="s">
        <v>34</v>
      </c>
      <c r="AB179" s="13" t="s">
        <v>34</v>
      </c>
      <c r="AC179" s="32" t="s">
        <v>318</v>
      </c>
      <c r="AD179" s="32" t="s">
        <v>32</v>
      </c>
      <c r="AE179" s="32">
        <v>0.46910000000000002</v>
      </c>
      <c r="AF179" s="44" t="s">
        <v>45</v>
      </c>
      <c r="AG179" s="32">
        <v>2013</v>
      </c>
      <c r="AH179" s="44" t="s">
        <v>46</v>
      </c>
      <c r="AI179" s="99">
        <f t="shared" si="4"/>
        <v>0.27802690582959599</v>
      </c>
    </row>
    <row r="180" spans="1:35" s="10" customFormat="1" x14ac:dyDescent="0.3">
      <c r="A180" s="11">
        <v>0.35308953341740301</v>
      </c>
      <c r="B180" s="45">
        <v>2.1428571428571401E-5</v>
      </c>
      <c r="C180" s="33" t="s">
        <v>33</v>
      </c>
      <c r="D180" s="33" t="s">
        <v>35</v>
      </c>
      <c r="E180" s="33" t="s">
        <v>170</v>
      </c>
      <c r="F180" s="33" t="s">
        <v>34</v>
      </c>
      <c r="G180" s="43">
        <v>0.16500000000000001</v>
      </c>
      <c r="H180" s="32" t="s">
        <v>34</v>
      </c>
      <c r="I180" s="32" t="s">
        <v>34</v>
      </c>
      <c r="J180" s="32" t="s">
        <v>34</v>
      </c>
      <c r="K180" s="32" t="s">
        <v>34</v>
      </c>
      <c r="L180" s="32" t="s">
        <v>34</v>
      </c>
      <c r="M180" s="10">
        <v>100</v>
      </c>
      <c r="N180" s="32" t="s">
        <v>43</v>
      </c>
      <c r="O180" s="32">
        <v>0.98750000000000004</v>
      </c>
      <c r="P180" s="32">
        <v>0.58499999999999996</v>
      </c>
      <c r="Q180" s="32">
        <v>0</v>
      </c>
      <c r="R180" s="32" t="s">
        <v>34</v>
      </c>
      <c r="S180" s="36">
        <f t="shared" si="5"/>
        <v>8.6100386100386098E-5</v>
      </c>
      <c r="T180" s="32" t="s">
        <v>36</v>
      </c>
      <c r="U180" s="32" t="s">
        <v>37</v>
      </c>
      <c r="V180" s="32" t="s">
        <v>38</v>
      </c>
      <c r="W180" s="32" t="s">
        <v>34</v>
      </c>
      <c r="X180" s="10">
        <v>0.5</v>
      </c>
      <c r="Y180" s="32">
        <v>1</v>
      </c>
      <c r="Z180" s="32" t="s">
        <v>39</v>
      </c>
      <c r="AA180" s="32" t="s">
        <v>34</v>
      </c>
      <c r="AB180" s="13" t="s">
        <v>34</v>
      </c>
      <c r="AC180" s="32" t="s">
        <v>318</v>
      </c>
      <c r="AD180" s="32" t="s">
        <v>32</v>
      </c>
      <c r="AE180" s="32">
        <v>0.46910000000000002</v>
      </c>
      <c r="AF180" s="44" t="s">
        <v>45</v>
      </c>
      <c r="AG180" s="32">
        <v>2013</v>
      </c>
      <c r="AH180" s="44" t="s">
        <v>46</v>
      </c>
      <c r="AI180" s="99">
        <f t="shared" si="4"/>
        <v>0.24887892376681583</v>
      </c>
    </row>
    <row r="181" spans="1:35" s="10" customFormat="1" x14ac:dyDescent="0.3">
      <c r="A181" s="11">
        <v>0.41614123581336698</v>
      </c>
      <c r="B181" s="45">
        <v>1.7181467181467201E-5</v>
      </c>
      <c r="C181" s="33" t="s">
        <v>33</v>
      </c>
      <c r="D181" s="33" t="s">
        <v>35</v>
      </c>
      <c r="E181" s="33" t="s">
        <v>170</v>
      </c>
      <c r="F181" s="33" t="s">
        <v>34</v>
      </c>
      <c r="G181" s="43">
        <v>0.16500000000000001</v>
      </c>
      <c r="H181" s="32" t="s">
        <v>34</v>
      </c>
      <c r="I181" s="32" t="s">
        <v>34</v>
      </c>
      <c r="J181" s="32" t="s">
        <v>34</v>
      </c>
      <c r="K181" s="32" t="s">
        <v>34</v>
      </c>
      <c r="L181" s="32" t="s">
        <v>34</v>
      </c>
      <c r="M181" s="10">
        <v>100</v>
      </c>
      <c r="N181" s="32" t="s">
        <v>43</v>
      </c>
      <c r="O181" s="32">
        <v>0.98750000000000004</v>
      </c>
      <c r="P181" s="32">
        <v>0.58499999999999996</v>
      </c>
      <c r="Q181" s="32">
        <v>0</v>
      </c>
      <c r="R181" s="32" t="s">
        <v>34</v>
      </c>
      <c r="S181" s="36">
        <f t="shared" si="5"/>
        <v>8.6100386100386098E-5</v>
      </c>
      <c r="T181" s="32" t="s">
        <v>36</v>
      </c>
      <c r="U181" s="32" t="s">
        <v>37</v>
      </c>
      <c r="V181" s="32" t="s">
        <v>38</v>
      </c>
      <c r="W181" s="32" t="s">
        <v>34</v>
      </c>
      <c r="X181" s="10">
        <v>0.5</v>
      </c>
      <c r="Y181" s="32">
        <v>1</v>
      </c>
      <c r="Z181" s="32" t="s">
        <v>39</v>
      </c>
      <c r="AA181" s="32" t="s">
        <v>34</v>
      </c>
      <c r="AB181" s="13" t="s">
        <v>34</v>
      </c>
      <c r="AC181" s="32" t="s">
        <v>318</v>
      </c>
      <c r="AD181" s="32" t="s">
        <v>32</v>
      </c>
      <c r="AE181" s="32">
        <v>0.46910000000000002</v>
      </c>
      <c r="AF181" s="44" t="s">
        <v>45</v>
      </c>
      <c r="AG181" s="32">
        <v>2013</v>
      </c>
      <c r="AH181" s="44" t="s">
        <v>46</v>
      </c>
      <c r="AI181" s="99">
        <f t="shared" si="4"/>
        <v>0.1995515695067267</v>
      </c>
    </row>
    <row r="182" spans="1:35" s="10" customFormat="1" x14ac:dyDescent="0.3">
      <c r="A182" s="11">
        <v>0.49180327868852303</v>
      </c>
      <c r="B182" s="45">
        <v>1.5057915057915E-5</v>
      </c>
      <c r="C182" s="33" t="s">
        <v>33</v>
      </c>
      <c r="D182" s="33" t="s">
        <v>35</v>
      </c>
      <c r="E182" s="33" t="s">
        <v>170</v>
      </c>
      <c r="F182" s="33" t="s">
        <v>34</v>
      </c>
      <c r="G182" s="43">
        <v>0.16500000000000001</v>
      </c>
      <c r="H182" s="32" t="s">
        <v>34</v>
      </c>
      <c r="I182" s="32" t="s">
        <v>34</v>
      </c>
      <c r="J182" s="32" t="s">
        <v>34</v>
      </c>
      <c r="K182" s="32" t="s">
        <v>34</v>
      </c>
      <c r="L182" s="32" t="s">
        <v>34</v>
      </c>
      <c r="M182" s="10">
        <v>100</v>
      </c>
      <c r="N182" s="32" t="s">
        <v>43</v>
      </c>
      <c r="O182" s="32">
        <v>0.98750000000000004</v>
      </c>
      <c r="P182" s="32">
        <v>0.58499999999999996</v>
      </c>
      <c r="Q182" s="32">
        <v>0</v>
      </c>
      <c r="R182" s="32" t="s">
        <v>34</v>
      </c>
      <c r="S182" s="36">
        <f t="shared" si="5"/>
        <v>8.6100386100386098E-5</v>
      </c>
      <c r="T182" s="32" t="s">
        <v>36</v>
      </c>
      <c r="U182" s="32" t="s">
        <v>37</v>
      </c>
      <c r="V182" s="32" t="s">
        <v>38</v>
      </c>
      <c r="W182" s="32" t="s">
        <v>34</v>
      </c>
      <c r="X182" s="10">
        <v>0.5</v>
      </c>
      <c r="Y182" s="32">
        <v>1</v>
      </c>
      <c r="Z182" s="32" t="s">
        <v>39</v>
      </c>
      <c r="AA182" s="32" t="s">
        <v>34</v>
      </c>
      <c r="AB182" s="13" t="s">
        <v>34</v>
      </c>
      <c r="AC182" s="32" t="s">
        <v>318</v>
      </c>
      <c r="AD182" s="32" t="s">
        <v>32</v>
      </c>
      <c r="AE182" s="32">
        <v>0.46910000000000002</v>
      </c>
      <c r="AF182" s="44" t="s">
        <v>45</v>
      </c>
      <c r="AG182" s="32">
        <v>2013</v>
      </c>
      <c r="AH182" s="44" t="s">
        <v>46</v>
      </c>
      <c r="AI182" s="99">
        <f t="shared" si="4"/>
        <v>0.17488789237668095</v>
      </c>
    </row>
    <row r="183" spans="1:35" s="10" customFormat="1" x14ac:dyDescent="0.3">
      <c r="A183" s="11">
        <v>0.56116015132408703</v>
      </c>
      <c r="B183" s="45">
        <v>1.2162162162162099E-5</v>
      </c>
      <c r="C183" s="33" t="s">
        <v>33</v>
      </c>
      <c r="D183" s="33" t="s">
        <v>35</v>
      </c>
      <c r="E183" s="33" t="s">
        <v>170</v>
      </c>
      <c r="F183" s="33" t="s">
        <v>34</v>
      </c>
      <c r="G183" s="43">
        <v>0.16500000000000001</v>
      </c>
      <c r="H183" s="32" t="s">
        <v>34</v>
      </c>
      <c r="I183" s="32" t="s">
        <v>34</v>
      </c>
      <c r="J183" s="32" t="s">
        <v>34</v>
      </c>
      <c r="K183" s="32" t="s">
        <v>34</v>
      </c>
      <c r="L183" s="32" t="s">
        <v>34</v>
      </c>
      <c r="M183" s="10">
        <v>100</v>
      </c>
      <c r="N183" s="32" t="s">
        <v>43</v>
      </c>
      <c r="O183" s="32">
        <v>0.98750000000000004</v>
      </c>
      <c r="P183" s="32">
        <v>0.58499999999999996</v>
      </c>
      <c r="Q183" s="32">
        <v>0</v>
      </c>
      <c r="R183" s="32" t="s">
        <v>34</v>
      </c>
      <c r="S183" s="36">
        <f t="shared" si="5"/>
        <v>8.6100386100386098E-5</v>
      </c>
      <c r="T183" s="32" t="s">
        <v>36</v>
      </c>
      <c r="U183" s="32" t="s">
        <v>37</v>
      </c>
      <c r="V183" s="32" t="s">
        <v>38</v>
      </c>
      <c r="W183" s="32" t="s">
        <v>34</v>
      </c>
      <c r="X183" s="10">
        <v>0.5</v>
      </c>
      <c r="Y183" s="32">
        <v>1</v>
      </c>
      <c r="Z183" s="32" t="s">
        <v>39</v>
      </c>
      <c r="AA183" s="32" t="s">
        <v>34</v>
      </c>
      <c r="AB183" s="13" t="s">
        <v>34</v>
      </c>
      <c r="AC183" s="32" t="s">
        <v>318</v>
      </c>
      <c r="AD183" s="32" t="s">
        <v>32</v>
      </c>
      <c r="AE183" s="32">
        <v>0.46910000000000002</v>
      </c>
      <c r="AF183" s="44" t="s">
        <v>45</v>
      </c>
      <c r="AG183" s="32">
        <v>2013</v>
      </c>
      <c r="AH183" s="44" t="s">
        <v>46</v>
      </c>
      <c r="AI183" s="99">
        <f t="shared" si="4"/>
        <v>0.14125560538116519</v>
      </c>
    </row>
    <row r="184" spans="1:35" s="10" customFormat="1" x14ac:dyDescent="0.3">
      <c r="A184" s="11">
        <v>0.63682219419924202</v>
      </c>
      <c r="B184" s="45">
        <v>1.13899613899613E-5</v>
      </c>
      <c r="C184" s="33" t="s">
        <v>33</v>
      </c>
      <c r="D184" s="33" t="s">
        <v>35</v>
      </c>
      <c r="E184" s="33" t="s">
        <v>170</v>
      </c>
      <c r="F184" s="33" t="s">
        <v>34</v>
      </c>
      <c r="G184" s="43">
        <v>0.16500000000000001</v>
      </c>
      <c r="H184" s="32" t="s">
        <v>34</v>
      </c>
      <c r="I184" s="32" t="s">
        <v>34</v>
      </c>
      <c r="J184" s="32" t="s">
        <v>34</v>
      </c>
      <c r="K184" s="32" t="s">
        <v>34</v>
      </c>
      <c r="L184" s="32" t="s">
        <v>34</v>
      </c>
      <c r="M184" s="10">
        <v>100</v>
      </c>
      <c r="N184" s="32" t="s">
        <v>43</v>
      </c>
      <c r="O184" s="32">
        <v>0.98750000000000004</v>
      </c>
      <c r="P184" s="32">
        <v>0.58499999999999996</v>
      </c>
      <c r="Q184" s="32">
        <v>0</v>
      </c>
      <c r="R184" s="32" t="s">
        <v>34</v>
      </c>
      <c r="S184" s="36">
        <f t="shared" si="5"/>
        <v>8.6100386100386098E-5</v>
      </c>
      <c r="T184" s="32" t="s">
        <v>36</v>
      </c>
      <c r="U184" s="32" t="s">
        <v>37</v>
      </c>
      <c r="V184" s="32" t="s">
        <v>38</v>
      </c>
      <c r="W184" s="32" t="s">
        <v>34</v>
      </c>
      <c r="X184" s="10">
        <v>0.5</v>
      </c>
      <c r="Y184" s="32">
        <v>1</v>
      </c>
      <c r="Z184" s="32" t="s">
        <v>39</v>
      </c>
      <c r="AA184" s="32" t="s">
        <v>34</v>
      </c>
      <c r="AB184" s="13" t="s">
        <v>34</v>
      </c>
      <c r="AC184" s="32" t="s">
        <v>318</v>
      </c>
      <c r="AD184" s="32" t="s">
        <v>32</v>
      </c>
      <c r="AE184" s="32">
        <v>0.46910000000000002</v>
      </c>
      <c r="AF184" s="44" t="s">
        <v>45</v>
      </c>
      <c r="AG184" s="32">
        <v>2013</v>
      </c>
      <c r="AH184" s="44" t="s">
        <v>46</v>
      </c>
      <c r="AI184" s="99">
        <f t="shared" si="4"/>
        <v>0.13228699551569403</v>
      </c>
    </row>
    <row r="185" spans="1:35" s="10" customFormat="1" x14ac:dyDescent="0.3">
      <c r="A185" s="11">
        <v>0.70617906683480502</v>
      </c>
      <c r="B185" s="45">
        <v>1.0038610038609999E-5</v>
      </c>
      <c r="C185" s="33" t="s">
        <v>33</v>
      </c>
      <c r="D185" s="33" t="s">
        <v>35</v>
      </c>
      <c r="E185" s="33" t="s">
        <v>170</v>
      </c>
      <c r="F185" s="33" t="s">
        <v>34</v>
      </c>
      <c r="G185" s="43">
        <v>0.16500000000000001</v>
      </c>
      <c r="H185" s="32" t="s">
        <v>34</v>
      </c>
      <c r="I185" s="32" t="s">
        <v>34</v>
      </c>
      <c r="J185" s="32" t="s">
        <v>34</v>
      </c>
      <c r="K185" s="32" t="s">
        <v>34</v>
      </c>
      <c r="L185" s="32" t="s">
        <v>34</v>
      </c>
      <c r="M185" s="10">
        <v>100</v>
      </c>
      <c r="N185" s="32" t="s">
        <v>43</v>
      </c>
      <c r="O185" s="32">
        <v>0.98750000000000004</v>
      </c>
      <c r="P185" s="32">
        <v>0.58499999999999996</v>
      </c>
      <c r="Q185" s="32">
        <v>0</v>
      </c>
      <c r="R185" s="32" t="s">
        <v>34</v>
      </c>
      <c r="S185" s="36">
        <f t="shared" si="5"/>
        <v>8.6100386100386098E-5</v>
      </c>
      <c r="T185" s="32" t="s">
        <v>36</v>
      </c>
      <c r="U185" s="32" t="s">
        <v>37</v>
      </c>
      <c r="V185" s="32" t="s">
        <v>38</v>
      </c>
      <c r="W185" s="32" t="s">
        <v>34</v>
      </c>
      <c r="X185" s="10">
        <v>0.5</v>
      </c>
      <c r="Y185" s="32">
        <v>1</v>
      </c>
      <c r="Z185" s="32" t="s">
        <v>39</v>
      </c>
      <c r="AA185" s="32" t="s">
        <v>34</v>
      </c>
      <c r="AB185" s="13" t="s">
        <v>34</v>
      </c>
      <c r="AC185" s="32" t="s">
        <v>318</v>
      </c>
      <c r="AD185" s="32" t="s">
        <v>32</v>
      </c>
      <c r="AE185" s="32">
        <v>0.46910000000000002</v>
      </c>
      <c r="AF185" s="44" t="s">
        <v>45</v>
      </c>
      <c r="AG185" s="32">
        <v>2013</v>
      </c>
      <c r="AH185" s="44" t="s">
        <v>46</v>
      </c>
      <c r="AI185" s="99">
        <f t="shared" si="4"/>
        <v>0.11659192825112062</v>
      </c>
    </row>
    <row r="186" spans="1:35" s="10" customFormat="1" x14ac:dyDescent="0.3">
      <c r="A186" s="11">
        <v>0</v>
      </c>
      <c r="B186" s="45">
        <v>1.06949806949806E-4</v>
      </c>
      <c r="C186" s="33" t="s">
        <v>33</v>
      </c>
      <c r="D186" s="33" t="s">
        <v>35</v>
      </c>
      <c r="E186" s="33" t="s">
        <v>170</v>
      </c>
      <c r="F186" s="33" t="s">
        <v>34</v>
      </c>
      <c r="G186" s="43">
        <v>0.16500000000000001</v>
      </c>
      <c r="H186" s="32" t="s">
        <v>34</v>
      </c>
      <c r="I186" s="32" t="s">
        <v>34</v>
      </c>
      <c r="J186" s="32" t="s">
        <v>34</v>
      </c>
      <c r="K186" s="32" t="s">
        <v>34</v>
      </c>
      <c r="L186" s="32" t="s">
        <v>34</v>
      </c>
      <c r="M186" s="10">
        <v>100</v>
      </c>
      <c r="N186" s="32" t="s">
        <v>43</v>
      </c>
      <c r="O186" s="32">
        <v>0.98750000000000004</v>
      </c>
      <c r="P186" s="32">
        <v>0.58499999999999996</v>
      </c>
      <c r="Q186" s="32">
        <v>0</v>
      </c>
      <c r="R186" s="32" t="s">
        <v>34</v>
      </c>
      <c r="S186" s="36">
        <f t="shared" si="5"/>
        <v>1.06949806949806E-4</v>
      </c>
      <c r="T186" s="32" t="s">
        <v>36</v>
      </c>
      <c r="U186" s="32" t="s">
        <v>37</v>
      </c>
      <c r="V186" s="32" t="s">
        <v>38</v>
      </c>
      <c r="W186" s="32" t="s">
        <v>34</v>
      </c>
      <c r="X186" s="10">
        <v>0.5</v>
      </c>
      <c r="Y186" s="32">
        <v>1</v>
      </c>
      <c r="Z186" s="32" t="s">
        <v>39</v>
      </c>
      <c r="AA186" s="32" t="s">
        <v>34</v>
      </c>
      <c r="AB186" s="13" t="s">
        <v>34</v>
      </c>
      <c r="AC186" s="32" t="s">
        <v>318</v>
      </c>
      <c r="AD186" s="32" t="s">
        <v>32</v>
      </c>
      <c r="AE186" s="32">
        <v>0.46910000000000002</v>
      </c>
      <c r="AF186" s="44" t="s">
        <v>45</v>
      </c>
      <c r="AG186" s="32">
        <v>2013</v>
      </c>
      <c r="AH186" s="44" t="s">
        <v>46</v>
      </c>
      <c r="AI186" s="99">
        <f t="shared" si="4"/>
        <v>1</v>
      </c>
    </row>
    <row r="187" spans="1:35" s="10" customFormat="1" x14ac:dyDescent="0.3">
      <c r="A187" s="11">
        <v>6.9356872635561104E-2</v>
      </c>
      <c r="B187" s="45">
        <v>8.9189189189189206E-5</v>
      </c>
      <c r="C187" s="33" t="s">
        <v>33</v>
      </c>
      <c r="D187" s="33" t="s">
        <v>35</v>
      </c>
      <c r="E187" s="33" t="s">
        <v>170</v>
      </c>
      <c r="F187" s="33" t="s">
        <v>34</v>
      </c>
      <c r="G187" s="43">
        <v>0.16500000000000001</v>
      </c>
      <c r="H187" s="32" t="s">
        <v>34</v>
      </c>
      <c r="I187" s="32" t="s">
        <v>34</v>
      </c>
      <c r="J187" s="32" t="s">
        <v>34</v>
      </c>
      <c r="K187" s="32" t="s">
        <v>34</v>
      </c>
      <c r="L187" s="32" t="s">
        <v>34</v>
      </c>
      <c r="M187" s="10">
        <v>100</v>
      </c>
      <c r="N187" s="32" t="s">
        <v>43</v>
      </c>
      <c r="O187" s="32">
        <v>0.98750000000000004</v>
      </c>
      <c r="P187" s="32">
        <v>0.58499999999999996</v>
      </c>
      <c r="Q187" s="32">
        <v>0</v>
      </c>
      <c r="R187" s="32" t="s">
        <v>34</v>
      </c>
      <c r="S187" s="36">
        <f t="shared" si="5"/>
        <v>1.06949806949806E-4</v>
      </c>
      <c r="T187" s="32" t="s">
        <v>36</v>
      </c>
      <c r="U187" s="32" t="s">
        <v>37</v>
      </c>
      <c r="V187" s="32" t="s">
        <v>38</v>
      </c>
      <c r="W187" s="32" t="s">
        <v>34</v>
      </c>
      <c r="X187" s="10">
        <v>0.5</v>
      </c>
      <c r="Y187" s="32">
        <v>1</v>
      </c>
      <c r="Z187" s="32" t="s">
        <v>39</v>
      </c>
      <c r="AA187" s="32" t="s">
        <v>34</v>
      </c>
      <c r="AB187" s="13" t="s">
        <v>34</v>
      </c>
      <c r="AC187" s="32" t="s">
        <v>318</v>
      </c>
      <c r="AD187" s="32" t="s">
        <v>32</v>
      </c>
      <c r="AE187" s="32">
        <v>0.46910000000000002</v>
      </c>
      <c r="AF187" s="44" t="s">
        <v>45</v>
      </c>
      <c r="AG187" s="32">
        <v>2013</v>
      </c>
      <c r="AH187" s="44" t="s">
        <v>46</v>
      </c>
      <c r="AI187" s="99">
        <f t="shared" si="4"/>
        <v>0.83393501805054904</v>
      </c>
    </row>
    <row r="188" spans="1:35" s="10" customFormat="1" x14ac:dyDescent="0.3">
      <c r="A188" s="11">
        <v>0.132408575031526</v>
      </c>
      <c r="B188" s="45">
        <v>7.6447876447876401E-5</v>
      </c>
      <c r="C188" s="33" t="s">
        <v>33</v>
      </c>
      <c r="D188" s="33" t="s">
        <v>35</v>
      </c>
      <c r="E188" s="33" t="s">
        <v>170</v>
      </c>
      <c r="F188" s="33" t="s">
        <v>34</v>
      </c>
      <c r="G188" s="43">
        <v>0.16500000000000001</v>
      </c>
      <c r="H188" s="32" t="s">
        <v>34</v>
      </c>
      <c r="I188" s="32" t="s">
        <v>34</v>
      </c>
      <c r="J188" s="32" t="s">
        <v>34</v>
      </c>
      <c r="K188" s="32" t="s">
        <v>34</v>
      </c>
      <c r="L188" s="32" t="s">
        <v>34</v>
      </c>
      <c r="M188" s="10">
        <v>100</v>
      </c>
      <c r="N188" s="32" t="s">
        <v>43</v>
      </c>
      <c r="O188" s="32">
        <v>0.98750000000000004</v>
      </c>
      <c r="P188" s="32">
        <v>0.58499999999999996</v>
      </c>
      <c r="Q188" s="32">
        <v>0</v>
      </c>
      <c r="R188" s="32" t="s">
        <v>34</v>
      </c>
      <c r="S188" s="36">
        <f t="shared" si="5"/>
        <v>1.06949806949806E-4</v>
      </c>
      <c r="T188" s="32" t="s">
        <v>36</v>
      </c>
      <c r="U188" s="32" t="s">
        <v>37</v>
      </c>
      <c r="V188" s="32" t="s">
        <v>38</v>
      </c>
      <c r="W188" s="32" t="s">
        <v>34</v>
      </c>
      <c r="X188" s="10">
        <v>0.5</v>
      </c>
      <c r="Y188" s="32">
        <v>1</v>
      </c>
      <c r="Z188" s="32" t="s">
        <v>39</v>
      </c>
      <c r="AA188" s="32" t="s">
        <v>34</v>
      </c>
      <c r="AB188" s="13" t="s">
        <v>34</v>
      </c>
      <c r="AC188" s="32" t="s">
        <v>318</v>
      </c>
      <c r="AD188" s="32" t="s">
        <v>32</v>
      </c>
      <c r="AE188" s="32">
        <v>0.46910000000000002</v>
      </c>
      <c r="AF188" s="44" t="s">
        <v>45</v>
      </c>
      <c r="AG188" s="32">
        <v>2013</v>
      </c>
      <c r="AH188" s="44" t="s">
        <v>46</v>
      </c>
      <c r="AI188" s="99">
        <f t="shared" si="4"/>
        <v>0.71480144404332724</v>
      </c>
    </row>
    <row r="189" spans="1:35" s="10" customFormat="1" x14ac:dyDescent="0.3">
      <c r="A189" s="11">
        <v>0.20807061790668399</v>
      </c>
      <c r="B189" s="45">
        <v>4.4594594594594603E-5</v>
      </c>
      <c r="C189" s="33" t="s">
        <v>33</v>
      </c>
      <c r="D189" s="33" t="s">
        <v>35</v>
      </c>
      <c r="E189" s="33" t="s">
        <v>170</v>
      </c>
      <c r="F189" s="33" t="s">
        <v>34</v>
      </c>
      <c r="G189" s="43">
        <v>0.16500000000000001</v>
      </c>
      <c r="H189" s="32" t="s">
        <v>34</v>
      </c>
      <c r="I189" s="32" t="s">
        <v>34</v>
      </c>
      <c r="J189" s="32" t="s">
        <v>34</v>
      </c>
      <c r="K189" s="32" t="s">
        <v>34</v>
      </c>
      <c r="L189" s="32" t="s">
        <v>34</v>
      </c>
      <c r="M189" s="10">
        <v>100</v>
      </c>
      <c r="N189" s="32" t="s">
        <v>43</v>
      </c>
      <c r="O189" s="32">
        <v>0.98750000000000004</v>
      </c>
      <c r="P189" s="32">
        <v>0.58499999999999996</v>
      </c>
      <c r="Q189" s="32">
        <v>0</v>
      </c>
      <c r="R189" s="32" t="s">
        <v>34</v>
      </c>
      <c r="S189" s="36">
        <f t="shared" si="5"/>
        <v>1.06949806949806E-4</v>
      </c>
      <c r="T189" s="32" t="s">
        <v>36</v>
      </c>
      <c r="U189" s="32" t="s">
        <v>37</v>
      </c>
      <c r="V189" s="32" t="s">
        <v>38</v>
      </c>
      <c r="W189" s="32" t="s">
        <v>34</v>
      </c>
      <c r="X189" s="10">
        <v>0.5</v>
      </c>
      <c r="Y189" s="32">
        <v>1</v>
      </c>
      <c r="Z189" s="32" t="s">
        <v>39</v>
      </c>
      <c r="AA189" s="32" t="s">
        <v>34</v>
      </c>
      <c r="AB189" s="13" t="s">
        <v>34</v>
      </c>
      <c r="AC189" s="32" t="s">
        <v>318</v>
      </c>
      <c r="AD189" s="32" t="s">
        <v>32</v>
      </c>
      <c r="AE189" s="32">
        <v>0.46910000000000002</v>
      </c>
      <c r="AF189" s="44" t="s">
        <v>45</v>
      </c>
      <c r="AG189" s="32">
        <v>2013</v>
      </c>
      <c r="AH189" s="44" t="s">
        <v>46</v>
      </c>
      <c r="AI189" s="99">
        <f t="shared" si="4"/>
        <v>0.41696750902527452</v>
      </c>
    </row>
    <row r="190" spans="1:35" s="10" customFormat="1" x14ac:dyDescent="0.3">
      <c r="A190" s="11">
        <v>0.27742749054224403</v>
      </c>
      <c r="B190" s="45">
        <v>3.8030888030888001E-5</v>
      </c>
      <c r="C190" s="33" t="s">
        <v>33</v>
      </c>
      <c r="D190" s="33" t="s">
        <v>35</v>
      </c>
      <c r="E190" s="33" t="s">
        <v>170</v>
      </c>
      <c r="F190" s="33" t="s">
        <v>34</v>
      </c>
      <c r="G190" s="43">
        <v>0.16500000000000001</v>
      </c>
      <c r="H190" s="32" t="s">
        <v>34</v>
      </c>
      <c r="I190" s="32" t="s">
        <v>34</v>
      </c>
      <c r="J190" s="32" t="s">
        <v>34</v>
      </c>
      <c r="K190" s="32" t="s">
        <v>34</v>
      </c>
      <c r="L190" s="32" t="s">
        <v>34</v>
      </c>
      <c r="M190" s="10">
        <v>100</v>
      </c>
      <c r="N190" s="32" t="s">
        <v>43</v>
      </c>
      <c r="O190" s="32">
        <v>0.98750000000000004</v>
      </c>
      <c r="P190" s="32">
        <v>0.58499999999999996</v>
      </c>
      <c r="Q190" s="32">
        <v>0</v>
      </c>
      <c r="R190" s="32" t="s">
        <v>34</v>
      </c>
      <c r="S190" s="36">
        <f t="shared" si="5"/>
        <v>1.06949806949806E-4</v>
      </c>
      <c r="T190" s="32" t="s">
        <v>36</v>
      </c>
      <c r="U190" s="32" t="s">
        <v>37</v>
      </c>
      <c r="V190" s="32" t="s">
        <v>38</v>
      </c>
      <c r="W190" s="32" t="s">
        <v>34</v>
      </c>
      <c r="X190" s="10">
        <v>0.5</v>
      </c>
      <c r="Y190" s="32">
        <v>1</v>
      </c>
      <c r="Z190" s="32" t="s">
        <v>39</v>
      </c>
      <c r="AA190" s="32" t="s">
        <v>34</v>
      </c>
      <c r="AB190" s="13" t="s">
        <v>34</v>
      </c>
      <c r="AC190" s="32" t="s">
        <v>318</v>
      </c>
      <c r="AD190" s="32" t="s">
        <v>32</v>
      </c>
      <c r="AE190" s="32">
        <v>0.46910000000000002</v>
      </c>
      <c r="AF190" s="44" t="s">
        <v>45</v>
      </c>
      <c r="AG190" s="32">
        <v>2013</v>
      </c>
      <c r="AH190" s="44" t="s">
        <v>46</v>
      </c>
      <c r="AI190" s="99">
        <f t="shared" si="4"/>
        <v>0.35559566787003899</v>
      </c>
    </row>
    <row r="191" spans="1:35" s="10" customFormat="1" x14ac:dyDescent="0.3">
      <c r="A191" s="11">
        <v>0.35308953341740101</v>
      </c>
      <c r="B191" s="45">
        <v>3.1274131274131199E-5</v>
      </c>
      <c r="C191" s="33" t="s">
        <v>33</v>
      </c>
      <c r="D191" s="33" t="s">
        <v>35</v>
      </c>
      <c r="E191" s="33" t="s">
        <v>170</v>
      </c>
      <c r="F191" s="33" t="s">
        <v>34</v>
      </c>
      <c r="G191" s="43">
        <v>0.16500000000000001</v>
      </c>
      <c r="H191" s="32" t="s">
        <v>34</v>
      </c>
      <c r="I191" s="32" t="s">
        <v>34</v>
      </c>
      <c r="J191" s="32" t="s">
        <v>34</v>
      </c>
      <c r="K191" s="32" t="s">
        <v>34</v>
      </c>
      <c r="L191" s="32" t="s">
        <v>34</v>
      </c>
      <c r="M191" s="10">
        <v>100</v>
      </c>
      <c r="N191" s="32" t="s">
        <v>43</v>
      </c>
      <c r="O191" s="32">
        <v>0.98750000000000004</v>
      </c>
      <c r="P191" s="32">
        <v>0.58499999999999996</v>
      </c>
      <c r="Q191" s="32">
        <v>0</v>
      </c>
      <c r="R191" s="32" t="s">
        <v>34</v>
      </c>
      <c r="S191" s="36">
        <f t="shared" si="5"/>
        <v>1.06949806949806E-4</v>
      </c>
      <c r="T191" s="32" t="s">
        <v>36</v>
      </c>
      <c r="U191" s="32" t="s">
        <v>37</v>
      </c>
      <c r="V191" s="32" t="s">
        <v>38</v>
      </c>
      <c r="W191" s="32" t="s">
        <v>34</v>
      </c>
      <c r="X191" s="10">
        <v>0.5</v>
      </c>
      <c r="Y191" s="32">
        <v>1</v>
      </c>
      <c r="Z191" s="32" t="s">
        <v>39</v>
      </c>
      <c r="AA191" s="32" t="s">
        <v>34</v>
      </c>
      <c r="AB191" s="13" t="s">
        <v>34</v>
      </c>
      <c r="AC191" s="32" t="s">
        <v>318</v>
      </c>
      <c r="AD191" s="32" t="s">
        <v>32</v>
      </c>
      <c r="AE191" s="32">
        <v>0.46910000000000002</v>
      </c>
      <c r="AF191" s="44" t="s">
        <v>45</v>
      </c>
      <c r="AG191" s="32">
        <v>2013</v>
      </c>
      <c r="AH191" s="44" t="s">
        <v>46</v>
      </c>
      <c r="AI191" s="99">
        <f t="shared" si="4"/>
        <v>0.29241877256317877</v>
      </c>
    </row>
    <row r="192" spans="1:35" s="10" customFormat="1" x14ac:dyDescent="0.3">
      <c r="A192" s="11">
        <v>0.42244640605296402</v>
      </c>
      <c r="B192" s="45">
        <v>2.43243243243243E-5</v>
      </c>
      <c r="C192" s="33" t="s">
        <v>33</v>
      </c>
      <c r="D192" s="33" t="s">
        <v>35</v>
      </c>
      <c r="E192" s="33" t="s">
        <v>170</v>
      </c>
      <c r="F192" s="33" t="s">
        <v>34</v>
      </c>
      <c r="G192" s="43">
        <v>0.16500000000000001</v>
      </c>
      <c r="H192" s="32" t="s">
        <v>34</v>
      </c>
      <c r="I192" s="32" t="s">
        <v>34</v>
      </c>
      <c r="J192" s="32" t="s">
        <v>34</v>
      </c>
      <c r="K192" s="32" t="s">
        <v>34</v>
      </c>
      <c r="L192" s="32" t="s">
        <v>34</v>
      </c>
      <c r="M192" s="10">
        <v>100</v>
      </c>
      <c r="N192" s="32" t="s">
        <v>43</v>
      </c>
      <c r="O192" s="32">
        <v>0.98750000000000004</v>
      </c>
      <c r="P192" s="32">
        <v>0.58499999999999996</v>
      </c>
      <c r="Q192" s="32">
        <v>0</v>
      </c>
      <c r="R192" s="32" t="s">
        <v>34</v>
      </c>
      <c r="S192" s="36">
        <f t="shared" si="5"/>
        <v>1.06949806949806E-4</v>
      </c>
      <c r="T192" s="32" t="s">
        <v>36</v>
      </c>
      <c r="U192" s="32" t="s">
        <v>37</v>
      </c>
      <c r="V192" s="32" t="s">
        <v>38</v>
      </c>
      <c r="W192" s="32" t="s">
        <v>34</v>
      </c>
      <c r="X192" s="10">
        <v>0.5</v>
      </c>
      <c r="Y192" s="32">
        <v>1</v>
      </c>
      <c r="Z192" s="32" t="s">
        <v>39</v>
      </c>
      <c r="AA192" s="32" t="s">
        <v>34</v>
      </c>
      <c r="AB192" s="13" t="s">
        <v>34</v>
      </c>
      <c r="AC192" s="32" t="s">
        <v>318</v>
      </c>
      <c r="AD192" s="32" t="s">
        <v>32</v>
      </c>
      <c r="AE192" s="32">
        <v>0.46910000000000002</v>
      </c>
      <c r="AF192" s="44" t="s">
        <v>45</v>
      </c>
      <c r="AG192" s="32">
        <v>2013</v>
      </c>
      <c r="AH192" s="44" t="s">
        <v>46</v>
      </c>
      <c r="AI192" s="99">
        <f t="shared" si="4"/>
        <v>0.22743682310469493</v>
      </c>
    </row>
    <row r="193" spans="1:35" s="10" customFormat="1" x14ac:dyDescent="0.3">
      <c r="A193" s="11">
        <v>0.49180327868852303</v>
      </c>
      <c r="B193" s="45">
        <v>2.33590733590733E-5</v>
      </c>
      <c r="C193" s="33" t="s">
        <v>33</v>
      </c>
      <c r="D193" s="33" t="s">
        <v>35</v>
      </c>
      <c r="E193" s="33" t="s">
        <v>170</v>
      </c>
      <c r="F193" s="33" t="s">
        <v>34</v>
      </c>
      <c r="G193" s="43">
        <v>0.16500000000000001</v>
      </c>
      <c r="H193" s="32" t="s">
        <v>34</v>
      </c>
      <c r="I193" s="32" t="s">
        <v>34</v>
      </c>
      <c r="J193" s="32" t="s">
        <v>34</v>
      </c>
      <c r="K193" s="32" t="s">
        <v>34</v>
      </c>
      <c r="L193" s="32" t="s">
        <v>34</v>
      </c>
      <c r="M193" s="10">
        <v>100</v>
      </c>
      <c r="N193" s="32" t="s">
        <v>43</v>
      </c>
      <c r="O193" s="32">
        <v>0.98750000000000004</v>
      </c>
      <c r="P193" s="32">
        <v>0.58499999999999996</v>
      </c>
      <c r="Q193" s="32">
        <v>0</v>
      </c>
      <c r="R193" s="32" t="s">
        <v>34</v>
      </c>
      <c r="S193" s="36">
        <f t="shared" si="5"/>
        <v>1.06949806949806E-4</v>
      </c>
      <c r="T193" s="32" t="s">
        <v>36</v>
      </c>
      <c r="U193" s="32" t="s">
        <v>37</v>
      </c>
      <c r="V193" s="32" t="s">
        <v>38</v>
      </c>
      <c r="W193" s="32" t="s">
        <v>34</v>
      </c>
      <c r="X193" s="10">
        <v>0.5</v>
      </c>
      <c r="Y193" s="32">
        <v>1</v>
      </c>
      <c r="Z193" s="32" t="s">
        <v>39</v>
      </c>
      <c r="AA193" s="32" t="s">
        <v>34</v>
      </c>
      <c r="AB193" s="13" t="s">
        <v>34</v>
      </c>
      <c r="AC193" s="32" t="s">
        <v>318</v>
      </c>
      <c r="AD193" s="32" t="s">
        <v>32</v>
      </c>
      <c r="AE193" s="32">
        <v>0.46910000000000002</v>
      </c>
      <c r="AF193" s="44" t="s">
        <v>45</v>
      </c>
      <c r="AG193" s="32">
        <v>2013</v>
      </c>
      <c r="AH193" s="44" t="s">
        <v>46</v>
      </c>
      <c r="AI193" s="99">
        <f t="shared" si="4"/>
        <v>0.21841155234657178</v>
      </c>
    </row>
    <row r="194" spans="1:35" s="10" customFormat="1" x14ac:dyDescent="0.3">
      <c r="A194" s="11">
        <v>0.56746532156368101</v>
      </c>
      <c r="B194" s="45">
        <v>2.33590733590733E-5</v>
      </c>
      <c r="C194" s="33" t="s">
        <v>33</v>
      </c>
      <c r="D194" s="33" t="s">
        <v>35</v>
      </c>
      <c r="E194" s="33" t="s">
        <v>170</v>
      </c>
      <c r="F194" s="33" t="s">
        <v>34</v>
      </c>
      <c r="G194" s="43">
        <v>0.16500000000000001</v>
      </c>
      <c r="H194" s="32" t="s">
        <v>34</v>
      </c>
      <c r="I194" s="32" t="s">
        <v>34</v>
      </c>
      <c r="J194" s="32" t="s">
        <v>34</v>
      </c>
      <c r="K194" s="32" t="s">
        <v>34</v>
      </c>
      <c r="L194" s="32" t="s">
        <v>34</v>
      </c>
      <c r="M194" s="10">
        <v>100</v>
      </c>
      <c r="N194" s="32" t="s">
        <v>43</v>
      </c>
      <c r="O194" s="32">
        <v>0.98750000000000004</v>
      </c>
      <c r="P194" s="32">
        <v>0.58499999999999996</v>
      </c>
      <c r="Q194" s="32">
        <v>0</v>
      </c>
      <c r="R194" s="32" t="s">
        <v>34</v>
      </c>
      <c r="S194" s="36">
        <f t="shared" si="5"/>
        <v>1.06949806949806E-4</v>
      </c>
      <c r="T194" s="32" t="s">
        <v>36</v>
      </c>
      <c r="U194" s="32" t="s">
        <v>37</v>
      </c>
      <c r="V194" s="32" t="s">
        <v>38</v>
      </c>
      <c r="W194" s="32" t="s">
        <v>34</v>
      </c>
      <c r="X194" s="10">
        <v>0.5</v>
      </c>
      <c r="Y194" s="32">
        <v>1</v>
      </c>
      <c r="Z194" s="32" t="s">
        <v>39</v>
      </c>
      <c r="AA194" s="32" t="s">
        <v>34</v>
      </c>
      <c r="AB194" s="13" t="s">
        <v>34</v>
      </c>
      <c r="AC194" s="32" t="s">
        <v>318</v>
      </c>
      <c r="AD194" s="32" t="s">
        <v>32</v>
      </c>
      <c r="AE194" s="32">
        <v>0.46910000000000002</v>
      </c>
      <c r="AF194" s="44" t="s">
        <v>45</v>
      </c>
      <c r="AG194" s="32">
        <v>2013</v>
      </c>
      <c r="AH194" s="44" t="s">
        <v>46</v>
      </c>
      <c r="AI194" s="99">
        <f t="shared" si="4"/>
        <v>0.21841155234657178</v>
      </c>
    </row>
    <row r="195" spans="1:35" s="10" customFormat="1" x14ac:dyDescent="0.3">
      <c r="A195" s="11">
        <v>0.63682219419924202</v>
      </c>
      <c r="B195" s="45">
        <v>2.2007722007721999E-5</v>
      </c>
      <c r="C195" s="33" t="s">
        <v>33</v>
      </c>
      <c r="D195" s="33" t="s">
        <v>35</v>
      </c>
      <c r="E195" s="33" t="s">
        <v>170</v>
      </c>
      <c r="F195" s="33" t="s">
        <v>34</v>
      </c>
      <c r="G195" s="43">
        <v>0.16500000000000001</v>
      </c>
      <c r="H195" s="32" t="s">
        <v>34</v>
      </c>
      <c r="I195" s="32" t="s">
        <v>34</v>
      </c>
      <c r="J195" s="32" t="s">
        <v>34</v>
      </c>
      <c r="K195" s="32" t="s">
        <v>34</v>
      </c>
      <c r="L195" s="32" t="s">
        <v>34</v>
      </c>
      <c r="M195" s="10">
        <v>100</v>
      </c>
      <c r="N195" s="32" t="s">
        <v>43</v>
      </c>
      <c r="O195" s="32">
        <v>0.98750000000000004</v>
      </c>
      <c r="P195" s="32">
        <v>0.58499999999999996</v>
      </c>
      <c r="Q195" s="32">
        <v>0</v>
      </c>
      <c r="R195" s="32" t="s">
        <v>34</v>
      </c>
      <c r="S195" s="36">
        <f t="shared" si="5"/>
        <v>1.06949806949806E-4</v>
      </c>
      <c r="T195" s="32" t="s">
        <v>36</v>
      </c>
      <c r="U195" s="32" t="s">
        <v>37</v>
      </c>
      <c r="V195" s="32" t="s">
        <v>38</v>
      </c>
      <c r="W195" s="32" t="s">
        <v>34</v>
      </c>
      <c r="X195" s="10">
        <v>0.5</v>
      </c>
      <c r="Y195" s="32">
        <v>1</v>
      </c>
      <c r="Z195" s="32" t="s">
        <v>39</v>
      </c>
      <c r="AA195" s="32" t="s">
        <v>34</v>
      </c>
      <c r="AB195" s="13" t="s">
        <v>34</v>
      </c>
      <c r="AC195" s="32" t="s">
        <v>318</v>
      </c>
      <c r="AD195" s="32" t="s">
        <v>32</v>
      </c>
      <c r="AE195" s="32">
        <v>0.46910000000000002</v>
      </c>
      <c r="AF195" s="44" t="s">
        <v>45</v>
      </c>
      <c r="AG195" s="32">
        <v>2013</v>
      </c>
      <c r="AH195" s="44" t="s">
        <v>46</v>
      </c>
      <c r="AI195" s="99">
        <f t="shared" ref="AI195:AI258" si="6">B195/S195</f>
        <v>0.20577617328520029</v>
      </c>
    </row>
    <row r="196" spans="1:35" s="10" customFormat="1" x14ac:dyDescent="0.3">
      <c r="A196" s="11">
        <v>0.70617906683480502</v>
      </c>
      <c r="B196" s="45">
        <v>1.81467181467181E-5</v>
      </c>
      <c r="C196" s="33" t="s">
        <v>33</v>
      </c>
      <c r="D196" s="33" t="s">
        <v>35</v>
      </c>
      <c r="E196" s="33" t="s">
        <v>170</v>
      </c>
      <c r="F196" s="33" t="s">
        <v>34</v>
      </c>
      <c r="G196" s="43">
        <v>0.16500000000000001</v>
      </c>
      <c r="H196" s="32" t="s">
        <v>34</v>
      </c>
      <c r="I196" s="32" t="s">
        <v>34</v>
      </c>
      <c r="J196" s="32" t="s">
        <v>34</v>
      </c>
      <c r="K196" s="32" t="s">
        <v>34</v>
      </c>
      <c r="L196" s="32" t="s">
        <v>34</v>
      </c>
      <c r="M196" s="10">
        <v>100</v>
      </c>
      <c r="N196" s="32" t="s">
        <v>43</v>
      </c>
      <c r="O196" s="32">
        <v>0.98750000000000004</v>
      </c>
      <c r="P196" s="32">
        <v>0.58499999999999996</v>
      </c>
      <c r="Q196" s="32">
        <v>0</v>
      </c>
      <c r="R196" s="32" t="s">
        <v>34</v>
      </c>
      <c r="S196" s="36">
        <f t="shared" ref="S196:S259" si="7">IF(A196=0,B196,S195)</f>
        <v>1.06949806949806E-4</v>
      </c>
      <c r="T196" s="32" t="s">
        <v>36</v>
      </c>
      <c r="U196" s="32" t="s">
        <v>37</v>
      </c>
      <c r="V196" s="32" t="s">
        <v>38</v>
      </c>
      <c r="W196" s="32" t="s">
        <v>34</v>
      </c>
      <c r="X196" s="10">
        <v>0.5</v>
      </c>
      <c r="Y196" s="32">
        <v>1</v>
      </c>
      <c r="Z196" s="32" t="s">
        <v>39</v>
      </c>
      <c r="AA196" s="32" t="s">
        <v>34</v>
      </c>
      <c r="AB196" s="13" t="s">
        <v>34</v>
      </c>
      <c r="AC196" s="32" t="s">
        <v>318</v>
      </c>
      <c r="AD196" s="32" t="s">
        <v>32</v>
      </c>
      <c r="AE196" s="32">
        <v>0.46910000000000002</v>
      </c>
      <c r="AF196" s="44" t="s">
        <v>45</v>
      </c>
      <c r="AG196" s="32">
        <v>2013</v>
      </c>
      <c r="AH196" s="44" t="s">
        <v>46</v>
      </c>
      <c r="AI196" s="99">
        <f t="shared" si="6"/>
        <v>0.16967509025270863</v>
      </c>
    </row>
    <row r="197" spans="1:35" s="10" customFormat="1" x14ac:dyDescent="0.3">
      <c r="A197" s="11">
        <v>0</v>
      </c>
      <c r="B197" s="45">
        <v>1.03088803088803E-4</v>
      </c>
      <c r="C197" s="33" t="s">
        <v>33</v>
      </c>
      <c r="D197" s="33" t="s">
        <v>35</v>
      </c>
      <c r="E197" s="33" t="s">
        <v>170</v>
      </c>
      <c r="F197" s="33" t="s">
        <v>34</v>
      </c>
      <c r="G197" s="43">
        <v>0.16500000000000001</v>
      </c>
      <c r="H197" s="32" t="s">
        <v>34</v>
      </c>
      <c r="I197" s="32" t="s">
        <v>34</v>
      </c>
      <c r="J197" s="32" t="s">
        <v>34</v>
      </c>
      <c r="K197" s="32" t="s">
        <v>34</v>
      </c>
      <c r="L197" s="32" t="s">
        <v>34</v>
      </c>
      <c r="M197" s="10">
        <v>62</v>
      </c>
      <c r="N197" s="32" t="s">
        <v>43</v>
      </c>
      <c r="O197" s="32">
        <v>0.98750000000000004</v>
      </c>
      <c r="P197" s="32">
        <v>0.58499999999999996</v>
      </c>
      <c r="Q197" s="32">
        <v>0</v>
      </c>
      <c r="R197" s="32" t="s">
        <v>34</v>
      </c>
      <c r="S197" s="36">
        <f t="shared" si="7"/>
        <v>1.03088803088803E-4</v>
      </c>
      <c r="T197" s="32" t="s">
        <v>36</v>
      </c>
      <c r="U197" s="32" t="s">
        <v>37</v>
      </c>
      <c r="V197" s="32" t="s">
        <v>38</v>
      </c>
      <c r="W197" s="32" t="s">
        <v>34</v>
      </c>
      <c r="X197" s="10">
        <v>0.5</v>
      </c>
      <c r="Y197" s="32">
        <v>1</v>
      </c>
      <c r="Z197" s="32" t="s">
        <v>39</v>
      </c>
      <c r="AA197" s="32" t="s">
        <v>34</v>
      </c>
      <c r="AB197" s="13" t="s">
        <v>34</v>
      </c>
      <c r="AC197" s="32" t="s">
        <v>318</v>
      </c>
      <c r="AD197" s="32" t="s">
        <v>32</v>
      </c>
      <c r="AE197" s="32">
        <v>0.46910000000000002</v>
      </c>
      <c r="AF197" s="44" t="s">
        <v>45</v>
      </c>
      <c r="AG197" s="32">
        <v>2013</v>
      </c>
      <c r="AH197" s="44" t="s">
        <v>46</v>
      </c>
      <c r="AI197" s="99">
        <f t="shared" si="6"/>
        <v>1</v>
      </c>
    </row>
    <row r="198" spans="1:35" s="10" customFormat="1" x14ac:dyDescent="0.3">
      <c r="A198" s="11">
        <v>1.29255989911727</v>
      </c>
      <c r="B198" s="45">
        <v>3.0501930501930398E-5</v>
      </c>
      <c r="C198" s="33" t="s">
        <v>33</v>
      </c>
      <c r="D198" s="33" t="s">
        <v>35</v>
      </c>
      <c r="E198" s="33" t="s">
        <v>170</v>
      </c>
      <c r="F198" s="33" t="s">
        <v>34</v>
      </c>
      <c r="G198" s="43">
        <v>0.16500000000000001</v>
      </c>
      <c r="H198" s="32" t="s">
        <v>34</v>
      </c>
      <c r="I198" s="32" t="s">
        <v>34</v>
      </c>
      <c r="J198" s="32" t="s">
        <v>34</v>
      </c>
      <c r="K198" s="32" t="s">
        <v>34</v>
      </c>
      <c r="L198" s="32" t="s">
        <v>34</v>
      </c>
      <c r="M198" s="10">
        <v>62</v>
      </c>
      <c r="N198" s="32" t="s">
        <v>43</v>
      </c>
      <c r="O198" s="32">
        <v>0.98750000000000004</v>
      </c>
      <c r="P198" s="32">
        <v>0.58499999999999996</v>
      </c>
      <c r="Q198" s="32">
        <v>0</v>
      </c>
      <c r="R198" s="32" t="s">
        <v>34</v>
      </c>
      <c r="S198" s="36">
        <f t="shared" si="7"/>
        <v>1.03088803088803E-4</v>
      </c>
      <c r="T198" s="32" t="s">
        <v>36</v>
      </c>
      <c r="U198" s="32" t="s">
        <v>37</v>
      </c>
      <c r="V198" s="32" t="s">
        <v>38</v>
      </c>
      <c r="W198" s="32" t="s">
        <v>34</v>
      </c>
      <c r="X198" s="10">
        <v>0.5</v>
      </c>
      <c r="Y198" s="32">
        <v>1</v>
      </c>
      <c r="Z198" s="32" t="s">
        <v>39</v>
      </c>
      <c r="AA198" s="32" t="s">
        <v>34</v>
      </c>
      <c r="AB198" s="13" t="s">
        <v>34</v>
      </c>
      <c r="AC198" s="32" t="s">
        <v>318</v>
      </c>
      <c r="AD198" s="32" t="s">
        <v>32</v>
      </c>
      <c r="AE198" s="32">
        <v>0.46910000000000002</v>
      </c>
      <c r="AF198" s="44" t="s">
        <v>45</v>
      </c>
      <c r="AG198" s="32">
        <v>2013</v>
      </c>
      <c r="AH198" s="44" t="s">
        <v>46</v>
      </c>
      <c r="AI198" s="99">
        <f t="shared" si="6"/>
        <v>0.29588014981273331</v>
      </c>
    </row>
    <row r="199" spans="1:35" s="10" customFormat="1" x14ac:dyDescent="0.3">
      <c r="A199" s="11">
        <v>2.1500630517023902</v>
      </c>
      <c r="B199" s="45">
        <v>1.7953667953667901E-5</v>
      </c>
      <c r="C199" s="33" t="s">
        <v>33</v>
      </c>
      <c r="D199" s="33" t="s">
        <v>35</v>
      </c>
      <c r="E199" s="33" t="s">
        <v>170</v>
      </c>
      <c r="F199" s="33" t="s">
        <v>34</v>
      </c>
      <c r="G199" s="43">
        <v>0.16500000000000001</v>
      </c>
      <c r="H199" s="32" t="s">
        <v>34</v>
      </c>
      <c r="I199" s="32" t="s">
        <v>34</v>
      </c>
      <c r="J199" s="32" t="s">
        <v>34</v>
      </c>
      <c r="K199" s="32" t="s">
        <v>34</v>
      </c>
      <c r="L199" s="32" t="s">
        <v>34</v>
      </c>
      <c r="M199" s="10">
        <v>62</v>
      </c>
      <c r="N199" s="32" t="s">
        <v>43</v>
      </c>
      <c r="O199" s="32">
        <v>0.98750000000000004</v>
      </c>
      <c r="P199" s="32">
        <v>0.58499999999999996</v>
      </c>
      <c r="Q199" s="32">
        <v>0</v>
      </c>
      <c r="R199" s="32" t="s">
        <v>34</v>
      </c>
      <c r="S199" s="36">
        <f t="shared" si="7"/>
        <v>1.03088803088803E-4</v>
      </c>
      <c r="T199" s="32" t="s">
        <v>36</v>
      </c>
      <c r="U199" s="32" t="s">
        <v>37</v>
      </c>
      <c r="V199" s="32" t="s">
        <v>38</v>
      </c>
      <c r="W199" s="32" t="s">
        <v>34</v>
      </c>
      <c r="X199" s="10">
        <v>0.5</v>
      </c>
      <c r="Y199" s="32">
        <v>1</v>
      </c>
      <c r="Z199" s="32" t="s">
        <v>39</v>
      </c>
      <c r="AA199" s="32" t="s">
        <v>34</v>
      </c>
      <c r="AB199" s="13" t="s">
        <v>34</v>
      </c>
      <c r="AC199" s="32" t="s">
        <v>318</v>
      </c>
      <c r="AD199" s="32" t="s">
        <v>32</v>
      </c>
      <c r="AE199" s="32">
        <v>0.46910000000000002</v>
      </c>
      <c r="AF199" s="44" t="s">
        <v>45</v>
      </c>
      <c r="AG199" s="32">
        <v>2013</v>
      </c>
      <c r="AH199" s="44" t="s">
        <v>46</v>
      </c>
      <c r="AI199" s="99">
        <f t="shared" si="6"/>
        <v>0.17415730337078614</v>
      </c>
    </row>
    <row r="200" spans="1:35" s="10" customFormat="1" x14ac:dyDescent="0.3">
      <c r="A200" s="11">
        <v>3.0138713745271102</v>
      </c>
      <c r="B200" s="45">
        <v>1.66023166023166E-5</v>
      </c>
      <c r="C200" s="33" t="s">
        <v>33</v>
      </c>
      <c r="D200" s="33" t="s">
        <v>35</v>
      </c>
      <c r="E200" s="33" t="s">
        <v>170</v>
      </c>
      <c r="F200" s="33" t="s">
        <v>34</v>
      </c>
      <c r="G200" s="43">
        <v>0.16500000000000001</v>
      </c>
      <c r="H200" s="32" t="s">
        <v>34</v>
      </c>
      <c r="I200" s="32" t="s">
        <v>34</v>
      </c>
      <c r="J200" s="32" t="s">
        <v>34</v>
      </c>
      <c r="K200" s="32" t="s">
        <v>34</v>
      </c>
      <c r="L200" s="32" t="s">
        <v>34</v>
      </c>
      <c r="M200" s="10">
        <v>62</v>
      </c>
      <c r="N200" s="32" t="s">
        <v>43</v>
      </c>
      <c r="O200" s="32">
        <v>0.98750000000000004</v>
      </c>
      <c r="P200" s="32">
        <v>0.58499999999999996</v>
      </c>
      <c r="Q200" s="32">
        <v>0</v>
      </c>
      <c r="R200" s="32" t="s">
        <v>34</v>
      </c>
      <c r="S200" s="36">
        <f t="shared" si="7"/>
        <v>1.03088803088803E-4</v>
      </c>
      <c r="T200" s="32" t="s">
        <v>36</v>
      </c>
      <c r="U200" s="32" t="s">
        <v>37</v>
      </c>
      <c r="V200" s="32" t="s">
        <v>38</v>
      </c>
      <c r="W200" s="32" t="s">
        <v>34</v>
      </c>
      <c r="X200" s="10">
        <v>0.5</v>
      </c>
      <c r="Y200" s="32">
        <v>1</v>
      </c>
      <c r="Z200" s="32" t="s">
        <v>39</v>
      </c>
      <c r="AA200" s="32" t="s">
        <v>34</v>
      </c>
      <c r="AB200" s="13" t="s">
        <v>34</v>
      </c>
      <c r="AC200" s="32" t="s">
        <v>318</v>
      </c>
      <c r="AD200" s="32" t="s">
        <v>32</v>
      </c>
      <c r="AE200" s="32">
        <v>0.46910000000000002</v>
      </c>
      <c r="AF200" s="44" t="s">
        <v>45</v>
      </c>
      <c r="AG200" s="32">
        <v>2013</v>
      </c>
      <c r="AH200" s="44" t="s">
        <v>46</v>
      </c>
      <c r="AI200" s="99">
        <f t="shared" si="6"/>
        <v>0.16104868913857689</v>
      </c>
    </row>
    <row r="201" spans="1:35" s="10" customFormat="1" x14ac:dyDescent="0.3">
      <c r="A201" s="11">
        <v>3.8713745271122302</v>
      </c>
      <c r="B201" s="45">
        <v>1.2741312741312701E-5</v>
      </c>
      <c r="C201" s="33" t="s">
        <v>33</v>
      </c>
      <c r="D201" s="33" t="s">
        <v>35</v>
      </c>
      <c r="E201" s="33" t="s">
        <v>170</v>
      </c>
      <c r="F201" s="33" t="s">
        <v>34</v>
      </c>
      <c r="G201" s="43">
        <v>0.16500000000000001</v>
      </c>
      <c r="H201" s="32" t="s">
        <v>34</v>
      </c>
      <c r="I201" s="32" t="s">
        <v>34</v>
      </c>
      <c r="J201" s="32" t="s">
        <v>34</v>
      </c>
      <c r="K201" s="32" t="s">
        <v>34</v>
      </c>
      <c r="L201" s="32" t="s">
        <v>34</v>
      </c>
      <c r="M201" s="10">
        <v>62</v>
      </c>
      <c r="N201" s="32" t="s">
        <v>43</v>
      </c>
      <c r="O201" s="32">
        <v>0.98750000000000004</v>
      </c>
      <c r="P201" s="32">
        <v>0.58499999999999996</v>
      </c>
      <c r="Q201" s="32">
        <v>0</v>
      </c>
      <c r="R201" s="32" t="s">
        <v>34</v>
      </c>
      <c r="S201" s="36">
        <f t="shared" si="7"/>
        <v>1.03088803088803E-4</v>
      </c>
      <c r="T201" s="32" t="s">
        <v>36</v>
      </c>
      <c r="U201" s="32" t="s">
        <v>37</v>
      </c>
      <c r="V201" s="32" t="s">
        <v>38</v>
      </c>
      <c r="W201" s="32" t="s">
        <v>34</v>
      </c>
      <c r="X201" s="10">
        <v>0.5</v>
      </c>
      <c r="Y201" s="32">
        <v>1</v>
      </c>
      <c r="Z201" s="32" t="s">
        <v>39</v>
      </c>
      <c r="AA201" s="32" t="s">
        <v>34</v>
      </c>
      <c r="AB201" s="13" t="s">
        <v>34</v>
      </c>
      <c r="AC201" s="32" t="s">
        <v>318</v>
      </c>
      <c r="AD201" s="32" t="s">
        <v>32</v>
      </c>
      <c r="AE201" s="32">
        <v>0.46910000000000002</v>
      </c>
      <c r="AF201" s="44" t="s">
        <v>45</v>
      </c>
      <c r="AG201" s="32">
        <v>2013</v>
      </c>
      <c r="AH201" s="44" t="s">
        <v>46</v>
      </c>
      <c r="AI201" s="99">
        <f t="shared" si="6"/>
        <v>0.12359550561797723</v>
      </c>
    </row>
    <row r="202" spans="1:35" s="10" customFormat="1" x14ac:dyDescent="0.3">
      <c r="A202" s="11">
        <v>4.7351828499369404</v>
      </c>
      <c r="B202" s="45">
        <v>9.8455598455598508E-6</v>
      </c>
      <c r="C202" s="33" t="s">
        <v>33</v>
      </c>
      <c r="D202" s="33" t="s">
        <v>35</v>
      </c>
      <c r="E202" s="33" t="s">
        <v>170</v>
      </c>
      <c r="F202" s="33" t="s">
        <v>34</v>
      </c>
      <c r="G202" s="43">
        <v>0.16500000000000001</v>
      </c>
      <c r="H202" s="32" t="s">
        <v>34</v>
      </c>
      <c r="I202" s="32" t="s">
        <v>34</v>
      </c>
      <c r="J202" s="32" t="s">
        <v>34</v>
      </c>
      <c r="K202" s="32" t="s">
        <v>34</v>
      </c>
      <c r="L202" s="32" t="s">
        <v>34</v>
      </c>
      <c r="M202" s="10">
        <v>62</v>
      </c>
      <c r="N202" s="32" t="s">
        <v>43</v>
      </c>
      <c r="O202" s="32">
        <v>0.98750000000000004</v>
      </c>
      <c r="P202" s="32">
        <v>0.58499999999999996</v>
      </c>
      <c r="Q202" s="32">
        <v>0</v>
      </c>
      <c r="R202" s="32" t="s">
        <v>34</v>
      </c>
      <c r="S202" s="36">
        <f t="shared" si="7"/>
        <v>1.03088803088803E-4</v>
      </c>
      <c r="T202" s="32" t="s">
        <v>36</v>
      </c>
      <c r="U202" s="32" t="s">
        <v>37</v>
      </c>
      <c r="V202" s="32" t="s">
        <v>38</v>
      </c>
      <c r="W202" s="32" t="s">
        <v>34</v>
      </c>
      <c r="X202" s="10">
        <v>0.5</v>
      </c>
      <c r="Y202" s="32">
        <v>1</v>
      </c>
      <c r="Z202" s="32" t="s">
        <v>39</v>
      </c>
      <c r="AA202" s="32" t="s">
        <v>34</v>
      </c>
      <c r="AB202" s="13" t="s">
        <v>34</v>
      </c>
      <c r="AC202" s="32" t="s">
        <v>318</v>
      </c>
      <c r="AD202" s="32" t="s">
        <v>32</v>
      </c>
      <c r="AE202" s="32">
        <v>0.46910000000000002</v>
      </c>
      <c r="AF202" s="44" t="s">
        <v>45</v>
      </c>
      <c r="AG202" s="32">
        <v>2013</v>
      </c>
      <c r="AH202" s="44" t="s">
        <v>46</v>
      </c>
      <c r="AI202" s="99">
        <f t="shared" si="6"/>
        <v>9.5505617977528212E-2</v>
      </c>
    </row>
    <row r="203" spans="1:35" s="10" customFormat="1" x14ac:dyDescent="0.3">
      <c r="A203" s="11">
        <v>5.5926860025220702</v>
      </c>
      <c r="B203" s="45">
        <v>8.4942084942084993E-6</v>
      </c>
      <c r="C203" s="33" t="s">
        <v>33</v>
      </c>
      <c r="D203" s="33" t="s">
        <v>35</v>
      </c>
      <c r="E203" s="33" t="s">
        <v>170</v>
      </c>
      <c r="F203" s="33" t="s">
        <v>34</v>
      </c>
      <c r="G203" s="43">
        <v>0.16500000000000001</v>
      </c>
      <c r="H203" s="32" t="s">
        <v>34</v>
      </c>
      <c r="I203" s="32" t="s">
        <v>34</v>
      </c>
      <c r="J203" s="32" t="s">
        <v>34</v>
      </c>
      <c r="K203" s="32" t="s">
        <v>34</v>
      </c>
      <c r="L203" s="32" t="s">
        <v>34</v>
      </c>
      <c r="M203" s="10">
        <v>62</v>
      </c>
      <c r="N203" s="32" t="s">
        <v>43</v>
      </c>
      <c r="O203" s="32">
        <v>0.98750000000000004</v>
      </c>
      <c r="P203" s="32">
        <v>0.58499999999999996</v>
      </c>
      <c r="Q203" s="32">
        <v>0</v>
      </c>
      <c r="R203" s="32" t="s">
        <v>34</v>
      </c>
      <c r="S203" s="36">
        <f t="shared" si="7"/>
        <v>1.03088803088803E-4</v>
      </c>
      <c r="T203" s="32" t="s">
        <v>36</v>
      </c>
      <c r="U203" s="32" t="s">
        <v>37</v>
      </c>
      <c r="V203" s="32" t="s">
        <v>38</v>
      </c>
      <c r="W203" s="32" t="s">
        <v>34</v>
      </c>
      <c r="X203" s="10">
        <v>0.5</v>
      </c>
      <c r="Y203" s="32">
        <v>1</v>
      </c>
      <c r="Z203" s="32" t="s">
        <v>39</v>
      </c>
      <c r="AA203" s="32" t="s">
        <v>34</v>
      </c>
      <c r="AB203" s="13" t="s">
        <v>34</v>
      </c>
      <c r="AC203" s="32" t="s">
        <v>318</v>
      </c>
      <c r="AD203" s="32" t="s">
        <v>32</v>
      </c>
      <c r="AE203" s="32">
        <v>0.46910000000000002</v>
      </c>
      <c r="AF203" s="44" t="s">
        <v>45</v>
      </c>
      <c r="AG203" s="32">
        <v>2013</v>
      </c>
      <c r="AH203" s="44" t="s">
        <v>46</v>
      </c>
      <c r="AI203" s="99">
        <f t="shared" si="6"/>
        <v>8.239700374531847E-2</v>
      </c>
    </row>
    <row r="204" spans="1:35" s="10" customFormat="1" x14ac:dyDescent="0.3">
      <c r="A204" s="11">
        <v>6.4501891551071804</v>
      </c>
      <c r="B204" s="45">
        <v>9.4594594594594792E-6</v>
      </c>
      <c r="C204" s="33" t="s">
        <v>33</v>
      </c>
      <c r="D204" s="33" t="s">
        <v>35</v>
      </c>
      <c r="E204" s="33" t="s">
        <v>170</v>
      </c>
      <c r="F204" s="33" t="s">
        <v>34</v>
      </c>
      <c r="G204" s="43">
        <v>0.16500000000000001</v>
      </c>
      <c r="H204" s="32" t="s">
        <v>34</v>
      </c>
      <c r="I204" s="32" t="s">
        <v>34</v>
      </c>
      <c r="J204" s="32" t="s">
        <v>34</v>
      </c>
      <c r="K204" s="32" t="s">
        <v>34</v>
      </c>
      <c r="L204" s="32" t="s">
        <v>34</v>
      </c>
      <c r="M204" s="10">
        <v>62</v>
      </c>
      <c r="N204" s="32" t="s">
        <v>43</v>
      </c>
      <c r="O204" s="32">
        <v>0.98750000000000004</v>
      </c>
      <c r="P204" s="32">
        <v>0.58499999999999996</v>
      </c>
      <c r="Q204" s="32">
        <v>0</v>
      </c>
      <c r="R204" s="32" t="s">
        <v>34</v>
      </c>
      <c r="S204" s="36">
        <f t="shared" si="7"/>
        <v>1.03088803088803E-4</v>
      </c>
      <c r="T204" s="32" t="s">
        <v>36</v>
      </c>
      <c r="U204" s="32" t="s">
        <v>37</v>
      </c>
      <c r="V204" s="32" t="s">
        <v>38</v>
      </c>
      <c r="W204" s="32" t="s">
        <v>34</v>
      </c>
      <c r="X204" s="10">
        <v>0.5</v>
      </c>
      <c r="Y204" s="32">
        <v>1</v>
      </c>
      <c r="Z204" s="32" t="s">
        <v>39</v>
      </c>
      <c r="AA204" s="32" t="s">
        <v>34</v>
      </c>
      <c r="AB204" s="13" t="s">
        <v>34</v>
      </c>
      <c r="AC204" s="32" t="s">
        <v>318</v>
      </c>
      <c r="AD204" s="32" t="s">
        <v>32</v>
      </c>
      <c r="AE204" s="32">
        <v>0.46910000000000002</v>
      </c>
      <c r="AF204" s="44" t="s">
        <v>45</v>
      </c>
      <c r="AG204" s="32">
        <v>2013</v>
      </c>
      <c r="AH204" s="44" t="s">
        <v>46</v>
      </c>
      <c r="AI204" s="99">
        <f t="shared" si="6"/>
        <v>9.1760299625468431E-2</v>
      </c>
    </row>
    <row r="205" spans="1:35" s="10" customFormat="1" x14ac:dyDescent="0.3">
      <c r="A205" s="11">
        <v>1.2547288776796901</v>
      </c>
      <c r="B205" s="45">
        <v>3.0115830115830101E-5</v>
      </c>
      <c r="C205" s="33" t="s">
        <v>33</v>
      </c>
      <c r="D205" s="33" t="s">
        <v>35</v>
      </c>
      <c r="E205" s="33" t="s">
        <v>170</v>
      </c>
      <c r="F205" s="33" t="s">
        <v>34</v>
      </c>
      <c r="G205" s="43">
        <v>0.16500000000000001</v>
      </c>
      <c r="H205" s="32" t="s">
        <v>34</v>
      </c>
      <c r="I205" s="32" t="s">
        <v>34</v>
      </c>
      <c r="J205" s="32" t="s">
        <v>34</v>
      </c>
      <c r="K205" s="32" t="s">
        <v>34</v>
      </c>
      <c r="L205" s="32" t="s">
        <v>34</v>
      </c>
      <c r="M205" s="10">
        <v>71</v>
      </c>
      <c r="N205" s="32" t="s">
        <v>43</v>
      </c>
      <c r="O205" s="32">
        <v>0.98750000000000004</v>
      </c>
      <c r="P205" s="32">
        <v>0.58499999999999996</v>
      </c>
      <c r="Q205" s="32">
        <v>0</v>
      </c>
      <c r="R205" s="32" t="s">
        <v>34</v>
      </c>
      <c r="S205" s="36">
        <f t="shared" si="7"/>
        <v>1.03088803088803E-4</v>
      </c>
      <c r="T205" s="32" t="s">
        <v>36</v>
      </c>
      <c r="U205" s="32" t="s">
        <v>37</v>
      </c>
      <c r="V205" s="32" t="s">
        <v>38</v>
      </c>
      <c r="W205" s="32" t="s">
        <v>34</v>
      </c>
      <c r="X205" s="10">
        <v>0.5</v>
      </c>
      <c r="Y205" s="32">
        <v>1</v>
      </c>
      <c r="Z205" s="32" t="s">
        <v>39</v>
      </c>
      <c r="AA205" s="32" t="s">
        <v>34</v>
      </c>
      <c r="AB205" s="13" t="s">
        <v>34</v>
      </c>
      <c r="AC205" s="32" t="s">
        <v>318</v>
      </c>
      <c r="AD205" s="32" t="s">
        <v>32</v>
      </c>
      <c r="AE205" s="32">
        <v>0.46910000000000002</v>
      </c>
      <c r="AF205" s="44" t="s">
        <v>45</v>
      </c>
      <c r="AG205" s="32">
        <v>2013</v>
      </c>
      <c r="AH205" s="44" t="s">
        <v>46</v>
      </c>
      <c r="AI205" s="99">
        <f t="shared" si="6"/>
        <v>0.29213483146067426</v>
      </c>
    </row>
    <row r="206" spans="1:35" s="10" customFormat="1" x14ac:dyDescent="0.3">
      <c r="A206" s="11">
        <v>2.1059268600252201</v>
      </c>
      <c r="B206" s="45">
        <v>2.74131274131273E-5</v>
      </c>
      <c r="C206" s="33" t="s">
        <v>33</v>
      </c>
      <c r="D206" s="33" t="s">
        <v>35</v>
      </c>
      <c r="E206" s="33" t="s">
        <v>170</v>
      </c>
      <c r="F206" s="33" t="s">
        <v>34</v>
      </c>
      <c r="G206" s="43">
        <v>0.16500000000000001</v>
      </c>
      <c r="H206" s="32" t="s">
        <v>34</v>
      </c>
      <c r="I206" s="32" t="s">
        <v>34</v>
      </c>
      <c r="J206" s="32" t="s">
        <v>34</v>
      </c>
      <c r="K206" s="32" t="s">
        <v>34</v>
      </c>
      <c r="L206" s="32" t="s">
        <v>34</v>
      </c>
      <c r="M206" s="10">
        <v>71</v>
      </c>
      <c r="N206" s="32" t="s">
        <v>43</v>
      </c>
      <c r="O206" s="32">
        <v>0.98750000000000004</v>
      </c>
      <c r="P206" s="32">
        <v>0.58499999999999996</v>
      </c>
      <c r="Q206" s="32">
        <v>0</v>
      </c>
      <c r="R206" s="32" t="s">
        <v>34</v>
      </c>
      <c r="S206" s="36">
        <f t="shared" si="7"/>
        <v>1.03088803088803E-4</v>
      </c>
      <c r="T206" s="32" t="s">
        <v>36</v>
      </c>
      <c r="U206" s="32" t="s">
        <v>37</v>
      </c>
      <c r="V206" s="32" t="s">
        <v>38</v>
      </c>
      <c r="W206" s="32" t="s">
        <v>34</v>
      </c>
      <c r="X206" s="10">
        <v>0.5</v>
      </c>
      <c r="Y206" s="32">
        <v>1</v>
      </c>
      <c r="Z206" s="32" t="s">
        <v>39</v>
      </c>
      <c r="AA206" s="32" t="s">
        <v>34</v>
      </c>
      <c r="AB206" s="13" t="s">
        <v>34</v>
      </c>
      <c r="AC206" s="32" t="s">
        <v>318</v>
      </c>
      <c r="AD206" s="32" t="s">
        <v>32</v>
      </c>
      <c r="AE206" s="32">
        <v>0.46910000000000002</v>
      </c>
      <c r="AF206" s="44" t="s">
        <v>45</v>
      </c>
      <c r="AG206" s="32">
        <v>2013</v>
      </c>
      <c r="AH206" s="44" t="s">
        <v>46</v>
      </c>
      <c r="AI206" s="99">
        <f t="shared" si="6"/>
        <v>0.26591760299625378</v>
      </c>
    </row>
    <row r="207" spans="1:35" s="10" customFormat="1" x14ac:dyDescent="0.3">
      <c r="A207" s="11">
        <v>2.9508196721311402</v>
      </c>
      <c r="B207" s="45">
        <v>1.9498069498069499E-5</v>
      </c>
      <c r="C207" s="33" t="s">
        <v>33</v>
      </c>
      <c r="D207" s="33" t="s">
        <v>35</v>
      </c>
      <c r="E207" s="33" t="s">
        <v>170</v>
      </c>
      <c r="F207" s="33" t="s">
        <v>34</v>
      </c>
      <c r="G207" s="43">
        <v>0.16500000000000001</v>
      </c>
      <c r="H207" s="32" t="s">
        <v>34</v>
      </c>
      <c r="I207" s="32" t="s">
        <v>34</v>
      </c>
      <c r="J207" s="32" t="s">
        <v>34</v>
      </c>
      <c r="K207" s="32" t="s">
        <v>34</v>
      </c>
      <c r="L207" s="32" t="s">
        <v>34</v>
      </c>
      <c r="M207" s="10">
        <v>71</v>
      </c>
      <c r="N207" s="32" t="s">
        <v>43</v>
      </c>
      <c r="O207" s="32">
        <v>0.98750000000000004</v>
      </c>
      <c r="P207" s="32">
        <v>0.58499999999999996</v>
      </c>
      <c r="Q207" s="32">
        <v>0</v>
      </c>
      <c r="R207" s="32" t="s">
        <v>34</v>
      </c>
      <c r="S207" s="36">
        <f t="shared" si="7"/>
        <v>1.03088803088803E-4</v>
      </c>
      <c r="T207" s="32" t="s">
        <v>36</v>
      </c>
      <c r="U207" s="32" t="s">
        <v>37</v>
      </c>
      <c r="V207" s="32" t="s">
        <v>38</v>
      </c>
      <c r="W207" s="32" t="s">
        <v>34</v>
      </c>
      <c r="X207" s="10">
        <v>0.5</v>
      </c>
      <c r="Y207" s="32">
        <v>1</v>
      </c>
      <c r="Z207" s="32" t="s">
        <v>39</v>
      </c>
      <c r="AA207" s="32" t="s">
        <v>34</v>
      </c>
      <c r="AB207" s="13" t="s">
        <v>34</v>
      </c>
      <c r="AC207" s="32" t="s">
        <v>318</v>
      </c>
      <c r="AD207" s="32" t="s">
        <v>32</v>
      </c>
      <c r="AE207" s="32">
        <v>0.46910000000000002</v>
      </c>
      <c r="AF207" s="44" t="s">
        <v>45</v>
      </c>
      <c r="AG207" s="32">
        <v>2013</v>
      </c>
      <c r="AH207" s="44" t="s">
        <v>46</v>
      </c>
      <c r="AI207" s="99">
        <f t="shared" si="6"/>
        <v>0.18913857677902637</v>
      </c>
    </row>
    <row r="208" spans="1:35" s="10" customFormat="1" x14ac:dyDescent="0.3">
      <c r="A208" s="11">
        <v>3.80201765447667</v>
      </c>
      <c r="B208" s="45">
        <v>1.8918918918918901E-5</v>
      </c>
      <c r="C208" s="33" t="s">
        <v>33</v>
      </c>
      <c r="D208" s="33" t="s">
        <v>35</v>
      </c>
      <c r="E208" s="33" t="s">
        <v>170</v>
      </c>
      <c r="F208" s="33" t="s">
        <v>34</v>
      </c>
      <c r="G208" s="43">
        <v>0.16500000000000001</v>
      </c>
      <c r="H208" s="32" t="s">
        <v>34</v>
      </c>
      <c r="I208" s="32" t="s">
        <v>34</v>
      </c>
      <c r="J208" s="32" t="s">
        <v>34</v>
      </c>
      <c r="K208" s="32" t="s">
        <v>34</v>
      </c>
      <c r="L208" s="32" t="s">
        <v>34</v>
      </c>
      <c r="M208" s="10">
        <v>71</v>
      </c>
      <c r="N208" s="32" t="s">
        <v>43</v>
      </c>
      <c r="O208" s="32">
        <v>0.98750000000000004</v>
      </c>
      <c r="P208" s="32">
        <v>0.58499999999999996</v>
      </c>
      <c r="Q208" s="32">
        <v>0</v>
      </c>
      <c r="R208" s="32" t="s">
        <v>34</v>
      </c>
      <c r="S208" s="36">
        <f t="shared" si="7"/>
        <v>1.03088803088803E-4</v>
      </c>
      <c r="T208" s="32" t="s">
        <v>36</v>
      </c>
      <c r="U208" s="32" t="s">
        <v>37</v>
      </c>
      <c r="V208" s="32" t="s">
        <v>38</v>
      </c>
      <c r="W208" s="32" t="s">
        <v>34</v>
      </c>
      <c r="X208" s="10">
        <v>0.5</v>
      </c>
      <c r="Y208" s="32">
        <v>1</v>
      </c>
      <c r="Z208" s="32" t="s">
        <v>39</v>
      </c>
      <c r="AA208" s="32" t="s">
        <v>34</v>
      </c>
      <c r="AB208" s="13" t="s">
        <v>34</v>
      </c>
      <c r="AC208" s="32" t="s">
        <v>318</v>
      </c>
      <c r="AD208" s="32" t="s">
        <v>32</v>
      </c>
      <c r="AE208" s="32">
        <v>0.46910000000000002</v>
      </c>
      <c r="AF208" s="44" t="s">
        <v>45</v>
      </c>
      <c r="AG208" s="32">
        <v>2013</v>
      </c>
      <c r="AH208" s="44" t="s">
        <v>46</v>
      </c>
      <c r="AI208" s="99">
        <f t="shared" si="6"/>
        <v>0.18352059925093631</v>
      </c>
    </row>
    <row r="209" spans="1:35" s="10" customFormat="1" x14ac:dyDescent="0.3">
      <c r="A209" s="11">
        <v>4.6469104665826002</v>
      </c>
      <c r="B209" s="45">
        <v>1.7760617760617701E-5</v>
      </c>
      <c r="C209" s="33" t="s">
        <v>33</v>
      </c>
      <c r="D209" s="33" t="s">
        <v>35</v>
      </c>
      <c r="E209" s="33" t="s">
        <v>170</v>
      </c>
      <c r="F209" s="33" t="s">
        <v>34</v>
      </c>
      <c r="G209" s="43">
        <v>0.16500000000000001</v>
      </c>
      <c r="H209" s="32" t="s">
        <v>34</v>
      </c>
      <c r="I209" s="32" t="s">
        <v>34</v>
      </c>
      <c r="J209" s="32" t="s">
        <v>34</v>
      </c>
      <c r="K209" s="32" t="s">
        <v>34</v>
      </c>
      <c r="L209" s="32" t="s">
        <v>34</v>
      </c>
      <c r="M209" s="10">
        <v>71</v>
      </c>
      <c r="N209" s="32" t="s">
        <v>43</v>
      </c>
      <c r="O209" s="32">
        <v>0.98750000000000004</v>
      </c>
      <c r="P209" s="32">
        <v>0.58499999999999996</v>
      </c>
      <c r="Q209" s="32">
        <v>0</v>
      </c>
      <c r="R209" s="32" t="s">
        <v>34</v>
      </c>
      <c r="S209" s="36">
        <f t="shared" si="7"/>
        <v>1.03088803088803E-4</v>
      </c>
      <c r="T209" s="32" t="s">
        <v>36</v>
      </c>
      <c r="U209" s="32" t="s">
        <v>37</v>
      </c>
      <c r="V209" s="32" t="s">
        <v>38</v>
      </c>
      <c r="W209" s="32" t="s">
        <v>34</v>
      </c>
      <c r="X209" s="10">
        <v>0.5</v>
      </c>
      <c r="Y209" s="32">
        <v>1</v>
      </c>
      <c r="Z209" s="32" t="s">
        <v>39</v>
      </c>
      <c r="AA209" s="32" t="s">
        <v>34</v>
      </c>
      <c r="AB209" s="13" t="s">
        <v>34</v>
      </c>
      <c r="AC209" s="32" t="s">
        <v>318</v>
      </c>
      <c r="AD209" s="32" t="s">
        <v>32</v>
      </c>
      <c r="AE209" s="32">
        <v>0.46910000000000002</v>
      </c>
      <c r="AF209" s="44" t="s">
        <v>45</v>
      </c>
      <c r="AG209" s="32">
        <v>2013</v>
      </c>
      <c r="AH209" s="44" t="s">
        <v>46</v>
      </c>
      <c r="AI209" s="99">
        <f t="shared" si="6"/>
        <v>0.17228464419475611</v>
      </c>
    </row>
    <row r="210" spans="1:35" s="10" customFormat="1" x14ac:dyDescent="0.3">
      <c r="A210" s="11">
        <v>5.4854981084489198</v>
      </c>
      <c r="B210" s="45">
        <v>1.54440154440154E-5</v>
      </c>
      <c r="C210" s="33" t="s">
        <v>33</v>
      </c>
      <c r="D210" s="33" t="s">
        <v>35</v>
      </c>
      <c r="E210" s="33" t="s">
        <v>170</v>
      </c>
      <c r="F210" s="33" t="s">
        <v>34</v>
      </c>
      <c r="G210" s="43">
        <v>0.16500000000000001</v>
      </c>
      <c r="H210" s="32" t="s">
        <v>34</v>
      </c>
      <c r="I210" s="32" t="s">
        <v>34</v>
      </c>
      <c r="J210" s="32" t="s">
        <v>34</v>
      </c>
      <c r="K210" s="32" t="s">
        <v>34</v>
      </c>
      <c r="L210" s="32" t="s">
        <v>34</v>
      </c>
      <c r="M210" s="10">
        <v>71</v>
      </c>
      <c r="N210" s="32" t="s">
        <v>43</v>
      </c>
      <c r="O210" s="32">
        <v>0.98750000000000004</v>
      </c>
      <c r="P210" s="32">
        <v>0.58499999999999996</v>
      </c>
      <c r="Q210" s="32">
        <v>0</v>
      </c>
      <c r="R210" s="32" t="s">
        <v>34</v>
      </c>
      <c r="S210" s="36">
        <f t="shared" si="7"/>
        <v>1.03088803088803E-4</v>
      </c>
      <c r="T210" s="32" t="s">
        <v>36</v>
      </c>
      <c r="U210" s="32" t="s">
        <v>37</v>
      </c>
      <c r="V210" s="32" t="s">
        <v>38</v>
      </c>
      <c r="W210" s="32" t="s">
        <v>34</v>
      </c>
      <c r="X210" s="10">
        <v>0.5</v>
      </c>
      <c r="Y210" s="32">
        <v>1</v>
      </c>
      <c r="Z210" s="32" t="s">
        <v>39</v>
      </c>
      <c r="AA210" s="32" t="s">
        <v>34</v>
      </c>
      <c r="AB210" s="13" t="s">
        <v>34</v>
      </c>
      <c r="AC210" s="32" t="s">
        <v>318</v>
      </c>
      <c r="AD210" s="32" t="s">
        <v>32</v>
      </c>
      <c r="AE210" s="32">
        <v>0.46910000000000002</v>
      </c>
      <c r="AF210" s="44" t="s">
        <v>45</v>
      </c>
      <c r="AG210" s="32">
        <v>2013</v>
      </c>
      <c r="AH210" s="44" t="s">
        <v>46</v>
      </c>
      <c r="AI210" s="99">
        <f t="shared" si="6"/>
        <v>0.1498127340823967</v>
      </c>
    </row>
    <row r="211" spans="1:35" s="10" customFormat="1" x14ac:dyDescent="0.3">
      <c r="A211" s="11">
        <v>6.3366960907944501</v>
      </c>
      <c r="B211" s="45">
        <v>1.54440154440154E-5</v>
      </c>
      <c r="C211" s="33" t="s">
        <v>33</v>
      </c>
      <c r="D211" s="33" t="s">
        <v>35</v>
      </c>
      <c r="E211" s="33" t="s">
        <v>170</v>
      </c>
      <c r="F211" s="33" t="s">
        <v>34</v>
      </c>
      <c r="G211" s="43">
        <v>0.16500000000000001</v>
      </c>
      <c r="H211" s="32" t="s">
        <v>34</v>
      </c>
      <c r="I211" s="32" t="s">
        <v>34</v>
      </c>
      <c r="J211" s="32" t="s">
        <v>34</v>
      </c>
      <c r="K211" s="32" t="s">
        <v>34</v>
      </c>
      <c r="L211" s="32" t="s">
        <v>34</v>
      </c>
      <c r="M211" s="10">
        <v>71</v>
      </c>
      <c r="N211" s="32" t="s">
        <v>43</v>
      </c>
      <c r="O211" s="32">
        <v>0.98750000000000004</v>
      </c>
      <c r="P211" s="32">
        <v>0.58499999999999996</v>
      </c>
      <c r="Q211" s="32">
        <v>0</v>
      </c>
      <c r="R211" s="32" t="s">
        <v>34</v>
      </c>
      <c r="S211" s="36">
        <f t="shared" si="7"/>
        <v>1.03088803088803E-4</v>
      </c>
      <c r="T211" s="32" t="s">
        <v>36</v>
      </c>
      <c r="U211" s="32" t="s">
        <v>37</v>
      </c>
      <c r="V211" s="32" t="s">
        <v>38</v>
      </c>
      <c r="W211" s="32" t="s">
        <v>34</v>
      </c>
      <c r="X211" s="10">
        <v>0.5</v>
      </c>
      <c r="Y211" s="32">
        <v>1</v>
      </c>
      <c r="Z211" s="32" t="s">
        <v>39</v>
      </c>
      <c r="AA211" s="32" t="s">
        <v>34</v>
      </c>
      <c r="AB211" s="13" t="s">
        <v>34</v>
      </c>
      <c r="AC211" s="32" t="s">
        <v>318</v>
      </c>
      <c r="AD211" s="32" t="s">
        <v>32</v>
      </c>
      <c r="AE211" s="32">
        <v>0.46910000000000002</v>
      </c>
      <c r="AF211" s="44" t="s">
        <v>45</v>
      </c>
      <c r="AG211" s="32">
        <v>2013</v>
      </c>
      <c r="AH211" s="44" t="s">
        <v>46</v>
      </c>
      <c r="AI211" s="99">
        <f t="shared" si="6"/>
        <v>0.1498127340823967</v>
      </c>
    </row>
    <row r="212" spans="1:35" s="10" customFormat="1" x14ac:dyDescent="0.3">
      <c r="A212" s="11">
        <v>0</v>
      </c>
      <c r="B212" s="45">
        <v>5.2123552123552101E-5</v>
      </c>
      <c r="C212" s="33" t="s">
        <v>33</v>
      </c>
      <c r="D212" s="33" t="s">
        <v>35</v>
      </c>
      <c r="E212" s="33" t="s">
        <v>170</v>
      </c>
      <c r="F212" s="33" t="s">
        <v>34</v>
      </c>
      <c r="G212" s="43">
        <v>0.16500000000000001</v>
      </c>
      <c r="H212" s="32" t="s">
        <v>34</v>
      </c>
      <c r="I212" s="32" t="s">
        <v>34</v>
      </c>
      <c r="J212" s="32" t="s">
        <v>34</v>
      </c>
      <c r="K212" s="32" t="s">
        <v>34</v>
      </c>
      <c r="L212" s="32" t="s">
        <v>34</v>
      </c>
      <c r="M212" s="10">
        <v>100</v>
      </c>
      <c r="N212" s="32" t="s">
        <v>43</v>
      </c>
      <c r="O212" s="32">
        <v>0.98750000000000004</v>
      </c>
      <c r="P212" s="32">
        <v>0.58499999999999996</v>
      </c>
      <c r="Q212" s="32">
        <v>0</v>
      </c>
      <c r="R212" s="32" t="s">
        <v>34</v>
      </c>
      <c r="S212" s="36">
        <f t="shared" si="7"/>
        <v>5.2123552123552101E-5</v>
      </c>
      <c r="T212" s="32" t="s">
        <v>36</v>
      </c>
      <c r="U212" s="32" t="s">
        <v>37</v>
      </c>
      <c r="V212" s="32" t="s">
        <v>38</v>
      </c>
      <c r="W212" s="32" t="s">
        <v>34</v>
      </c>
      <c r="X212" s="10">
        <v>0.5</v>
      </c>
      <c r="Y212" s="32">
        <v>1</v>
      </c>
      <c r="Z212" s="32" t="s">
        <v>39</v>
      </c>
      <c r="AA212" s="32" t="s">
        <v>34</v>
      </c>
      <c r="AB212" s="13" t="s">
        <v>34</v>
      </c>
      <c r="AC212" s="32" t="s">
        <v>318</v>
      </c>
      <c r="AD212" s="32" t="s">
        <v>32</v>
      </c>
      <c r="AE212" s="32">
        <v>0.46910000000000002</v>
      </c>
      <c r="AF212" s="44" t="s">
        <v>45</v>
      </c>
      <c r="AG212" s="32">
        <v>2013</v>
      </c>
      <c r="AH212" s="44" t="s">
        <v>46</v>
      </c>
      <c r="AI212" s="99">
        <f t="shared" si="6"/>
        <v>1</v>
      </c>
    </row>
    <row r="213" spans="1:35" s="10" customFormat="1" x14ac:dyDescent="0.3">
      <c r="A213" s="11">
        <v>0.98360655737705005</v>
      </c>
      <c r="B213" s="45">
        <v>2.4710424710424699E-5</v>
      </c>
      <c r="C213" s="33" t="s">
        <v>33</v>
      </c>
      <c r="D213" s="33" t="s">
        <v>35</v>
      </c>
      <c r="E213" s="33" t="s">
        <v>170</v>
      </c>
      <c r="F213" s="33" t="s">
        <v>34</v>
      </c>
      <c r="G213" s="43">
        <v>0.16500000000000001</v>
      </c>
      <c r="H213" s="32" t="s">
        <v>34</v>
      </c>
      <c r="I213" s="32" t="s">
        <v>34</v>
      </c>
      <c r="J213" s="32" t="s">
        <v>34</v>
      </c>
      <c r="K213" s="32" t="s">
        <v>34</v>
      </c>
      <c r="L213" s="32" t="s">
        <v>34</v>
      </c>
      <c r="M213" s="10">
        <v>100</v>
      </c>
      <c r="N213" s="32" t="s">
        <v>43</v>
      </c>
      <c r="O213" s="32">
        <v>0.98750000000000004</v>
      </c>
      <c r="P213" s="32">
        <v>0.58499999999999996</v>
      </c>
      <c r="Q213" s="32">
        <v>0</v>
      </c>
      <c r="R213" s="32" t="s">
        <v>34</v>
      </c>
      <c r="S213" s="36">
        <f t="shared" si="7"/>
        <v>5.2123552123552101E-5</v>
      </c>
      <c r="T213" s="32" t="s">
        <v>36</v>
      </c>
      <c r="U213" s="32" t="s">
        <v>37</v>
      </c>
      <c r="V213" s="32" t="s">
        <v>38</v>
      </c>
      <c r="W213" s="32" t="s">
        <v>34</v>
      </c>
      <c r="X213" s="10">
        <v>0.5</v>
      </c>
      <c r="Y213" s="32">
        <v>1</v>
      </c>
      <c r="Z213" s="32" t="s">
        <v>39</v>
      </c>
      <c r="AA213" s="32" t="s">
        <v>34</v>
      </c>
      <c r="AB213" s="13" t="s">
        <v>34</v>
      </c>
      <c r="AC213" s="32" t="s">
        <v>318</v>
      </c>
      <c r="AD213" s="32" t="s">
        <v>32</v>
      </c>
      <c r="AE213" s="32">
        <v>0.46910000000000002</v>
      </c>
      <c r="AF213" s="44" t="s">
        <v>45</v>
      </c>
      <c r="AG213" s="32">
        <v>2013</v>
      </c>
      <c r="AH213" s="44" t="s">
        <v>46</v>
      </c>
      <c r="AI213" s="99">
        <f t="shared" si="6"/>
        <v>0.47407407407407404</v>
      </c>
    </row>
    <row r="214" spans="1:35" s="10" customFormat="1" x14ac:dyDescent="0.3">
      <c r="A214" s="11">
        <v>1.9672131147540901</v>
      </c>
      <c r="B214" s="45">
        <v>1.25482625482625E-5</v>
      </c>
      <c r="C214" s="33" t="s">
        <v>33</v>
      </c>
      <c r="D214" s="33" t="s">
        <v>35</v>
      </c>
      <c r="E214" s="33" t="s">
        <v>170</v>
      </c>
      <c r="F214" s="33" t="s">
        <v>34</v>
      </c>
      <c r="G214" s="43">
        <v>0.16500000000000001</v>
      </c>
      <c r="H214" s="32" t="s">
        <v>34</v>
      </c>
      <c r="I214" s="32" t="s">
        <v>34</v>
      </c>
      <c r="J214" s="32" t="s">
        <v>34</v>
      </c>
      <c r="K214" s="32" t="s">
        <v>34</v>
      </c>
      <c r="L214" s="32" t="s">
        <v>34</v>
      </c>
      <c r="M214" s="10">
        <v>100</v>
      </c>
      <c r="N214" s="32" t="s">
        <v>43</v>
      </c>
      <c r="O214" s="32">
        <v>0.98750000000000004</v>
      </c>
      <c r="P214" s="32">
        <v>0.58499999999999996</v>
      </c>
      <c r="Q214" s="32">
        <v>0</v>
      </c>
      <c r="R214" s="32" t="s">
        <v>34</v>
      </c>
      <c r="S214" s="36">
        <f t="shared" si="7"/>
        <v>5.2123552123552101E-5</v>
      </c>
      <c r="T214" s="32" t="s">
        <v>36</v>
      </c>
      <c r="U214" s="32" t="s">
        <v>37</v>
      </c>
      <c r="V214" s="32" t="s">
        <v>38</v>
      </c>
      <c r="W214" s="32" t="s">
        <v>34</v>
      </c>
      <c r="X214" s="10">
        <v>0.5</v>
      </c>
      <c r="Y214" s="32">
        <v>1</v>
      </c>
      <c r="Z214" s="32" t="s">
        <v>39</v>
      </c>
      <c r="AA214" s="32" t="s">
        <v>34</v>
      </c>
      <c r="AB214" s="13" t="s">
        <v>34</v>
      </c>
      <c r="AC214" s="32" t="s">
        <v>318</v>
      </c>
      <c r="AD214" s="32" t="s">
        <v>32</v>
      </c>
      <c r="AE214" s="32">
        <v>0.46910000000000002</v>
      </c>
      <c r="AF214" s="44" t="s">
        <v>45</v>
      </c>
      <c r="AG214" s="32">
        <v>2013</v>
      </c>
      <c r="AH214" s="44" t="s">
        <v>46</v>
      </c>
      <c r="AI214" s="99">
        <f t="shared" si="6"/>
        <v>0.24074074074073992</v>
      </c>
    </row>
    <row r="215" spans="1:35" s="10" customFormat="1" x14ac:dyDescent="0.3">
      <c r="A215" s="11">
        <v>2.9571248423707401</v>
      </c>
      <c r="B215" s="45">
        <v>8.6872586872587105E-6</v>
      </c>
      <c r="C215" s="33" t="s">
        <v>33</v>
      </c>
      <c r="D215" s="33" t="s">
        <v>35</v>
      </c>
      <c r="E215" s="33" t="s">
        <v>170</v>
      </c>
      <c r="F215" s="33" t="s">
        <v>34</v>
      </c>
      <c r="G215" s="43">
        <v>0.16500000000000001</v>
      </c>
      <c r="H215" s="32" t="s">
        <v>34</v>
      </c>
      <c r="I215" s="32" t="s">
        <v>34</v>
      </c>
      <c r="J215" s="32" t="s">
        <v>34</v>
      </c>
      <c r="K215" s="32" t="s">
        <v>34</v>
      </c>
      <c r="L215" s="32" t="s">
        <v>34</v>
      </c>
      <c r="M215" s="10">
        <v>100</v>
      </c>
      <c r="N215" s="32" t="s">
        <v>43</v>
      </c>
      <c r="O215" s="32">
        <v>0.98750000000000004</v>
      </c>
      <c r="P215" s="32">
        <v>0.58499999999999996</v>
      </c>
      <c r="Q215" s="32">
        <v>0</v>
      </c>
      <c r="R215" s="32" t="s">
        <v>34</v>
      </c>
      <c r="S215" s="36">
        <f t="shared" si="7"/>
        <v>5.2123552123552101E-5</v>
      </c>
      <c r="T215" s="32" t="s">
        <v>36</v>
      </c>
      <c r="U215" s="32" t="s">
        <v>37</v>
      </c>
      <c r="V215" s="32" t="s">
        <v>38</v>
      </c>
      <c r="W215" s="32" t="s">
        <v>34</v>
      </c>
      <c r="X215" s="10">
        <v>0.5</v>
      </c>
      <c r="Y215" s="32">
        <v>1</v>
      </c>
      <c r="Z215" s="32" t="s">
        <v>39</v>
      </c>
      <c r="AA215" s="32" t="s">
        <v>34</v>
      </c>
      <c r="AB215" s="13" t="s">
        <v>34</v>
      </c>
      <c r="AC215" s="32" t="s">
        <v>318</v>
      </c>
      <c r="AD215" s="32" t="s">
        <v>32</v>
      </c>
      <c r="AE215" s="32">
        <v>0.46910000000000002</v>
      </c>
      <c r="AF215" s="44" t="s">
        <v>45</v>
      </c>
      <c r="AG215" s="32">
        <v>2013</v>
      </c>
      <c r="AH215" s="44" t="s">
        <v>46</v>
      </c>
      <c r="AI215" s="99">
        <f t="shared" si="6"/>
        <v>0.16666666666666718</v>
      </c>
    </row>
    <row r="216" spans="1:35" s="10" customFormat="1" x14ac:dyDescent="0.3">
      <c r="A216" s="11">
        <v>3.9470365699873802</v>
      </c>
      <c r="B216" s="45">
        <v>7.3359073359073302E-6</v>
      </c>
      <c r="C216" s="33" t="s">
        <v>33</v>
      </c>
      <c r="D216" s="33" t="s">
        <v>35</v>
      </c>
      <c r="E216" s="33" t="s">
        <v>170</v>
      </c>
      <c r="F216" s="33" t="s">
        <v>34</v>
      </c>
      <c r="G216" s="43">
        <v>0.16500000000000001</v>
      </c>
      <c r="H216" s="32" t="s">
        <v>34</v>
      </c>
      <c r="I216" s="32" t="s">
        <v>34</v>
      </c>
      <c r="J216" s="32" t="s">
        <v>34</v>
      </c>
      <c r="K216" s="32" t="s">
        <v>34</v>
      </c>
      <c r="L216" s="32" t="s">
        <v>34</v>
      </c>
      <c r="M216" s="10">
        <v>100</v>
      </c>
      <c r="N216" s="32" t="s">
        <v>43</v>
      </c>
      <c r="O216" s="32">
        <v>0.98750000000000004</v>
      </c>
      <c r="P216" s="32">
        <v>0.58499999999999996</v>
      </c>
      <c r="Q216" s="32">
        <v>0</v>
      </c>
      <c r="R216" s="32" t="s">
        <v>34</v>
      </c>
      <c r="S216" s="36">
        <f t="shared" si="7"/>
        <v>5.2123552123552101E-5</v>
      </c>
      <c r="T216" s="32" t="s">
        <v>36</v>
      </c>
      <c r="U216" s="32" t="s">
        <v>37</v>
      </c>
      <c r="V216" s="32" t="s">
        <v>38</v>
      </c>
      <c r="W216" s="32" t="s">
        <v>34</v>
      </c>
      <c r="X216" s="10">
        <v>0.5</v>
      </c>
      <c r="Y216" s="32">
        <v>1</v>
      </c>
      <c r="Z216" s="32" t="s">
        <v>39</v>
      </c>
      <c r="AA216" s="32" t="s">
        <v>34</v>
      </c>
      <c r="AB216" s="13" t="s">
        <v>34</v>
      </c>
      <c r="AC216" s="32" t="s">
        <v>318</v>
      </c>
      <c r="AD216" s="32" t="s">
        <v>32</v>
      </c>
      <c r="AE216" s="32">
        <v>0.46910000000000002</v>
      </c>
      <c r="AF216" s="44" t="s">
        <v>45</v>
      </c>
      <c r="AG216" s="32">
        <v>2013</v>
      </c>
      <c r="AH216" s="44" t="s">
        <v>46</v>
      </c>
      <c r="AI216" s="99">
        <f t="shared" si="6"/>
        <v>0.14074074074074069</v>
      </c>
    </row>
    <row r="217" spans="1:35" s="10" customFormat="1" x14ac:dyDescent="0.3">
      <c r="A217" s="11">
        <v>4.93064312736443</v>
      </c>
      <c r="B217" s="45">
        <v>6.3706563706563402E-6</v>
      </c>
      <c r="C217" s="33" t="s">
        <v>33</v>
      </c>
      <c r="D217" s="33" t="s">
        <v>35</v>
      </c>
      <c r="E217" s="33" t="s">
        <v>170</v>
      </c>
      <c r="F217" s="33" t="s">
        <v>34</v>
      </c>
      <c r="G217" s="43">
        <v>0.16500000000000001</v>
      </c>
      <c r="H217" s="32" t="s">
        <v>34</v>
      </c>
      <c r="I217" s="32" t="s">
        <v>34</v>
      </c>
      <c r="J217" s="32" t="s">
        <v>34</v>
      </c>
      <c r="K217" s="32" t="s">
        <v>34</v>
      </c>
      <c r="L217" s="32" t="s">
        <v>34</v>
      </c>
      <c r="M217" s="10">
        <v>100</v>
      </c>
      <c r="N217" s="32" t="s">
        <v>43</v>
      </c>
      <c r="O217" s="32">
        <v>0.98750000000000004</v>
      </c>
      <c r="P217" s="32">
        <v>0.58499999999999996</v>
      </c>
      <c r="Q217" s="32">
        <v>0</v>
      </c>
      <c r="R217" s="32" t="s">
        <v>34</v>
      </c>
      <c r="S217" s="36">
        <f t="shared" si="7"/>
        <v>5.2123552123552101E-5</v>
      </c>
      <c r="T217" s="32" t="s">
        <v>36</v>
      </c>
      <c r="U217" s="32" t="s">
        <v>37</v>
      </c>
      <c r="V217" s="32" t="s">
        <v>38</v>
      </c>
      <c r="W217" s="32" t="s">
        <v>34</v>
      </c>
      <c r="X217" s="10">
        <v>0.5</v>
      </c>
      <c r="Y217" s="32">
        <v>1</v>
      </c>
      <c r="Z217" s="32" t="s">
        <v>39</v>
      </c>
      <c r="AA217" s="32" t="s">
        <v>34</v>
      </c>
      <c r="AB217" s="13" t="s">
        <v>34</v>
      </c>
      <c r="AC217" s="32" t="s">
        <v>318</v>
      </c>
      <c r="AD217" s="32" t="s">
        <v>32</v>
      </c>
      <c r="AE217" s="32">
        <v>0.46910000000000002</v>
      </c>
      <c r="AF217" s="44" t="s">
        <v>45</v>
      </c>
      <c r="AG217" s="32">
        <v>2013</v>
      </c>
      <c r="AH217" s="44" t="s">
        <v>46</v>
      </c>
      <c r="AI217" s="99">
        <f t="shared" si="6"/>
        <v>0.12222222222222169</v>
      </c>
    </row>
    <row r="218" spans="1:35" s="10" customFormat="1" x14ac:dyDescent="0.3">
      <c r="A218" s="11">
        <v>5.9205548549810798</v>
      </c>
      <c r="B218" s="45">
        <v>5.7915057915058098E-6</v>
      </c>
      <c r="C218" s="33" t="s">
        <v>33</v>
      </c>
      <c r="D218" s="33" t="s">
        <v>35</v>
      </c>
      <c r="E218" s="33" t="s">
        <v>170</v>
      </c>
      <c r="F218" s="33" t="s">
        <v>34</v>
      </c>
      <c r="G218" s="43">
        <v>0.16500000000000001</v>
      </c>
      <c r="H218" s="32" t="s">
        <v>34</v>
      </c>
      <c r="I218" s="32" t="s">
        <v>34</v>
      </c>
      <c r="J218" s="32" t="s">
        <v>34</v>
      </c>
      <c r="K218" s="32" t="s">
        <v>34</v>
      </c>
      <c r="L218" s="32" t="s">
        <v>34</v>
      </c>
      <c r="M218" s="10">
        <v>100</v>
      </c>
      <c r="N218" s="32" t="s">
        <v>43</v>
      </c>
      <c r="O218" s="32">
        <v>0.98750000000000004</v>
      </c>
      <c r="P218" s="32">
        <v>0.58499999999999996</v>
      </c>
      <c r="Q218" s="32">
        <v>0</v>
      </c>
      <c r="R218" s="32" t="s">
        <v>34</v>
      </c>
      <c r="S218" s="36">
        <f t="shared" si="7"/>
        <v>5.2123552123552101E-5</v>
      </c>
      <c r="T218" s="32" t="s">
        <v>36</v>
      </c>
      <c r="U218" s="32" t="s">
        <v>37</v>
      </c>
      <c r="V218" s="32" t="s">
        <v>38</v>
      </c>
      <c r="W218" s="32" t="s">
        <v>34</v>
      </c>
      <c r="X218" s="10">
        <v>0.5</v>
      </c>
      <c r="Y218" s="32">
        <v>1</v>
      </c>
      <c r="Z218" s="32" t="s">
        <v>39</v>
      </c>
      <c r="AA218" s="32" t="s">
        <v>34</v>
      </c>
      <c r="AB218" s="13" t="s">
        <v>34</v>
      </c>
      <c r="AC218" s="32" t="s">
        <v>318</v>
      </c>
      <c r="AD218" s="32" t="s">
        <v>32</v>
      </c>
      <c r="AE218" s="32">
        <v>0.46910000000000002</v>
      </c>
      <c r="AF218" s="44" t="s">
        <v>45</v>
      </c>
      <c r="AG218" s="32">
        <v>2013</v>
      </c>
      <c r="AH218" s="44" t="s">
        <v>46</v>
      </c>
      <c r="AI218" s="99">
        <f t="shared" si="6"/>
        <v>0.11111111111111151</v>
      </c>
    </row>
    <row r="219" spans="1:35" s="10" customFormat="1" x14ac:dyDescent="0.3">
      <c r="A219" s="11">
        <v>6.9041614123581301</v>
      </c>
      <c r="B219" s="45">
        <v>5.9845559845559999E-6</v>
      </c>
      <c r="C219" s="33" t="s">
        <v>33</v>
      </c>
      <c r="D219" s="33" t="s">
        <v>35</v>
      </c>
      <c r="E219" s="33" t="s">
        <v>170</v>
      </c>
      <c r="F219" s="33" t="s">
        <v>34</v>
      </c>
      <c r="G219" s="43">
        <v>0.16500000000000001</v>
      </c>
      <c r="H219" s="32" t="s">
        <v>34</v>
      </c>
      <c r="I219" s="32" t="s">
        <v>34</v>
      </c>
      <c r="J219" s="32" t="s">
        <v>34</v>
      </c>
      <c r="K219" s="32" t="s">
        <v>34</v>
      </c>
      <c r="L219" s="32" t="s">
        <v>34</v>
      </c>
      <c r="M219" s="10">
        <v>100</v>
      </c>
      <c r="N219" s="32" t="s">
        <v>43</v>
      </c>
      <c r="O219" s="32">
        <v>0.98750000000000004</v>
      </c>
      <c r="P219" s="32">
        <v>0.58499999999999996</v>
      </c>
      <c r="Q219" s="32">
        <v>0</v>
      </c>
      <c r="R219" s="32" t="s">
        <v>34</v>
      </c>
      <c r="S219" s="36">
        <f t="shared" si="7"/>
        <v>5.2123552123552101E-5</v>
      </c>
      <c r="T219" s="32" t="s">
        <v>36</v>
      </c>
      <c r="U219" s="32" t="s">
        <v>37</v>
      </c>
      <c r="V219" s="32" t="s">
        <v>38</v>
      </c>
      <c r="W219" s="32" t="s">
        <v>34</v>
      </c>
      <c r="X219" s="10">
        <v>0.5</v>
      </c>
      <c r="Y219" s="32">
        <v>1</v>
      </c>
      <c r="Z219" s="32" t="s">
        <v>39</v>
      </c>
      <c r="AA219" s="32" t="s">
        <v>34</v>
      </c>
      <c r="AB219" s="13" t="s">
        <v>34</v>
      </c>
      <c r="AC219" s="32" t="s">
        <v>318</v>
      </c>
      <c r="AD219" s="32" t="s">
        <v>32</v>
      </c>
      <c r="AE219" s="32">
        <v>0.46910000000000002</v>
      </c>
      <c r="AF219" s="44" t="s">
        <v>45</v>
      </c>
      <c r="AG219" s="32">
        <v>2013</v>
      </c>
      <c r="AH219" s="44" t="s">
        <v>46</v>
      </c>
      <c r="AI219" s="99">
        <f t="shared" si="6"/>
        <v>0.11481481481481516</v>
      </c>
    </row>
    <row r="220" spans="1:35" s="10" customFormat="1" x14ac:dyDescent="0.3">
      <c r="A220" s="11">
        <v>0</v>
      </c>
      <c r="B220" s="45">
        <v>7.1428571428571393E-5</v>
      </c>
      <c r="C220" s="33" t="s">
        <v>33</v>
      </c>
      <c r="D220" s="33" t="s">
        <v>35</v>
      </c>
      <c r="E220" s="33" t="s">
        <v>170</v>
      </c>
      <c r="F220" s="33" t="s">
        <v>34</v>
      </c>
      <c r="G220" s="43">
        <v>0.16500000000000001</v>
      </c>
      <c r="H220" s="32" t="s">
        <v>34</v>
      </c>
      <c r="I220" s="32" t="s">
        <v>34</v>
      </c>
      <c r="J220" s="32" t="s">
        <v>34</v>
      </c>
      <c r="K220" s="32" t="s">
        <v>34</v>
      </c>
      <c r="L220" s="32" t="s">
        <v>34</v>
      </c>
      <c r="M220" s="10">
        <v>83</v>
      </c>
      <c r="N220" s="32" t="s">
        <v>43</v>
      </c>
      <c r="O220" s="32">
        <v>0.98750000000000004</v>
      </c>
      <c r="P220" s="32">
        <v>0.58499999999999996</v>
      </c>
      <c r="Q220" s="32">
        <v>0</v>
      </c>
      <c r="R220" s="32" t="s">
        <v>34</v>
      </c>
      <c r="S220" s="36">
        <f t="shared" si="7"/>
        <v>7.1428571428571393E-5</v>
      </c>
      <c r="T220" s="32" t="s">
        <v>36</v>
      </c>
      <c r="U220" s="32" t="s">
        <v>37</v>
      </c>
      <c r="V220" s="32" t="s">
        <v>38</v>
      </c>
      <c r="W220" s="32" t="s">
        <v>34</v>
      </c>
      <c r="X220" s="10">
        <v>0.5</v>
      </c>
      <c r="Y220" s="32">
        <v>1</v>
      </c>
      <c r="Z220" s="32" t="s">
        <v>39</v>
      </c>
      <c r="AA220" s="32" t="s">
        <v>34</v>
      </c>
      <c r="AB220" s="13" t="s">
        <v>34</v>
      </c>
      <c r="AC220" s="32" t="s">
        <v>318</v>
      </c>
      <c r="AD220" s="32" t="s">
        <v>32</v>
      </c>
      <c r="AE220" s="32">
        <v>0.46910000000000002</v>
      </c>
      <c r="AF220" s="44" t="s">
        <v>45</v>
      </c>
      <c r="AG220" s="32">
        <v>2013</v>
      </c>
      <c r="AH220" s="44" t="s">
        <v>46</v>
      </c>
      <c r="AI220" s="99">
        <f t="shared" si="6"/>
        <v>1</v>
      </c>
    </row>
    <row r="221" spans="1:35" s="10" customFormat="1" x14ac:dyDescent="0.3">
      <c r="A221" s="11">
        <v>0.90794451450189095</v>
      </c>
      <c r="B221" s="45">
        <v>1.6795366795366701E-5</v>
      </c>
      <c r="C221" s="33" t="s">
        <v>33</v>
      </c>
      <c r="D221" s="33" t="s">
        <v>35</v>
      </c>
      <c r="E221" s="33" t="s">
        <v>170</v>
      </c>
      <c r="F221" s="33" t="s">
        <v>34</v>
      </c>
      <c r="G221" s="43">
        <v>0.16500000000000001</v>
      </c>
      <c r="H221" s="32" t="s">
        <v>34</v>
      </c>
      <c r="I221" s="32" t="s">
        <v>34</v>
      </c>
      <c r="J221" s="32" t="s">
        <v>34</v>
      </c>
      <c r="K221" s="32" t="s">
        <v>34</v>
      </c>
      <c r="L221" s="32" t="s">
        <v>34</v>
      </c>
      <c r="M221" s="10">
        <v>83</v>
      </c>
      <c r="N221" s="32" t="s">
        <v>43</v>
      </c>
      <c r="O221" s="32">
        <v>0.98750000000000004</v>
      </c>
      <c r="P221" s="32">
        <v>0.58499999999999996</v>
      </c>
      <c r="Q221" s="32">
        <v>0</v>
      </c>
      <c r="R221" s="32" t="s">
        <v>34</v>
      </c>
      <c r="S221" s="36">
        <f t="shared" si="7"/>
        <v>7.1428571428571393E-5</v>
      </c>
      <c r="T221" s="32" t="s">
        <v>36</v>
      </c>
      <c r="U221" s="32" t="s">
        <v>37</v>
      </c>
      <c r="V221" s="32" t="s">
        <v>38</v>
      </c>
      <c r="W221" s="32" t="s">
        <v>34</v>
      </c>
      <c r="X221" s="10">
        <v>0.5</v>
      </c>
      <c r="Y221" s="32">
        <v>1</v>
      </c>
      <c r="Z221" s="32" t="s">
        <v>39</v>
      </c>
      <c r="AA221" s="32" t="s">
        <v>34</v>
      </c>
      <c r="AB221" s="13" t="s">
        <v>34</v>
      </c>
      <c r="AC221" s="32" t="s">
        <v>318</v>
      </c>
      <c r="AD221" s="32" t="s">
        <v>32</v>
      </c>
      <c r="AE221" s="32">
        <v>0.46910000000000002</v>
      </c>
      <c r="AF221" s="44" t="s">
        <v>45</v>
      </c>
      <c r="AG221" s="32">
        <v>2013</v>
      </c>
      <c r="AH221" s="44" t="s">
        <v>46</v>
      </c>
      <c r="AI221" s="99">
        <f t="shared" si="6"/>
        <v>0.23513513513513393</v>
      </c>
    </row>
    <row r="222" spans="1:35" s="10" customFormat="1" x14ac:dyDescent="0.3">
      <c r="A222" s="11">
        <v>1.8284993694829701</v>
      </c>
      <c r="B222" s="45">
        <v>1.1196911196911201E-5</v>
      </c>
      <c r="C222" s="33" t="s">
        <v>33</v>
      </c>
      <c r="D222" s="33" t="s">
        <v>35</v>
      </c>
      <c r="E222" s="33" t="s">
        <v>170</v>
      </c>
      <c r="F222" s="33" t="s">
        <v>34</v>
      </c>
      <c r="G222" s="43">
        <v>0.16500000000000001</v>
      </c>
      <c r="H222" s="32" t="s">
        <v>34</v>
      </c>
      <c r="I222" s="32" t="s">
        <v>34</v>
      </c>
      <c r="J222" s="32" t="s">
        <v>34</v>
      </c>
      <c r="K222" s="32" t="s">
        <v>34</v>
      </c>
      <c r="L222" s="32" t="s">
        <v>34</v>
      </c>
      <c r="M222" s="10">
        <v>83</v>
      </c>
      <c r="N222" s="32" t="s">
        <v>43</v>
      </c>
      <c r="O222" s="32">
        <v>0.98750000000000004</v>
      </c>
      <c r="P222" s="32">
        <v>0.58499999999999996</v>
      </c>
      <c r="Q222" s="32">
        <v>0</v>
      </c>
      <c r="R222" s="32" t="s">
        <v>34</v>
      </c>
      <c r="S222" s="36">
        <f t="shared" si="7"/>
        <v>7.1428571428571393E-5</v>
      </c>
      <c r="T222" s="32" t="s">
        <v>36</v>
      </c>
      <c r="U222" s="32" t="s">
        <v>37</v>
      </c>
      <c r="V222" s="32" t="s">
        <v>38</v>
      </c>
      <c r="W222" s="32" t="s">
        <v>34</v>
      </c>
      <c r="X222" s="10">
        <v>0.5</v>
      </c>
      <c r="Y222" s="32">
        <v>1</v>
      </c>
      <c r="Z222" s="32" t="s">
        <v>39</v>
      </c>
      <c r="AA222" s="32" t="s">
        <v>34</v>
      </c>
      <c r="AB222" s="13" t="s">
        <v>34</v>
      </c>
      <c r="AC222" s="32" t="s">
        <v>318</v>
      </c>
      <c r="AD222" s="32" t="s">
        <v>32</v>
      </c>
      <c r="AE222" s="32">
        <v>0.46910000000000002</v>
      </c>
      <c r="AF222" s="44" t="s">
        <v>45</v>
      </c>
      <c r="AG222" s="32">
        <v>2013</v>
      </c>
      <c r="AH222" s="44" t="s">
        <v>46</v>
      </c>
      <c r="AI222" s="99">
        <f t="shared" si="6"/>
        <v>0.15675675675675688</v>
      </c>
    </row>
    <row r="223" spans="1:35" s="10" customFormat="1" x14ac:dyDescent="0.3">
      <c r="A223" s="11">
        <v>2.7364438839848599</v>
      </c>
      <c r="B223" s="45">
        <v>1.13899613899613E-5</v>
      </c>
      <c r="C223" s="33" t="s">
        <v>33</v>
      </c>
      <c r="D223" s="33" t="s">
        <v>35</v>
      </c>
      <c r="E223" s="33" t="s">
        <v>170</v>
      </c>
      <c r="F223" s="33" t="s">
        <v>34</v>
      </c>
      <c r="G223" s="43">
        <v>0.16500000000000001</v>
      </c>
      <c r="H223" s="32" t="s">
        <v>34</v>
      </c>
      <c r="I223" s="32" t="s">
        <v>34</v>
      </c>
      <c r="J223" s="32" t="s">
        <v>34</v>
      </c>
      <c r="K223" s="32" t="s">
        <v>34</v>
      </c>
      <c r="L223" s="32" t="s">
        <v>34</v>
      </c>
      <c r="M223" s="10">
        <v>83</v>
      </c>
      <c r="N223" s="32" t="s">
        <v>43</v>
      </c>
      <c r="O223" s="32">
        <v>0.98750000000000004</v>
      </c>
      <c r="P223" s="32">
        <v>0.58499999999999996</v>
      </c>
      <c r="Q223" s="32">
        <v>0</v>
      </c>
      <c r="R223" s="32" t="s">
        <v>34</v>
      </c>
      <c r="S223" s="36">
        <f t="shared" si="7"/>
        <v>7.1428571428571393E-5</v>
      </c>
      <c r="T223" s="32" t="s">
        <v>36</v>
      </c>
      <c r="U223" s="32" t="s">
        <v>37</v>
      </c>
      <c r="V223" s="32" t="s">
        <v>38</v>
      </c>
      <c r="W223" s="32" t="s">
        <v>34</v>
      </c>
      <c r="X223" s="10">
        <v>0.5</v>
      </c>
      <c r="Y223" s="32">
        <v>1</v>
      </c>
      <c r="Z223" s="32" t="s">
        <v>39</v>
      </c>
      <c r="AA223" s="32" t="s">
        <v>34</v>
      </c>
      <c r="AB223" s="13" t="s">
        <v>34</v>
      </c>
      <c r="AC223" s="32" t="s">
        <v>318</v>
      </c>
      <c r="AD223" s="32" t="s">
        <v>32</v>
      </c>
      <c r="AE223" s="32">
        <v>0.46910000000000002</v>
      </c>
      <c r="AF223" s="44" t="s">
        <v>45</v>
      </c>
      <c r="AG223" s="32">
        <v>2013</v>
      </c>
      <c r="AH223" s="44" t="s">
        <v>46</v>
      </c>
      <c r="AI223" s="99">
        <f t="shared" si="6"/>
        <v>0.15945945945945827</v>
      </c>
    </row>
    <row r="224" spans="1:35" s="10" customFormat="1" x14ac:dyDescent="0.3">
      <c r="A224" s="11">
        <v>3.65069356872635</v>
      </c>
      <c r="B224" s="45">
        <v>9.8455598455597695E-6</v>
      </c>
      <c r="C224" s="33" t="s">
        <v>33</v>
      </c>
      <c r="D224" s="33" t="s">
        <v>35</v>
      </c>
      <c r="E224" s="33" t="s">
        <v>170</v>
      </c>
      <c r="F224" s="33" t="s">
        <v>34</v>
      </c>
      <c r="G224" s="43">
        <v>0.16500000000000001</v>
      </c>
      <c r="H224" s="32" t="s">
        <v>34</v>
      </c>
      <c r="I224" s="32" t="s">
        <v>34</v>
      </c>
      <c r="J224" s="32" t="s">
        <v>34</v>
      </c>
      <c r="K224" s="32" t="s">
        <v>34</v>
      </c>
      <c r="L224" s="32" t="s">
        <v>34</v>
      </c>
      <c r="M224" s="10">
        <v>83</v>
      </c>
      <c r="N224" s="32" t="s">
        <v>43</v>
      </c>
      <c r="O224" s="32">
        <v>0.98750000000000004</v>
      </c>
      <c r="P224" s="32">
        <v>0.58499999999999996</v>
      </c>
      <c r="Q224" s="32">
        <v>0</v>
      </c>
      <c r="R224" s="32" t="s">
        <v>34</v>
      </c>
      <c r="S224" s="36">
        <f t="shared" si="7"/>
        <v>7.1428571428571393E-5</v>
      </c>
      <c r="T224" s="32" t="s">
        <v>36</v>
      </c>
      <c r="U224" s="32" t="s">
        <v>37</v>
      </c>
      <c r="V224" s="32" t="s">
        <v>38</v>
      </c>
      <c r="W224" s="32" t="s">
        <v>34</v>
      </c>
      <c r="X224" s="10">
        <v>0.5</v>
      </c>
      <c r="Y224" s="32">
        <v>1</v>
      </c>
      <c r="Z224" s="32" t="s">
        <v>39</v>
      </c>
      <c r="AA224" s="32" t="s">
        <v>34</v>
      </c>
      <c r="AB224" s="13" t="s">
        <v>34</v>
      </c>
      <c r="AC224" s="32" t="s">
        <v>318</v>
      </c>
      <c r="AD224" s="32" t="s">
        <v>32</v>
      </c>
      <c r="AE224" s="32">
        <v>0.46910000000000002</v>
      </c>
      <c r="AF224" s="44" t="s">
        <v>45</v>
      </c>
      <c r="AG224" s="32">
        <v>2013</v>
      </c>
      <c r="AH224" s="44" t="s">
        <v>46</v>
      </c>
      <c r="AI224" s="99">
        <f t="shared" si="6"/>
        <v>0.13783783783783685</v>
      </c>
    </row>
    <row r="225" spans="1:35" s="10" customFormat="1" x14ac:dyDescent="0.3">
      <c r="A225" s="11">
        <v>4.5712484237074396</v>
      </c>
      <c r="B225" s="45">
        <v>1.2162162162162201E-5</v>
      </c>
      <c r="C225" s="33" t="s">
        <v>33</v>
      </c>
      <c r="D225" s="33" t="s">
        <v>35</v>
      </c>
      <c r="E225" s="33" t="s">
        <v>170</v>
      </c>
      <c r="F225" s="33" t="s">
        <v>34</v>
      </c>
      <c r="G225" s="43">
        <v>0.16500000000000001</v>
      </c>
      <c r="H225" s="32" t="s">
        <v>34</v>
      </c>
      <c r="I225" s="32" t="s">
        <v>34</v>
      </c>
      <c r="J225" s="32" t="s">
        <v>34</v>
      </c>
      <c r="K225" s="32" t="s">
        <v>34</v>
      </c>
      <c r="L225" s="32" t="s">
        <v>34</v>
      </c>
      <c r="M225" s="10">
        <v>83</v>
      </c>
      <c r="N225" s="32" t="s">
        <v>43</v>
      </c>
      <c r="O225" s="32">
        <v>0.98750000000000004</v>
      </c>
      <c r="P225" s="32">
        <v>0.58499999999999996</v>
      </c>
      <c r="Q225" s="32">
        <v>0</v>
      </c>
      <c r="R225" s="32" t="s">
        <v>34</v>
      </c>
      <c r="S225" s="36">
        <f t="shared" si="7"/>
        <v>7.1428571428571393E-5</v>
      </c>
      <c r="T225" s="32" t="s">
        <v>36</v>
      </c>
      <c r="U225" s="32" t="s">
        <v>37</v>
      </c>
      <c r="V225" s="32" t="s">
        <v>38</v>
      </c>
      <c r="W225" s="32" t="s">
        <v>34</v>
      </c>
      <c r="X225" s="10">
        <v>0.5</v>
      </c>
      <c r="Y225" s="32">
        <v>1</v>
      </c>
      <c r="Z225" s="32" t="s">
        <v>39</v>
      </c>
      <c r="AA225" s="32" t="s">
        <v>34</v>
      </c>
      <c r="AB225" s="13" t="s">
        <v>34</v>
      </c>
      <c r="AC225" s="32" t="s">
        <v>318</v>
      </c>
      <c r="AD225" s="32" t="s">
        <v>32</v>
      </c>
      <c r="AE225" s="32">
        <v>0.46910000000000002</v>
      </c>
      <c r="AF225" s="44" t="s">
        <v>45</v>
      </c>
      <c r="AG225" s="32">
        <v>2013</v>
      </c>
      <c r="AH225" s="44" t="s">
        <v>46</v>
      </c>
      <c r="AI225" s="99">
        <f t="shared" si="6"/>
        <v>0.17027027027027089</v>
      </c>
    </row>
    <row r="226" spans="1:35" s="10" customFormat="1" x14ac:dyDescent="0.3">
      <c r="A226" s="11">
        <v>5.4791929382093301</v>
      </c>
      <c r="B226" s="45">
        <v>1.1196911196911201E-5</v>
      </c>
      <c r="C226" s="33" t="s">
        <v>33</v>
      </c>
      <c r="D226" s="33" t="s">
        <v>35</v>
      </c>
      <c r="E226" s="33" t="s">
        <v>170</v>
      </c>
      <c r="F226" s="33" t="s">
        <v>34</v>
      </c>
      <c r="G226" s="43">
        <v>0.16500000000000001</v>
      </c>
      <c r="H226" s="32" t="s">
        <v>34</v>
      </c>
      <c r="I226" s="32" t="s">
        <v>34</v>
      </c>
      <c r="J226" s="32" t="s">
        <v>34</v>
      </c>
      <c r="K226" s="32" t="s">
        <v>34</v>
      </c>
      <c r="L226" s="32" t="s">
        <v>34</v>
      </c>
      <c r="M226" s="10">
        <v>83</v>
      </c>
      <c r="N226" s="32" t="s">
        <v>43</v>
      </c>
      <c r="O226" s="32">
        <v>0.98750000000000004</v>
      </c>
      <c r="P226" s="32">
        <v>0.58499999999999996</v>
      </c>
      <c r="Q226" s="32">
        <v>0</v>
      </c>
      <c r="R226" s="32" t="s">
        <v>34</v>
      </c>
      <c r="S226" s="36">
        <f t="shared" si="7"/>
        <v>7.1428571428571393E-5</v>
      </c>
      <c r="T226" s="32" t="s">
        <v>36</v>
      </c>
      <c r="U226" s="32" t="s">
        <v>37</v>
      </c>
      <c r="V226" s="32" t="s">
        <v>38</v>
      </c>
      <c r="W226" s="32" t="s">
        <v>34</v>
      </c>
      <c r="X226" s="10">
        <v>0.5</v>
      </c>
      <c r="Y226" s="32">
        <v>1</v>
      </c>
      <c r="Z226" s="32" t="s">
        <v>39</v>
      </c>
      <c r="AA226" s="32" t="s">
        <v>34</v>
      </c>
      <c r="AB226" s="13" t="s">
        <v>34</v>
      </c>
      <c r="AC226" s="32" t="s">
        <v>318</v>
      </c>
      <c r="AD226" s="32" t="s">
        <v>32</v>
      </c>
      <c r="AE226" s="32">
        <v>0.46910000000000002</v>
      </c>
      <c r="AF226" s="44" t="s">
        <v>45</v>
      </c>
      <c r="AG226" s="32">
        <v>2013</v>
      </c>
      <c r="AH226" s="44" t="s">
        <v>46</v>
      </c>
      <c r="AI226" s="99">
        <f t="shared" si="6"/>
        <v>0.15675675675675688</v>
      </c>
    </row>
    <row r="227" spans="1:35" s="10" customFormat="1" x14ac:dyDescent="0.3">
      <c r="A227" s="11">
        <v>6.3997477931904099</v>
      </c>
      <c r="B227" s="45">
        <v>1.1003861003861E-5</v>
      </c>
      <c r="C227" s="33" t="s">
        <v>33</v>
      </c>
      <c r="D227" s="33" t="s">
        <v>35</v>
      </c>
      <c r="E227" s="33" t="s">
        <v>170</v>
      </c>
      <c r="F227" s="33" t="s">
        <v>34</v>
      </c>
      <c r="G227" s="43">
        <v>0.16500000000000001</v>
      </c>
      <c r="H227" s="32" t="s">
        <v>34</v>
      </c>
      <c r="I227" s="32" t="s">
        <v>34</v>
      </c>
      <c r="J227" s="32" t="s">
        <v>34</v>
      </c>
      <c r="K227" s="32" t="s">
        <v>34</v>
      </c>
      <c r="L227" s="32" t="s">
        <v>34</v>
      </c>
      <c r="M227" s="10">
        <v>83</v>
      </c>
      <c r="N227" s="32" t="s">
        <v>43</v>
      </c>
      <c r="O227" s="32">
        <v>0.98750000000000004</v>
      </c>
      <c r="P227" s="32">
        <v>0.58499999999999996</v>
      </c>
      <c r="Q227" s="32">
        <v>0</v>
      </c>
      <c r="R227" s="32" t="s">
        <v>34</v>
      </c>
      <c r="S227" s="36">
        <f t="shared" si="7"/>
        <v>7.1428571428571393E-5</v>
      </c>
      <c r="T227" s="32" t="s">
        <v>36</v>
      </c>
      <c r="U227" s="32" t="s">
        <v>37</v>
      </c>
      <c r="V227" s="32" t="s">
        <v>38</v>
      </c>
      <c r="W227" s="32" t="s">
        <v>34</v>
      </c>
      <c r="X227" s="10">
        <v>0.5</v>
      </c>
      <c r="Y227" s="32">
        <v>1</v>
      </c>
      <c r="Z227" s="32" t="s">
        <v>39</v>
      </c>
      <c r="AA227" s="32" t="s">
        <v>34</v>
      </c>
      <c r="AB227" s="13" t="s">
        <v>34</v>
      </c>
      <c r="AC227" s="32" t="s">
        <v>318</v>
      </c>
      <c r="AD227" s="32" t="s">
        <v>32</v>
      </c>
      <c r="AE227" s="32">
        <v>0.46910000000000002</v>
      </c>
      <c r="AF227" s="44" t="s">
        <v>45</v>
      </c>
      <c r="AG227" s="32">
        <v>2013</v>
      </c>
      <c r="AH227" s="44" t="s">
        <v>46</v>
      </c>
      <c r="AI227" s="99">
        <f t="shared" si="6"/>
        <v>0.15405405405405406</v>
      </c>
    </row>
    <row r="228" spans="1:35" s="10" customFormat="1" x14ac:dyDescent="0.3">
      <c r="A228" s="11">
        <v>0</v>
      </c>
      <c r="B228" s="45">
        <v>1.0675675675675601E-4</v>
      </c>
      <c r="C228" s="33" t="s">
        <v>33</v>
      </c>
      <c r="D228" s="33" t="s">
        <v>35</v>
      </c>
      <c r="E228" s="33" t="s">
        <v>170</v>
      </c>
      <c r="F228" s="33" t="s">
        <v>34</v>
      </c>
      <c r="G228" s="43">
        <v>0.16500000000000001</v>
      </c>
      <c r="H228" s="32" t="s">
        <v>34</v>
      </c>
      <c r="I228" s="32" t="s">
        <v>34</v>
      </c>
      <c r="J228" s="32" t="s">
        <v>34</v>
      </c>
      <c r="K228" s="32" t="s">
        <v>34</v>
      </c>
      <c r="L228" s="32" t="s">
        <v>34</v>
      </c>
      <c r="M228" s="10">
        <v>100</v>
      </c>
      <c r="N228" s="32" t="s">
        <v>43</v>
      </c>
      <c r="O228" s="32">
        <v>0.98750000000000004</v>
      </c>
      <c r="P228" s="32">
        <v>0.58499999999999996</v>
      </c>
      <c r="Q228" s="32">
        <v>0</v>
      </c>
      <c r="R228" s="32" t="s">
        <v>34</v>
      </c>
      <c r="S228" s="36">
        <f t="shared" si="7"/>
        <v>1.0675675675675601E-4</v>
      </c>
      <c r="T228" s="32" t="s">
        <v>36</v>
      </c>
      <c r="U228" s="32" t="s">
        <v>37</v>
      </c>
      <c r="V228" s="32" t="s">
        <v>38</v>
      </c>
      <c r="W228" s="32" t="s">
        <v>34</v>
      </c>
      <c r="X228" s="10">
        <v>0.5</v>
      </c>
      <c r="Y228" s="32">
        <v>1</v>
      </c>
      <c r="Z228" s="32" t="s">
        <v>39</v>
      </c>
      <c r="AA228" s="32" t="s">
        <v>34</v>
      </c>
      <c r="AB228" s="13" t="s">
        <v>34</v>
      </c>
      <c r="AC228" s="32" t="s">
        <v>318</v>
      </c>
      <c r="AD228" s="32" t="s">
        <v>32</v>
      </c>
      <c r="AE228" s="32">
        <v>0.46910000000000002</v>
      </c>
      <c r="AF228" s="44" t="s">
        <v>45</v>
      </c>
      <c r="AG228" s="32">
        <v>2013</v>
      </c>
      <c r="AH228" s="44" t="s">
        <v>46</v>
      </c>
      <c r="AI228" s="99">
        <f t="shared" si="6"/>
        <v>1</v>
      </c>
    </row>
    <row r="229" spans="1:35" s="10" customFormat="1" x14ac:dyDescent="0.3">
      <c r="A229" s="11">
        <v>0.13240857503152501</v>
      </c>
      <c r="B229" s="45">
        <v>8.8996138996138993E-5</v>
      </c>
      <c r="C229" s="33" t="s">
        <v>33</v>
      </c>
      <c r="D229" s="33" t="s">
        <v>35</v>
      </c>
      <c r="E229" s="33" t="s">
        <v>170</v>
      </c>
      <c r="F229" s="33" t="s">
        <v>34</v>
      </c>
      <c r="G229" s="43">
        <v>0.16500000000000001</v>
      </c>
      <c r="H229" s="32" t="s">
        <v>34</v>
      </c>
      <c r="I229" s="32" t="s">
        <v>34</v>
      </c>
      <c r="J229" s="32" t="s">
        <v>34</v>
      </c>
      <c r="K229" s="32" t="s">
        <v>34</v>
      </c>
      <c r="L229" s="32" t="s">
        <v>34</v>
      </c>
      <c r="M229" s="10">
        <v>100</v>
      </c>
      <c r="N229" s="32" t="s">
        <v>43</v>
      </c>
      <c r="O229" s="32">
        <v>0.98750000000000004</v>
      </c>
      <c r="P229" s="32">
        <v>0.58499999999999996</v>
      </c>
      <c r="Q229" s="32">
        <v>0</v>
      </c>
      <c r="R229" s="32" t="s">
        <v>34</v>
      </c>
      <c r="S229" s="36">
        <f t="shared" si="7"/>
        <v>1.0675675675675601E-4</v>
      </c>
      <c r="T229" s="32" t="s">
        <v>36</v>
      </c>
      <c r="U229" s="32" t="s">
        <v>37</v>
      </c>
      <c r="V229" s="32" t="s">
        <v>38</v>
      </c>
      <c r="W229" s="32" t="s">
        <v>34</v>
      </c>
      <c r="X229" s="10">
        <v>0.5</v>
      </c>
      <c r="Y229" s="32">
        <v>1</v>
      </c>
      <c r="Z229" s="32" t="s">
        <v>39</v>
      </c>
      <c r="AA229" s="32" t="s">
        <v>34</v>
      </c>
      <c r="AB229" s="13" t="s">
        <v>34</v>
      </c>
      <c r="AC229" s="32" t="s">
        <v>318</v>
      </c>
      <c r="AD229" s="32" t="s">
        <v>32</v>
      </c>
      <c r="AE229" s="32">
        <v>0.46910000000000002</v>
      </c>
      <c r="AF229" s="44" t="s">
        <v>45</v>
      </c>
      <c r="AG229" s="32">
        <v>2013</v>
      </c>
      <c r="AH229" s="44" t="s">
        <v>46</v>
      </c>
      <c r="AI229" s="99">
        <f t="shared" si="6"/>
        <v>0.83363471971067493</v>
      </c>
    </row>
    <row r="230" spans="1:35" s="10" customFormat="1" x14ac:dyDescent="0.3">
      <c r="A230" s="11">
        <v>0.20807061790668199</v>
      </c>
      <c r="B230" s="45">
        <v>6.6795366795366798E-5</v>
      </c>
      <c r="C230" s="33" t="s">
        <v>33</v>
      </c>
      <c r="D230" s="33" t="s">
        <v>35</v>
      </c>
      <c r="E230" s="33" t="s">
        <v>170</v>
      </c>
      <c r="F230" s="33" t="s">
        <v>34</v>
      </c>
      <c r="G230" s="43">
        <v>0.16500000000000001</v>
      </c>
      <c r="H230" s="32" t="s">
        <v>34</v>
      </c>
      <c r="I230" s="32" t="s">
        <v>34</v>
      </c>
      <c r="J230" s="32" t="s">
        <v>34</v>
      </c>
      <c r="K230" s="32" t="s">
        <v>34</v>
      </c>
      <c r="L230" s="32" t="s">
        <v>34</v>
      </c>
      <c r="M230" s="10">
        <v>100</v>
      </c>
      <c r="N230" s="32" t="s">
        <v>43</v>
      </c>
      <c r="O230" s="32">
        <v>0.98750000000000004</v>
      </c>
      <c r="P230" s="32">
        <v>0.58499999999999996</v>
      </c>
      <c r="Q230" s="32">
        <v>0</v>
      </c>
      <c r="R230" s="32" t="s">
        <v>34</v>
      </c>
      <c r="S230" s="36">
        <f t="shared" si="7"/>
        <v>1.0675675675675601E-4</v>
      </c>
      <c r="T230" s="32" t="s">
        <v>36</v>
      </c>
      <c r="U230" s="32" t="s">
        <v>37</v>
      </c>
      <c r="V230" s="32" t="s">
        <v>38</v>
      </c>
      <c r="W230" s="32" t="s">
        <v>34</v>
      </c>
      <c r="X230" s="10">
        <v>0.5</v>
      </c>
      <c r="Y230" s="32">
        <v>1</v>
      </c>
      <c r="Z230" s="32" t="s">
        <v>39</v>
      </c>
      <c r="AA230" s="32" t="s">
        <v>34</v>
      </c>
      <c r="AB230" s="13" t="s">
        <v>34</v>
      </c>
      <c r="AC230" s="32" t="s">
        <v>318</v>
      </c>
      <c r="AD230" s="32" t="s">
        <v>32</v>
      </c>
      <c r="AE230" s="32">
        <v>0.46910000000000002</v>
      </c>
      <c r="AF230" s="44" t="s">
        <v>45</v>
      </c>
      <c r="AG230" s="32">
        <v>2013</v>
      </c>
      <c r="AH230" s="44" t="s">
        <v>46</v>
      </c>
      <c r="AI230" s="99">
        <f t="shared" si="6"/>
        <v>0.62567811934900985</v>
      </c>
    </row>
    <row r="231" spans="1:35" s="10" customFormat="1" x14ac:dyDescent="0.3">
      <c r="A231" s="11">
        <v>0.27742749054224403</v>
      </c>
      <c r="B231" s="45">
        <v>6.6795366795366798E-5</v>
      </c>
      <c r="C231" s="33" t="s">
        <v>33</v>
      </c>
      <c r="D231" s="33" t="s">
        <v>35</v>
      </c>
      <c r="E231" s="33" t="s">
        <v>170</v>
      </c>
      <c r="F231" s="33" t="s">
        <v>34</v>
      </c>
      <c r="G231" s="43">
        <v>0.16500000000000001</v>
      </c>
      <c r="H231" s="32" t="s">
        <v>34</v>
      </c>
      <c r="I231" s="32" t="s">
        <v>34</v>
      </c>
      <c r="J231" s="32" t="s">
        <v>34</v>
      </c>
      <c r="K231" s="32" t="s">
        <v>34</v>
      </c>
      <c r="L231" s="32" t="s">
        <v>34</v>
      </c>
      <c r="M231" s="10">
        <v>100</v>
      </c>
      <c r="N231" s="32" t="s">
        <v>43</v>
      </c>
      <c r="O231" s="32">
        <v>0.98750000000000004</v>
      </c>
      <c r="P231" s="32">
        <v>0.58499999999999996</v>
      </c>
      <c r="Q231" s="32">
        <v>0</v>
      </c>
      <c r="R231" s="32" t="s">
        <v>34</v>
      </c>
      <c r="S231" s="36">
        <f t="shared" si="7"/>
        <v>1.0675675675675601E-4</v>
      </c>
      <c r="T231" s="32" t="s">
        <v>36</v>
      </c>
      <c r="U231" s="32" t="s">
        <v>37</v>
      </c>
      <c r="V231" s="32" t="s">
        <v>38</v>
      </c>
      <c r="W231" s="32" t="s">
        <v>34</v>
      </c>
      <c r="X231" s="10">
        <v>0.5</v>
      </c>
      <c r="Y231" s="32">
        <v>1</v>
      </c>
      <c r="Z231" s="32" t="s">
        <v>39</v>
      </c>
      <c r="AA231" s="32" t="s">
        <v>34</v>
      </c>
      <c r="AB231" s="13" t="s">
        <v>34</v>
      </c>
      <c r="AC231" s="32" t="s">
        <v>318</v>
      </c>
      <c r="AD231" s="32" t="s">
        <v>32</v>
      </c>
      <c r="AE231" s="32">
        <v>0.46910000000000002</v>
      </c>
      <c r="AF231" s="44" t="s">
        <v>45</v>
      </c>
      <c r="AG231" s="32">
        <v>2013</v>
      </c>
      <c r="AH231" s="44" t="s">
        <v>46</v>
      </c>
      <c r="AI231" s="99">
        <f t="shared" si="6"/>
        <v>0.62567811934900985</v>
      </c>
    </row>
    <row r="232" spans="1:35" s="10" customFormat="1" x14ac:dyDescent="0.3">
      <c r="A232" s="11">
        <v>0.340479192938209</v>
      </c>
      <c r="B232" s="45">
        <v>5.9266409266409301E-5</v>
      </c>
      <c r="C232" s="33" t="s">
        <v>33</v>
      </c>
      <c r="D232" s="33" t="s">
        <v>35</v>
      </c>
      <c r="E232" s="33" t="s">
        <v>170</v>
      </c>
      <c r="F232" s="33" t="s">
        <v>34</v>
      </c>
      <c r="G232" s="43">
        <v>0.16500000000000001</v>
      </c>
      <c r="H232" s="32" t="s">
        <v>34</v>
      </c>
      <c r="I232" s="32" t="s">
        <v>34</v>
      </c>
      <c r="J232" s="32" t="s">
        <v>34</v>
      </c>
      <c r="K232" s="32" t="s">
        <v>34</v>
      </c>
      <c r="L232" s="32" t="s">
        <v>34</v>
      </c>
      <c r="M232" s="10">
        <v>100</v>
      </c>
      <c r="N232" s="32" t="s">
        <v>43</v>
      </c>
      <c r="O232" s="32">
        <v>0.98750000000000004</v>
      </c>
      <c r="P232" s="32">
        <v>0.58499999999999996</v>
      </c>
      <c r="Q232" s="32">
        <v>0</v>
      </c>
      <c r="R232" s="32" t="s">
        <v>34</v>
      </c>
      <c r="S232" s="36">
        <f t="shared" si="7"/>
        <v>1.0675675675675601E-4</v>
      </c>
      <c r="T232" s="32" t="s">
        <v>36</v>
      </c>
      <c r="U232" s="32" t="s">
        <v>37</v>
      </c>
      <c r="V232" s="32" t="s">
        <v>38</v>
      </c>
      <c r="W232" s="32" t="s">
        <v>34</v>
      </c>
      <c r="X232" s="10">
        <v>0.5</v>
      </c>
      <c r="Y232" s="32">
        <v>1</v>
      </c>
      <c r="Z232" s="32" t="s">
        <v>39</v>
      </c>
      <c r="AA232" s="32" t="s">
        <v>34</v>
      </c>
      <c r="AB232" s="13" t="s">
        <v>34</v>
      </c>
      <c r="AC232" s="32" t="s">
        <v>318</v>
      </c>
      <c r="AD232" s="32" t="s">
        <v>32</v>
      </c>
      <c r="AE232" s="32">
        <v>0.46910000000000002</v>
      </c>
      <c r="AF232" s="44" t="s">
        <v>45</v>
      </c>
      <c r="AG232" s="32">
        <v>2013</v>
      </c>
      <c r="AH232" s="44" t="s">
        <v>46</v>
      </c>
      <c r="AI232" s="99">
        <f t="shared" si="6"/>
        <v>0.55515370705244549</v>
      </c>
    </row>
    <row r="233" spans="1:35" s="10" customFormat="1" x14ac:dyDescent="0.3">
      <c r="A233" s="11">
        <v>0.43505674653215598</v>
      </c>
      <c r="B233" s="45">
        <v>5.9459459459459399E-5</v>
      </c>
      <c r="C233" s="33" t="s">
        <v>33</v>
      </c>
      <c r="D233" s="33" t="s">
        <v>35</v>
      </c>
      <c r="E233" s="33" t="s">
        <v>170</v>
      </c>
      <c r="F233" s="33" t="s">
        <v>34</v>
      </c>
      <c r="G233" s="43">
        <v>0.16500000000000001</v>
      </c>
      <c r="H233" s="32" t="s">
        <v>34</v>
      </c>
      <c r="I233" s="32" t="s">
        <v>34</v>
      </c>
      <c r="J233" s="32" t="s">
        <v>34</v>
      </c>
      <c r="K233" s="32" t="s">
        <v>34</v>
      </c>
      <c r="L233" s="32" t="s">
        <v>34</v>
      </c>
      <c r="M233" s="10">
        <v>100</v>
      </c>
      <c r="N233" s="32" t="s">
        <v>43</v>
      </c>
      <c r="O233" s="32">
        <v>0.98750000000000004</v>
      </c>
      <c r="P233" s="32">
        <v>0.58499999999999996</v>
      </c>
      <c r="Q233" s="32">
        <v>0</v>
      </c>
      <c r="R233" s="32" t="s">
        <v>34</v>
      </c>
      <c r="S233" s="36">
        <f t="shared" si="7"/>
        <v>1.0675675675675601E-4</v>
      </c>
      <c r="T233" s="32" t="s">
        <v>36</v>
      </c>
      <c r="U233" s="32" t="s">
        <v>37</v>
      </c>
      <c r="V233" s="32" t="s">
        <v>38</v>
      </c>
      <c r="W233" s="32" t="s">
        <v>34</v>
      </c>
      <c r="X233" s="10">
        <v>0.5</v>
      </c>
      <c r="Y233" s="32">
        <v>1</v>
      </c>
      <c r="Z233" s="32" t="s">
        <v>39</v>
      </c>
      <c r="AA233" s="32" t="s">
        <v>34</v>
      </c>
      <c r="AB233" s="13" t="s">
        <v>34</v>
      </c>
      <c r="AC233" s="32" t="s">
        <v>318</v>
      </c>
      <c r="AD233" s="32" t="s">
        <v>32</v>
      </c>
      <c r="AE233" s="32">
        <v>0.46910000000000002</v>
      </c>
      <c r="AF233" s="44" t="s">
        <v>45</v>
      </c>
      <c r="AG233" s="32">
        <v>2013</v>
      </c>
      <c r="AH233" s="44" t="s">
        <v>46</v>
      </c>
      <c r="AI233" s="99">
        <f t="shared" si="6"/>
        <v>0.556962025316459</v>
      </c>
    </row>
    <row r="234" spans="1:35" s="10" customFormat="1" x14ac:dyDescent="0.3">
      <c r="A234" s="11">
        <v>0.49810844892812001</v>
      </c>
      <c r="B234" s="45">
        <v>5.3474903474903503E-5</v>
      </c>
      <c r="C234" s="33" t="s">
        <v>33</v>
      </c>
      <c r="D234" s="33" t="s">
        <v>35</v>
      </c>
      <c r="E234" s="33" t="s">
        <v>170</v>
      </c>
      <c r="F234" s="33" t="s">
        <v>34</v>
      </c>
      <c r="G234" s="43">
        <v>0.16500000000000001</v>
      </c>
      <c r="H234" s="32" t="s">
        <v>34</v>
      </c>
      <c r="I234" s="32" t="s">
        <v>34</v>
      </c>
      <c r="J234" s="32" t="s">
        <v>34</v>
      </c>
      <c r="K234" s="32" t="s">
        <v>34</v>
      </c>
      <c r="L234" s="32" t="s">
        <v>34</v>
      </c>
      <c r="M234" s="10">
        <v>100</v>
      </c>
      <c r="N234" s="32" t="s">
        <v>43</v>
      </c>
      <c r="O234" s="32">
        <v>0.98750000000000004</v>
      </c>
      <c r="P234" s="32">
        <v>0.58499999999999996</v>
      </c>
      <c r="Q234" s="32">
        <v>0</v>
      </c>
      <c r="R234" s="32" t="s">
        <v>34</v>
      </c>
      <c r="S234" s="36">
        <f t="shared" si="7"/>
        <v>1.0675675675675601E-4</v>
      </c>
      <c r="T234" s="32" t="s">
        <v>36</v>
      </c>
      <c r="U234" s="32" t="s">
        <v>37</v>
      </c>
      <c r="V234" s="32" t="s">
        <v>38</v>
      </c>
      <c r="W234" s="32" t="s">
        <v>34</v>
      </c>
      <c r="X234" s="10">
        <v>0.5</v>
      </c>
      <c r="Y234" s="32">
        <v>1</v>
      </c>
      <c r="Z234" s="32" t="s">
        <v>39</v>
      </c>
      <c r="AA234" s="32" t="s">
        <v>34</v>
      </c>
      <c r="AB234" s="13" t="s">
        <v>34</v>
      </c>
      <c r="AC234" s="32" t="s">
        <v>318</v>
      </c>
      <c r="AD234" s="32" t="s">
        <v>32</v>
      </c>
      <c r="AE234" s="32">
        <v>0.46910000000000002</v>
      </c>
      <c r="AF234" s="44" t="s">
        <v>45</v>
      </c>
      <c r="AG234" s="32">
        <v>2013</v>
      </c>
      <c r="AH234" s="44" t="s">
        <v>46</v>
      </c>
      <c r="AI234" s="99">
        <f t="shared" si="6"/>
        <v>0.50090415913201103</v>
      </c>
    </row>
    <row r="235" spans="1:35" s="10" customFormat="1" x14ac:dyDescent="0.3">
      <c r="A235" s="11">
        <v>0.58007566204287497</v>
      </c>
      <c r="B235" s="45">
        <v>5.3281853281853202E-5</v>
      </c>
      <c r="C235" s="33" t="s">
        <v>33</v>
      </c>
      <c r="D235" s="33" t="s">
        <v>35</v>
      </c>
      <c r="E235" s="33" t="s">
        <v>170</v>
      </c>
      <c r="F235" s="33" t="s">
        <v>34</v>
      </c>
      <c r="G235" s="43">
        <v>0.16500000000000001</v>
      </c>
      <c r="H235" s="32" t="s">
        <v>34</v>
      </c>
      <c r="I235" s="32" t="s">
        <v>34</v>
      </c>
      <c r="J235" s="32" t="s">
        <v>34</v>
      </c>
      <c r="K235" s="32" t="s">
        <v>34</v>
      </c>
      <c r="L235" s="32" t="s">
        <v>34</v>
      </c>
      <c r="M235" s="10">
        <v>100</v>
      </c>
      <c r="N235" s="32" t="s">
        <v>43</v>
      </c>
      <c r="O235" s="32">
        <v>0.98750000000000004</v>
      </c>
      <c r="P235" s="32">
        <v>0.58499999999999996</v>
      </c>
      <c r="Q235" s="32">
        <v>0</v>
      </c>
      <c r="R235" s="32" t="s">
        <v>34</v>
      </c>
      <c r="S235" s="36">
        <f t="shared" si="7"/>
        <v>1.0675675675675601E-4</v>
      </c>
      <c r="T235" s="32" t="s">
        <v>36</v>
      </c>
      <c r="U235" s="32" t="s">
        <v>37</v>
      </c>
      <c r="V235" s="32" t="s">
        <v>38</v>
      </c>
      <c r="W235" s="32" t="s">
        <v>34</v>
      </c>
      <c r="X235" s="10">
        <v>0.5</v>
      </c>
      <c r="Y235" s="32">
        <v>1</v>
      </c>
      <c r="Z235" s="32" t="s">
        <v>39</v>
      </c>
      <c r="AA235" s="32" t="s">
        <v>34</v>
      </c>
      <c r="AB235" s="13" t="s">
        <v>34</v>
      </c>
      <c r="AC235" s="32" t="s">
        <v>318</v>
      </c>
      <c r="AD235" s="32" t="s">
        <v>32</v>
      </c>
      <c r="AE235" s="32">
        <v>0.46910000000000002</v>
      </c>
      <c r="AF235" s="44" t="s">
        <v>45</v>
      </c>
      <c r="AG235" s="32">
        <v>2013</v>
      </c>
      <c r="AH235" s="44" t="s">
        <v>46</v>
      </c>
      <c r="AI235" s="99">
        <f t="shared" si="6"/>
        <v>0.49909584086799552</v>
      </c>
    </row>
    <row r="236" spans="1:35" s="10" customFormat="1" x14ac:dyDescent="0.3">
      <c r="A236" s="11">
        <v>0.65573770491803296</v>
      </c>
      <c r="B236" s="45">
        <v>5.3281853281853202E-5</v>
      </c>
      <c r="C236" s="33" t="s">
        <v>33</v>
      </c>
      <c r="D236" s="33" t="s">
        <v>35</v>
      </c>
      <c r="E236" s="33" t="s">
        <v>170</v>
      </c>
      <c r="F236" s="33" t="s">
        <v>34</v>
      </c>
      <c r="G236" s="43">
        <v>0.16500000000000001</v>
      </c>
      <c r="H236" s="32" t="s">
        <v>34</v>
      </c>
      <c r="I236" s="32" t="s">
        <v>34</v>
      </c>
      <c r="J236" s="32" t="s">
        <v>34</v>
      </c>
      <c r="K236" s="32" t="s">
        <v>34</v>
      </c>
      <c r="L236" s="32" t="s">
        <v>34</v>
      </c>
      <c r="M236" s="10">
        <v>100</v>
      </c>
      <c r="N236" s="32" t="s">
        <v>43</v>
      </c>
      <c r="O236" s="32">
        <v>0.98750000000000004</v>
      </c>
      <c r="P236" s="32">
        <v>0.58499999999999996</v>
      </c>
      <c r="Q236" s="32">
        <v>0</v>
      </c>
      <c r="R236" s="32" t="s">
        <v>34</v>
      </c>
      <c r="S236" s="36">
        <f t="shared" si="7"/>
        <v>1.0675675675675601E-4</v>
      </c>
      <c r="T236" s="32" t="s">
        <v>36</v>
      </c>
      <c r="U236" s="32" t="s">
        <v>37</v>
      </c>
      <c r="V236" s="32" t="s">
        <v>38</v>
      </c>
      <c r="W236" s="32" t="s">
        <v>34</v>
      </c>
      <c r="X236" s="10">
        <v>0.5</v>
      </c>
      <c r="Y236" s="32">
        <v>1</v>
      </c>
      <c r="Z236" s="32" t="s">
        <v>39</v>
      </c>
      <c r="AA236" s="32" t="s">
        <v>34</v>
      </c>
      <c r="AB236" s="13" t="s">
        <v>34</v>
      </c>
      <c r="AC236" s="32" t="s">
        <v>318</v>
      </c>
      <c r="AD236" s="32" t="s">
        <v>32</v>
      </c>
      <c r="AE236" s="32">
        <v>0.46910000000000002</v>
      </c>
      <c r="AF236" s="44" t="s">
        <v>45</v>
      </c>
      <c r="AG236" s="32">
        <v>2013</v>
      </c>
      <c r="AH236" s="44" t="s">
        <v>46</v>
      </c>
      <c r="AI236" s="99">
        <f t="shared" si="6"/>
        <v>0.49909584086799552</v>
      </c>
    </row>
    <row r="237" spans="1:35" s="10" customFormat="1" x14ac:dyDescent="0.3">
      <c r="A237" s="11">
        <v>0.73139974779318995</v>
      </c>
      <c r="B237" s="45">
        <v>5.3281853281853202E-5</v>
      </c>
      <c r="C237" s="33" t="s">
        <v>33</v>
      </c>
      <c r="D237" s="33" t="s">
        <v>35</v>
      </c>
      <c r="E237" s="33" t="s">
        <v>170</v>
      </c>
      <c r="F237" s="33" t="s">
        <v>34</v>
      </c>
      <c r="G237" s="43">
        <v>0.16500000000000001</v>
      </c>
      <c r="H237" s="32" t="s">
        <v>34</v>
      </c>
      <c r="I237" s="32" t="s">
        <v>34</v>
      </c>
      <c r="J237" s="32" t="s">
        <v>34</v>
      </c>
      <c r="K237" s="32" t="s">
        <v>34</v>
      </c>
      <c r="L237" s="32" t="s">
        <v>34</v>
      </c>
      <c r="M237" s="10">
        <v>100</v>
      </c>
      <c r="N237" s="32" t="s">
        <v>43</v>
      </c>
      <c r="O237" s="32">
        <v>0.98750000000000004</v>
      </c>
      <c r="P237" s="32">
        <v>0.58499999999999996</v>
      </c>
      <c r="Q237" s="32">
        <v>0</v>
      </c>
      <c r="R237" s="32" t="s">
        <v>34</v>
      </c>
      <c r="S237" s="36">
        <f t="shared" si="7"/>
        <v>1.0675675675675601E-4</v>
      </c>
      <c r="T237" s="32" t="s">
        <v>36</v>
      </c>
      <c r="U237" s="32" t="s">
        <v>37</v>
      </c>
      <c r="V237" s="32" t="s">
        <v>38</v>
      </c>
      <c r="W237" s="32" t="s">
        <v>34</v>
      </c>
      <c r="X237" s="10">
        <v>0.5</v>
      </c>
      <c r="Y237" s="32">
        <v>1</v>
      </c>
      <c r="Z237" s="32" t="s">
        <v>39</v>
      </c>
      <c r="AA237" s="32" t="s">
        <v>34</v>
      </c>
      <c r="AB237" s="13" t="s">
        <v>34</v>
      </c>
      <c r="AC237" s="32" t="s">
        <v>318</v>
      </c>
      <c r="AD237" s="32" t="s">
        <v>32</v>
      </c>
      <c r="AE237" s="32">
        <v>0.46910000000000002</v>
      </c>
      <c r="AF237" s="44" t="s">
        <v>45</v>
      </c>
      <c r="AG237" s="32">
        <v>2013</v>
      </c>
      <c r="AH237" s="44" t="s">
        <v>46</v>
      </c>
      <c r="AI237" s="99">
        <f t="shared" si="6"/>
        <v>0.49909584086799552</v>
      </c>
    </row>
    <row r="238" spans="1:35" s="10" customFormat="1" x14ac:dyDescent="0.3">
      <c r="A238" s="11">
        <v>0</v>
      </c>
      <c r="B238" s="45">
        <v>2.31660231660231E-5</v>
      </c>
      <c r="C238" s="33" t="s">
        <v>33</v>
      </c>
      <c r="D238" s="33" t="s">
        <v>35</v>
      </c>
      <c r="E238" s="33" t="s">
        <v>170</v>
      </c>
      <c r="F238" s="33" t="s">
        <v>34</v>
      </c>
      <c r="G238" s="43">
        <v>0.16500000000000001</v>
      </c>
      <c r="H238" s="32" t="s">
        <v>34</v>
      </c>
      <c r="I238" s="32" t="s">
        <v>34</v>
      </c>
      <c r="J238" s="32" t="s">
        <v>34</v>
      </c>
      <c r="K238" s="32" t="s">
        <v>34</v>
      </c>
      <c r="L238" s="32" t="s">
        <v>34</v>
      </c>
      <c r="M238" s="10">
        <v>100</v>
      </c>
      <c r="N238" s="32" t="s">
        <v>43</v>
      </c>
      <c r="O238" s="32">
        <v>0.98750000000000004</v>
      </c>
      <c r="P238" s="32">
        <v>0.58499999999999996</v>
      </c>
      <c r="Q238" s="32">
        <v>0</v>
      </c>
      <c r="R238" s="32" t="s">
        <v>34</v>
      </c>
      <c r="S238" s="36">
        <f t="shared" si="7"/>
        <v>2.31660231660231E-5</v>
      </c>
      <c r="T238" s="32" t="s">
        <v>36</v>
      </c>
      <c r="U238" s="32" t="s">
        <v>37</v>
      </c>
      <c r="V238" s="32" t="s">
        <v>38</v>
      </c>
      <c r="W238" s="32" t="s">
        <v>34</v>
      </c>
      <c r="X238" s="10">
        <v>0.5</v>
      </c>
      <c r="Y238" s="32">
        <v>1</v>
      </c>
      <c r="Z238" s="32" t="s">
        <v>39</v>
      </c>
      <c r="AA238" s="32" t="s">
        <v>34</v>
      </c>
      <c r="AB238" s="13" t="s">
        <v>34</v>
      </c>
      <c r="AC238" s="32" t="s">
        <v>318</v>
      </c>
      <c r="AD238" s="32" t="s">
        <v>32</v>
      </c>
      <c r="AE238" s="32">
        <v>0.46910000000000002</v>
      </c>
      <c r="AF238" s="44" t="s">
        <v>45</v>
      </c>
      <c r="AG238" s="32">
        <v>2013</v>
      </c>
      <c r="AH238" s="44" t="s">
        <v>46</v>
      </c>
      <c r="AI238" s="99">
        <f t="shared" si="6"/>
        <v>1</v>
      </c>
    </row>
    <row r="239" spans="1:35" s="10" customFormat="1" x14ac:dyDescent="0.3">
      <c r="A239" s="11">
        <v>0.40353089533417302</v>
      </c>
      <c r="B239" s="45">
        <v>1.33204633204633E-5</v>
      </c>
      <c r="C239" s="33" t="s">
        <v>33</v>
      </c>
      <c r="D239" s="33" t="s">
        <v>35</v>
      </c>
      <c r="E239" s="33" t="s">
        <v>170</v>
      </c>
      <c r="F239" s="33" t="s">
        <v>34</v>
      </c>
      <c r="G239" s="43">
        <v>0.16500000000000001</v>
      </c>
      <c r="H239" s="32" t="s">
        <v>34</v>
      </c>
      <c r="I239" s="32" t="s">
        <v>34</v>
      </c>
      <c r="J239" s="32" t="s">
        <v>34</v>
      </c>
      <c r="K239" s="32" t="s">
        <v>34</v>
      </c>
      <c r="L239" s="32" t="s">
        <v>34</v>
      </c>
      <c r="M239" s="10">
        <v>100</v>
      </c>
      <c r="N239" s="32" t="s">
        <v>43</v>
      </c>
      <c r="O239" s="32">
        <v>0.98750000000000004</v>
      </c>
      <c r="P239" s="32">
        <v>0.58499999999999996</v>
      </c>
      <c r="Q239" s="32">
        <v>0</v>
      </c>
      <c r="R239" s="32" t="s">
        <v>34</v>
      </c>
      <c r="S239" s="36">
        <f t="shared" si="7"/>
        <v>2.31660231660231E-5</v>
      </c>
      <c r="T239" s="32" t="s">
        <v>36</v>
      </c>
      <c r="U239" s="32" t="s">
        <v>37</v>
      </c>
      <c r="V239" s="32" t="s">
        <v>38</v>
      </c>
      <c r="W239" s="32" t="s">
        <v>34</v>
      </c>
      <c r="X239" s="10">
        <v>0.5</v>
      </c>
      <c r="Y239" s="32">
        <v>1</v>
      </c>
      <c r="Z239" s="32" t="s">
        <v>39</v>
      </c>
      <c r="AA239" s="32" t="s">
        <v>34</v>
      </c>
      <c r="AB239" s="13" t="s">
        <v>34</v>
      </c>
      <c r="AC239" s="32" t="s">
        <v>318</v>
      </c>
      <c r="AD239" s="32" t="s">
        <v>32</v>
      </c>
      <c r="AE239" s="32">
        <v>0.46910000000000002</v>
      </c>
      <c r="AF239" s="44" t="s">
        <v>45</v>
      </c>
      <c r="AG239" s="32">
        <v>2013</v>
      </c>
      <c r="AH239" s="44" t="s">
        <v>46</v>
      </c>
      <c r="AI239" s="99">
        <f t="shared" si="6"/>
        <v>0.57500000000000073</v>
      </c>
    </row>
    <row r="240" spans="1:35" s="10" customFormat="1" x14ac:dyDescent="0.3">
      <c r="A240" s="11">
        <v>0.80075662042874995</v>
      </c>
      <c r="B240" s="45">
        <v>6.1776061776062103E-6</v>
      </c>
      <c r="C240" s="33" t="s">
        <v>33</v>
      </c>
      <c r="D240" s="33" t="s">
        <v>35</v>
      </c>
      <c r="E240" s="33" t="s">
        <v>170</v>
      </c>
      <c r="F240" s="33" t="s">
        <v>34</v>
      </c>
      <c r="G240" s="43">
        <v>0.16500000000000001</v>
      </c>
      <c r="H240" s="32" t="s">
        <v>34</v>
      </c>
      <c r="I240" s="32" t="s">
        <v>34</v>
      </c>
      <c r="J240" s="32" t="s">
        <v>34</v>
      </c>
      <c r="K240" s="32" t="s">
        <v>34</v>
      </c>
      <c r="L240" s="32" t="s">
        <v>34</v>
      </c>
      <c r="M240" s="10">
        <v>100</v>
      </c>
      <c r="N240" s="32" t="s">
        <v>43</v>
      </c>
      <c r="O240" s="32">
        <v>0.98750000000000004</v>
      </c>
      <c r="P240" s="32">
        <v>0.58499999999999996</v>
      </c>
      <c r="Q240" s="32">
        <v>0</v>
      </c>
      <c r="R240" s="32" t="s">
        <v>34</v>
      </c>
      <c r="S240" s="36">
        <f t="shared" si="7"/>
        <v>2.31660231660231E-5</v>
      </c>
      <c r="T240" s="32" t="s">
        <v>36</v>
      </c>
      <c r="U240" s="32" t="s">
        <v>37</v>
      </c>
      <c r="V240" s="32" t="s">
        <v>38</v>
      </c>
      <c r="W240" s="32" t="s">
        <v>34</v>
      </c>
      <c r="X240" s="10">
        <v>0.5</v>
      </c>
      <c r="Y240" s="32">
        <v>1</v>
      </c>
      <c r="Z240" s="32" t="s">
        <v>39</v>
      </c>
      <c r="AA240" s="32" t="s">
        <v>34</v>
      </c>
      <c r="AB240" s="13" t="s">
        <v>34</v>
      </c>
      <c r="AC240" s="32" t="s">
        <v>318</v>
      </c>
      <c r="AD240" s="32" t="s">
        <v>32</v>
      </c>
      <c r="AE240" s="32">
        <v>0.46910000000000002</v>
      </c>
      <c r="AF240" s="44" t="s">
        <v>45</v>
      </c>
      <c r="AG240" s="32">
        <v>2013</v>
      </c>
      <c r="AH240" s="44" t="s">
        <v>46</v>
      </c>
      <c r="AI240" s="99">
        <f t="shared" si="6"/>
        <v>0.26666666666666883</v>
      </c>
    </row>
    <row r="241" spans="1:35" s="10" customFormat="1" x14ac:dyDescent="0.3">
      <c r="A241" s="11">
        <v>1.1979823455233201</v>
      </c>
      <c r="B241" s="45">
        <v>6.9498069498069603E-6</v>
      </c>
      <c r="C241" s="33" t="s">
        <v>33</v>
      </c>
      <c r="D241" s="33" t="s">
        <v>35</v>
      </c>
      <c r="E241" s="33" t="s">
        <v>170</v>
      </c>
      <c r="F241" s="33" t="s">
        <v>34</v>
      </c>
      <c r="G241" s="43">
        <v>0.16500000000000001</v>
      </c>
      <c r="H241" s="32" t="s">
        <v>34</v>
      </c>
      <c r="I241" s="32" t="s">
        <v>34</v>
      </c>
      <c r="J241" s="32" t="s">
        <v>34</v>
      </c>
      <c r="K241" s="32" t="s">
        <v>34</v>
      </c>
      <c r="L241" s="32" t="s">
        <v>34</v>
      </c>
      <c r="M241" s="10">
        <v>100</v>
      </c>
      <c r="N241" s="32" t="s">
        <v>43</v>
      </c>
      <c r="O241" s="32">
        <v>0.98750000000000004</v>
      </c>
      <c r="P241" s="32">
        <v>0.58499999999999996</v>
      </c>
      <c r="Q241" s="32">
        <v>0</v>
      </c>
      <c r="R241" s="32" t="s">
        <v>34</v>
      </c>
      <c r="S241" s="36">
        <f t="shared" si="7"/>
        <v>2.31660231660231E-5</v>
      </c>
      <c r="T241" s="32" t="s">
        <v>36</v>
      </c>
      <c r="U241" s="32" t="s">
        <v>37</v>
      </c>
      <c r="V241" s="32" t="s">
        <v>38</v>
      </c>
      <c r="W241" s="32" t="s">
        <v>34</v>
      </c>
      <c r="X241" s="10">
        <v>0.5</v>
      </c>
      <c r="Y241" s="32">
        <v>1</v>
      </c>
      <c r="Z241" s="32" t="s">
        <v>39</v>
      </c>
      <c r="AA241" s="32" t="s">
        <v>34</v>
      </c>
      <c r="AB241" s="13" t="s">
        <v>34</v>
      </c>
      <c r="AC241" s="32" t="s">
        <v>318</v>
      </c>
      <c r="AD241" s="32" t="s">
        <v>32</v>
      </c>
      <c r="AE241" s="32">
        <v>0.46910000000000002</v>
      </c>
      <c r="AF241" s="44" t="s">
        <v>45</v>
      </c>
      <c r="AG241" s="32">
        <v>2013</v>
      </c>
      <c r="AH241" s="44" t="s">
        <v>46</v>
      </c>
      <c r="AI241" s="99">
        <f t="shared" si="6"/>
        <v>0.30000000000000132</v>
      </c>
    </row>
    <row r="242" spans="1:35" s="10" customFormat="1" x14ac:dyDescent="0.3">
      <c r="A242" s="11">
        <v>1.6015132408574999</v>
      </c>
      <c r="B242" s="45">
        <v>6.9498069498069603E-6</v>
      </c>
      <c r="C242" s="33" t="s">
        <v>33</v>
      </c>
      <c r="D242" s="33" t="s">
        <v>35</v>
      </c>
      <c r="E242" s="33" t="s">
        <v>170</v>
      </c>
      <c r="F242" s="33" t="s">
        <v>34</v>
      </c>
      <c r="G242" s="43">
        <v>0.16500000000000001</v>
      </c>
      <c r="H242" s="32" t="s">
        <v>34</v>
      </c>
      <c r="I242" s="32" t="s">
        <v>34</v>
      </c>
      <c r="J242" s="32" t="s">
        <v>34</v>
      </c>
      <c r="K242" s="32" t="s">
        <v>34</v>
      </c>
      <c r="L242" s="32" t="s">
        <v>34</v>
      </c>
      <c r="M242" s="10">
        <v>100</v>
      </c>
      <c r="N242" s="32" t="s">
        <v>43</v>
      </c>
      <c r="O242" s="32">
        <v>0.98750000000000004</v>
      </c>
      <c r="P242" s="32">
        <v>0.58499999999999996</v>
      </c>
      <c r="Q242" s="32">
        <v>0</v>
      </c>
      <c r="R242" s="32" t="s">
        <v>34</v>
      </c>
      <c r="S242" s="36">
        <f t="shared" si="7"/>
        <v>2.31660231660231E-5</v>
      </c>
      <c r="T242" s="32" t="s">
        <v>36</v>
      </c>
      <c r="U242" s="32" t="s">
        <v>37</v>
      </c>
      <c r="V242" s="32" t="s">
        <v>38</v>
      </c>
      <c r="W242" s="32" t="s">
        <v>34</v>
      </c>
      <c r="X242" s="10">
        <v>0.5</v>
      </c>
      <c r="Y242" s="32">
        <v>1</v>
      </c>
      <c r="Z242" s="32" t="s">
        <v>39</v>
      </c>
      <c r="AA242" s="32" t="s">
        <v>34</v>
      </c>
      <c r="AB242" s="13" t="s">
        <v>34</v>
      </c>
      <c r="AC242" s="32" t="s">
        <v>318</v>
      </c>
      <c r="AD242" s="32" t="s">
        <v>32</v>
      </c>
      <c r="AE242" s="32">
        <v>0.46910000000000002</v>
      </c>
      <c r="AF242" s="44" t="s">
        <v>45</v>
      </c>
      <c r="AG242" s="32">
        <v>2013</v>
      </c>
      <c r="AH242" s="44" t="s">
        <v>46</v>
      </c>
      <c r="AI242" s="99">
        <f t="shared" si="6"/>
        <v>0.30000000000000132</v>
      </c>
    </row>
    <row r="243" spans="1:35" s="10" customFormat="1" x14ac:dyDescent="0.3">
      <c r="A243" s="11">
        <v>2.0113493064312702</v>
      </c>
      <c r="B243" s="45">
        <v>8.1081081081081294E-6</v>
      </c>
      <c r="C243" s="33" t="s">
        <v>33</v>
      </c>
      <c r="D243" s="33" t="s">
        <v>35</v>
      </c>
      <c r="E243" s="33" t="s">
        <v>170</v>
      </c>
      <c r="F243" s="33" t="s">
        <v>34</v>
      </c>
      <c r="G243" s="43">
        <v>0.16500000000000001</v>
      </c>
      <c r="H243" s="32" t="s">
        <v>34</v>
      </c>
      <c r="I243" s="32" t="s">
        <v>34</v>
      </c>
      <c r="J243" s="32" t="s">
        <v>34</v>
      </c>
      <c r="K243" s="32" t="s">
        <v>34</v>
      </c>
      <c r="L243" s="32" t="s">
        <v>34</v>
      </c>
      <c r="M243" s="10">
        <v>100</v>
      </c>
      <c r="N243" s="32" t="s">
        <v>43</v>
      </c>
      <c r="O243" s="32">
        <v>0.98750000000000004</v>
      </c>
      <c r="P243" s="32">
        <v>0.58499999999999996</v>
      </c>
      <c r="Q243" s="32">
        <v>0</v>
      </c>
      <c r="R243" s="32" t="s">
        <v>34</v>
      </c>
      <c r="S243" s="36">
        <f t="shared" si="7"/>
        <v>2.31660231660231E-5</v>
      </c>
      <c r="T243" s="32" t="s">
        <v>36</v>
      </c>
      <c r="U243" s="32" t="s">
        <v>37</v>
      </c>
      <c r="V243" s="32" t="s">
        <v>38</v>
      </c>
      <c r="W243" s="32" t="s">
        <v>34</v>
      </c>
      <c r="X243" s="10">
        <v>0.5</v>
      </c>
      <c r="Y243" s="32">
        <v>1</v>
      </c>
      <c r="Z243" s="32" t="s">
        <v>39</v>
      </c>
      <c r="AA243" s="32" t="s">
        <v>34</v>
      </c>
      <c r="AB243" s="13" t="s">
        <v>34</v>
      </c>
      <c r="AC243" s="32" t="s">
        <v>318</v>
      </c>
      <c r="AD243" s="32" t="s">
        <v>32</v>
      </c>
      <c r="AE243" s="32">
        <v>0.46910000000000002</v>
      </c>
      <c r="AF243" s="44" t="s">
        <v>45</v>
      </c>
      <c r="AG243" s="32">
        <v>2013</v>
      </c>
      <c r="AH243" s="44" t="s">
        <v>46</v>
      </c>
      <c r="AI243" s="99">
        <f t="shared" si="6"/>
        <v>0.35000000000000192</v>
      </c>
    </row>
    <row r="244" spans="1:35" s="10" customFormat="1" x14ac:dyDescent="0.3">
      <c r="A244" s="11">
        <v>2.4022698612862499</v>
      </c>
      <c r="B244" s="45">
        <v>7.7220077220077306E-6</v>
      </c>
      <c r="C244" s="33" t="s">
        <v>33</v>
      </c>
      <c r="D244" s="33" t="s">
        <v>35</v>
      </c>
      <c r="E244" s="33" t="s">
        <v>170</v>
      </c>
      <c r="F244" s="33" t="s">
        <v>34</v>
      </c>
      <c r="G244" s="43">
        <v>0.16500000000000001</v>
      </c>
      <c r="H244" s="32" t="s">
        <v>34</v>
      </c>
      <c r="I244" s="32" t="s">
        <v>34</v>
      </c>
      <c r="J244" s="32" t="s">
        <v>34</v>
      </c>
      <c r="K244" s="32" t="s">
        <v>34</v>
      </c>
      <c r="L244" s="32" t="s">
        <v>34</v>
      </c>
      <c r="M244" s="10">
        <v>100</v>
      </c>
      <c r="N244" s="32" t="s">
        <v>43</v>
      </c>
      <c r="O244" s="32">
        <v>0.98750000000000004</v>
      </c>
      <c r="P244" s="32">
        <v>0.58499999999999996</v>
      </c>
      <c r="Q244" s="32">
        <v>0</v>
      </c>
      <c r="R244" s="32" t="s">
        <v>34</v>
      </c>
      <c r="S244" s="36">
        <f t="shared" si="7"/>
        <v>2.31660231660231E-5</v>
      </c>
      <c r="T244" s="32" t="s">
        <v>36</v>
      </c>
      <c r="U244" s="32" t="s">
        <v>37</v>
      </c>
      <c r="V244" s="32" t="s">
        <v>38</v>
      </c>
      <c r="W244" s="32" t="s">
        <v>34</v>
      </c>
      <c r="X244" s="10">
        <v>0.5</v>
      </c>
      <c r="Y244" s="32">
        <v>1</v>
      </c>
      <c r="Z244" s="32" t="s">
        <v>39</v>
      </c>
      <c r="AA244" s="32" t="s">
        <v>34</v>
      </c>
      <c r="AB244" s="13" t="s">
        <v>34</v>
      </c>
      <c r="AC244" s="32" t="s">
        <v>318</v>
      </c>
      <c r="AD244" s="32" t="s">
        <v>32</v>
      </c>
      <c r="AE244" s="32">
        <v>0.46910000000000002</v>
      </c>
      <c r="AF244" s="44" t="s">
        <v>45</v>
      </c>
      <c r="AG244" s="32">
        <v>2013</v>
      </c>
      <c r="AH244" s="44" t="s">
        <v>46</v>
      </c>
      <c r="AI244" s="99">
        <f t="shared" si="6"/>
        <v>0.33333333333333465</v>
      </c>
    </row>
    <row r="245" spans="1:35" s="10" customFormat="1" x14ac:dyDescent="0.3">
      <c r="A245" s="11">
        <v>2.8121059268600201</v>
      </c>
      <c r="B245" s="45">
        <v>6.1776061776061899E-6</v>
      </c>
      <c r="C245" s="33" t="s">
        <v>33</v>
      </c>
      <c r="D245" s="33" t="s">
        <v>35</v>
      </c>
      <c r="E245" s="33" t="s">
        <v>170</v>
      </c>
      <c r="F245" s="33" t="s">
        <v>34</v>
      </c>
      <c r="G245" s="43">
        <v>0.16500000000000001</v>
      </c>
      <c r="H245" s="32" t="s">
        <v>34</v>
      </c>
      <c r="I245" s="32" t="s">
        <v>34</v>
      </c>
      <c r="J245" s="32" t="s">
        <v>34</v>
      </c>
      <c r="K245" s="32" t="s">
        <v>34</v>
      </c>
      <c r="L245" s="32" t="s">
        <v>34</v>
      </c>
      <c r="M245" s="10">
        <v>100</v>
      </c>
      <c r="N245" s="32" t="s">
        <v>43</v>
      </c>
      <c r="O245" s="32">
        <v>0.98750000000000004</v>
      </c>
      <c r="P245" s="32">
        <v>0.58499999999999996</v>
      </c>
      <c r="Q245" s="32">
        <v>0</v>
      </c>
      <c r="R245" s="32" t="s">
        <v>34</v>
      </c>
      <c r="S245" s="36">
        <f t="shared" si="7"/>
        <v>2.31660231660231E-5</v>
      </c>
      <c r="T245" s="32" t="s">
        <v>36</v>
      </c>
      <c r="U245" s="32" t="s">
        <v>37</v>
      </c>
      <c r="V245" s="32" t="s">
        <v>38</v>
      </c>
      <c r="W245" s="32" t="s">
        <v>34</v>
      </c>
      <c r="X245" s="10">
        <v>0.5</v>
      </c>
      <c r="Y245" s="32">
        <v>1</v>
      </c>
      <c r="Z245" s="32" t="s">
        <v>39</v>
      </c>
      <c r="AA245" s="32" t="s">
        <v>34</v>
      </c>
      <c r="AB245" s="13" t="s">
        <v>34</v>
      </c>
      <c r="AC245" s="32" t="s">
        <v>318</v>
      </c>
      <c r="AD245" s="32" t="s">
        <v>32</v>
      </c>
      <c r="AE245" s="32">
        <v>0.46910000000000002</v>
      </c>
      <c r="AF245" s="44" t="s">
        <v>45</v>
      </c>
      <c r="AG245" s="32">
        <v>2013</v>
      </c>
      <c r="AH245" s="44" t="s">
        <v>46</v>
      </c>
      <c r="AI245" s="99">
        <f t="shared" si="6"/>
        <v>0.26666666666666794</v>
      </c>
    </row>
    <row r="246" spans="1:35" s="10" customFormat="1" x14ac:dyDescent="0.3">
      <c r="A246" s="11">
        <v>0</v>
      </c>
      <c r="B246" s="45">
        <v>3.5107376283846802E-5</v>
      </c>
      <c r="C246" s="33" t="s">
        <v>33</v>
      </c>
      <c r="D246" s="33" t="s">
        <v>35</v>
      </c>
      <c r="E246" s="33" t="s">
        <v>170</v>
      </c>
      <c r="F246" s="33" t="s">
        <v>34</v>
      </c>
      <c r="G246" s="43">
        <v>0.16500000000000001</v>
      </c>
      <c r="H246" s="32" t="s">
        <v>34</v>
      </c>
      <c r="I246" s="32" t="s">
        <v>34</v>
      </c>
      <c r="J246" s="32" t="s">
        <v>34</v>
      </c>
      <c r="K246" s="32" t="s">
        <v>34</v>
      </c>
      <c r="L246" s="32" t="s">
        <v>34</v>
      </c>
      <c r="M246" s="10">
        <v>83</v>
      </c>
      <c r="N246" s="32" t="s">
        <v>43</v>
      </c>
      <c r="O246" s="32">
        <v>0.98750000000000004</v>
      </c>
      <c r="P246" s="32">
        <v>0.58499999999999996</v>
      </c>
      <c r="Q246" s="32">
        <v>0</v>
      </c>
      <c r="R246" s="32" t="s">
        <v>34</v>
      </c>
      <c r="S246" s="36">
        <f t="shared" si="7"/>
        <v>3.5107376283846802E-5</v>
      </c>
      <c r="T246" s="32" t="s">
        <v>36</v>
      </c>
      <c r="U246" s="32" t="s">
        <v>37</v>
      </c>
      <c r="V246" s="32" t="s">
        <v>38</v>
      </c>
      <c r="W246" s="32" t="s">
        <v>34</v>
      </c>
      <c r="X246" s="10">
        <v>1</v>
      </c>
      <c r="Y246" s="32">
        <v>1</v>
      </c>
      <c r="Z246" s="32" t="s">
        <v>39</v>
      </c>
      <c r="AA246" s="32" t="s">
        <v>34</v>
      </c>
      <c r="AB246" s="13" t="s">
        <v>34</v>
      </c>
      <c r="AC246" s="32" t="s">
        <v>318</v>
      </c>
      <c r="AD246" s="32" t="s">
        <v>32</v>
      </c>
      <c r="AE246" s="32">
        <v>0.46910000000000002</v>
      </c>
      <c r="AF246" s="44" t="s">
        <v>45</v>
      </c>
      <c r="AG246" s="32">
        <v>2013</v>
      </c>
      <c r="AH246" s="44" t="s">
        <v>46</v>
      </c>
      <c r="AI246" s="99">
        <f t="shared" si="6"/>
        <v>1</v>
      </c>
    </row>
    <row r="247" spans="1:35" s="10" customFormat="1" x14ac:dyDescent="0.3">
      <c r="A247" s="11">
        <v>0.429022082018928</v>
      </c>
      <c r="B247" s="45">
        <v>3.3426704014939202E-5</v>
      </c>
      <c r="C247" s="33" t="s">
        <v>33</v>
      </c>
      <c r="D247" s="33" t="s">
        <v>35</v>
      </c>
      <c r="E247" s="33" t="s">
        <v>170</v>
      </c>
      <c r="F247" s="33" t="s">
        <v>34</v>
      </c>
      <c r="G247" s="43">
        <v>0.16500000000000001</v>
      </c>
      <c r="H247" s="32" t="s">
        <v>34</v>
      </c>
      <c r="I247" s="32" t="s">
        <v>34</v>
      </c>
      <c r="J247" s="32" t="s">
        <v>34</v>
      </c>
      <c r="K247" s="32" t="s">
        <v>34</v>
      </c>
      <c r="L247" s="32" t="s">
        <v>34</v>
      </c>
      <c r="M247" s="10">
        <v>83</v>
      </c>
      <c r="N247" s="32" t="s">
        <v>43</v>
      </c>
      <c r="O247" s="32">
        <v>0.98750000000000004</v>
      </c>
      <c r="P247" s="32">
        <v>0.58499999999999996</v>
      </c>
      <c r="Q247" s="32">
        <v>0</v>
      </c>
      <c r="R247" s="32" t="s">
        <v>34</v>
      </c>
      <c r="S247" s="36">
        <f t="shared" si="7"/>
        <v>3.5107376283846802E-5</v>
      </c>
      <c r="T247" s="32" t="s">
        <v>36</v>
      </c>
      <c r="U247" s="32" t="s">
        <v>37</v>
      </c>
      <c r="V247" s="32" t="s">
        <v>38</v>
      </c>
      <c r="W247" s="32" t="s">
        <v>34</v>
      </c>
      <c r="X247" s="10">
        <v>1</v>
      </c>
      <c r="Y247" s="32">
        <v>1</v>
      </c>
      <c r="Z247" s="32" t="s">
        <v>39</v>
      </c>
      <c r="AA247" s="32" t="s">
        <v>34</v>
      </c>
      <c r="AB247" s="13" t="s">
        <v>34</v>
      </c>
      <c r="AC247" s="32" t="s">
        <v>318</v>
      </c>
      <c r="AD247" s="32" t="s">
        <v>32</v>
      </c>
      <c r="AE247" s="32">
        <v>0.46910000000000002</v>
      </c>
      <c r="AF247" s="44" t="s">
        <v>45</v>
      </c>
      <c r="AG247" s="32">
        <v>2013</v>
      </c>
      <c r="AH247" s="44" t="s">
        <v>46</v>
      </c>
      <c r="AI247" s="99">
        <f t="shared" si="6"/>
        <v>0.95212765957446699</v>
      </c>
    </row>
    <row r="248" spans="1:35" s="10" customFormat="1" x14ac:dyDescent="0.3">
      <c r="A248" s="11">
        <v>0.85173501577287103</v>
      </c>
      <c r="B248" s="45">
        <v>2.1101774042950399E-5</v>
      </c>
      <c r="C248" s="33" t="s">
        <v>33</v>
      </c>
      <c r="D248" s="33" t="s">
        <v>35</v>
      </c>
      <c r="E248" s="33" t="s">
        <v>170</v>
      </c>
      <c r="F248" s="33" t="s">
        <v>34</v>
      </c>
      <c r="G248" s="43">
        <v>0.16500000000000001</v>
      </c>
      <c r="H248" s="32" t="s">
        <v>34</v>
      </c>
      <c r="I248" s="32" t="s">
        <v>34</v>
      </c>
      <c r="J248" s="32" t="s">
        <v>34</v>
      </c>
      <c r="K248" s="32" t="s">
        <v>34</v>
      </c>
      <c r="L248" s="32" t="s">
        <v>34</v>
      </c>
      <c r="M248" s="10">
        <v>83</v>
      </c>
      <c r="N248" s="32" t="s">
        <v>43</v>
      </c>
      <c r="O248" s="32">
        <v>0.98750000000000004</v>
      </c>
      <c r="P248" s="32">
        <v>0.58499999999999996</v>
      </c>
      <c r="Q248" s="32">
        <v>0</v>
      </c>
      <c r="R248" s="32" t="s">
        <v>34</v>
      </c>
      <c r="S248" s="36">
        <f t="shared" si="7"/>
        <v>3.5107376283846802E-5</v>
      </c>
      <c r="T248" s="32" t="s">
        <v>36</v>
      </c>
      <c r="U248" s="32" t="s">
        <v>37</v>
      </c>
      <c r="V248" s="32" t="s">
        <v>38</v>
      </c>
      <c r="W248" s="32" t="s">
        <v>34</v>
      </c>
      <c r="X248" s="10">
        <v>1</v>
      </c>
      <c r="Y248" s="32">
        <v>1</v>
      </c>
      <c r="Z248" s="32" t="s">
        <v>39</v>
      </c>
      <c r="AA248" s="32" t="s">
        <v>34</v>
      </c>
      <c r="AB248" s="13" t="s">
        <v>34</v>
      </c>
      <c r="AC248" s="32" t="s">
        <v>318</v>
      </c>
      <c r="AD248" s="32" t="s">
        <v>32</v>
      </c>
      <c r="AE248" s="32">
        <v>0.46910000000000002</v>
      </c>
      <c r="AF248" s="44" t="s">
        <v>45</v>
      </c>
      <c r="AG248" s="32">
        <v>2013</v>
      </c>
      <c r="AH248" s="44" t="s">
        <v>46</v>
      </c>
      <c r="AI248" s="99">
        <f t="shared" si="6"/>
        <v>0.60106382978723194</v>
      </c>
    </row>
    <row r="249" spans="1:35" s="10" customFormat="1" x14ac:dyDescent="0.3">
      <c r="A249" s="11">
        <v>1.2870662460567801</v>
      </c>
      <c r="B249" s="45">
        <v>1.5126050420168001E-5</v>
      </c>
      <c r="C249" s="33" t="s">
        <v>33</v>
      </c>
      <c r="D249" s="33" t="s">
        <v>35</v>
      </c>
      <c r="E249" s="33" t="s">
        <v>170</v>
      </c>
      <c r="F249" s="33" t="s">
        <v>34</v>
      </c>
      <c r="G249" s="43">
        <v>0.16500000000000001</v>
      </c>
      <c r="H249" s="32" t="s">
        <v>34</v>
      </c>
      <c r="I249" s="32" t="s">
        <v>34</v>
      </c>
      <c r="J249" s="32" t="s">
        <v>34</v>
      </c>
      <c r="K249" s="32" t="s">
        <v>34</v>
      </c>
      <c r="L249" s="32" t="s">
        <v>34</v>
      </c>
      <c r="M249" s="10">
        <v>83</v>
      </c>
      <c r="N249" s="32" t="s">
        <v>43</v>
      </c>
      <c r="O249" s="32">
        <v>0.98750000000000004</v>
      </c>
      <c r="P249" s="32">
        <v>0.58499999999999996</v>
      </c>
      <c r="Q249" s="32">
        <v>0</v>
      </c>
      <c r="R249" s="32" t="s">
        <v>34</v>
      </c>
      <c r="S249" s="36">
        <f t="shared" si="7"/>
        <v>3.5107376283846802E-5</v>
      </c>
      <c r="T249" s="32" t="s">
        <v>36</v>
      </c>
      <c r="U249" s="32" t="s">
        <v>37</v>
      </c>
      <c r="V249" s="32" t="s">
        <v>38</v>
      </c>
      <c r="W249" s="32" t="s">
        <v>34</v>
      </c>
      <c r="X249" s="10">
        <v>1</v>
      </c>
      <c r="Y249" s="32">
        <v>1</v>
      </c>
      <c r="Z249" s="32" t="s">
        <v>39</v>
      </c>
      <c r="AA249" s="32" t="s">
        <v>34</v>
      </c>
      <c r="AB249" s="13" t="s">
        <v>34</v>
      </c>
      <c r="AC249" s="32" t="s">
        <v>318</v>
      </c>
      <c r="AD249" s="32" t="s">
        <v>32</v>
      </c>
      <c r="AE249" s="32">
        <v>0.46910000000000002</v>
      </c>
      <c r="AF249" s="44" t="s">
        <v>45</v>
      </c>
      <c r="AG249" s="32">
        <v>2013</v>
      </c>
      <c r="AH249" s="44" t="s">
        <v>46</v>
      </c>
      <c r="AI249" s="99">
        <f t="shared" si="6"/>
        <v>0.43085106382978622</v>
      </c>
    </row>
    <row r="250" spans="1:35" s="10" customFormat="1" x14ac:dyDescent="0.3">
      <c r="A250" s="11">
        <v>1.71608832807571</v>
      </c>
      <c r="B250" s="45">
        <v>1.5126050420167901E-5</v>
      </c>
      <c r="C250" s="33" t="s">
        <v>33</v>
      </c>
      <c r="D250" s="33" t="s">
        <v>35</v>
      </c>
      <c r="E250" s="33" t="s">
        <v>170</v>
      </c>
      <c r="F250" s="33" t="s">
        <v>34</v>
      </c>
      <c r="G250" s="43">
        <v>0.16500000000000001</v>
      </c>
      <c r="H250" s="32" t="s">
        <v>34</v>
      </c>
      <c r="I250" s="32" t="s">
        <v>34</v>
      </c>
      <c r="J250" s="32" t="s">
        <v>34</v>
      </c>
      <c r="K250" s="32" t="s">
        <v>34</v>
      </c>
      <c r="L250" s="32" t="s">
        <v>34</v>
      </c>
      <c r="M250" s="10">
        <v>83</v>
      </c>
      <c r="N250" s="32" t="s">
        <v>43</v>
      </c>
      <c r="O250" s="32">
        <v>0.98750000000000004</v>
      </c>
      <c r="P250" s="32">
        <v>0.58499999999999996</v>
      </c>
      <c r="Q250" s="32">
        <v>0</v>
      </c>
      <c r="R250" s="32" t="s">
        <v>34</v>
      </c>
      <c r="S250" s="36">
        <f t="shared" si="7"/>
        <v>3.5107376283846802E-5</v>
      </c>
      <c r="T250" s="32" t="s">
        <v>36</v>
      </c>
      <c r="U250" s="32" t="s">
        <v>37</v>
      </c>
      <c r="V250" s="32" t="s">
        <v>38</v>
      </c>
      <c r="W250" s="32" t="s">
        <v>34</v>
      </c>
      <c r="X250" s="10">
        <v>1</v>
      </c>
      <c r="Y250" s="32">
        <v>1</v>
      </c>
      <c r="Z250" s="32" t="s">
        <v>39</v>
      </c>
      <c r="AA250" s="32" t="s">
        <v>34</v>
      </c>
      <c r="AB250" s="13" t="s">
        <v>34</v>
      </c>
      <c r="AC250" s="32" t="s">
        <v>318</v>
      </c>
      <c r="AD250" s="32" t="s">
        <v>32</v>
      </c>
      <c r="AE250" s="32">
        <v>0.46910000000000002</v>
      </c>
      <c r="AF250" s="44" t="s">
        <v>45</v>
      </c>
      <c r="AG250" s="32">
        <v>2013</v>
      </c>
      <c r="AH250" s="44" t="s">
        <v>46</v>
      </c>
      <c r="AI250" s="99">
        <f t="shared" si="6"/>
        <v>0.43085106382978333</v>
      </c>
    </row>
    <row r="251" spans="1:35" s="10" customFormat="1" x14ac:dyDescent="0.3">
      <c r="A251" s="11">
        <v>0</v>
      </c>
      <c r="B251" s="45">
        <v>5.2474323062558299E-5</v>
      </c>
      <c r="C251" s="33" t="s">
        <v>33</v>
      </c>
      <c r="D251" s="33" t="s">
        <v>35</v>
      </c>
      <c r="E251" s="33" t="s">
        <v>170</v>
      </c>
      <c r="F251" s="33" t="s">
        <v>34</v>
      </c>
      <c r="G251" s="43">
        <v>0.16500000000000001</v>
      </c>
      <c r="H251" s="32" t="s">
        <v>34</v>
      </c>
      <c r="I251" s="32" t="s">
        <v>34</v>
      </c>
      <c r="J251" s="32" t="s">
        <v>34</v>
      </c>
      <c r="K251" s="32" t="s">
        <v>34</v>
      </c>
      <c r="L251" s="32" t="s">
        <v>34</v>
      </c>
      <c r="M251" s="10">
        <v>80</v>
      </c>
      <c r="N251" s="32" t="s">
        <v>43</v>
      </c>
      <c r="O251" s="32">
        <v>0.98750000000000004</v>
      </c>
      <c r="P251" s="32">
        <v>0.58499999999999996</v>
      </c>
      <c r="Q251" s="32">
        <v>0</v>
      </c>
      <c r="R251" s="32" t="s">
        <v>34</v>
      </c>
      <c r="S251" s="36">
        <f t="shared" si="7"/>
        <v>5.2474323062558299E-5</v>
      </c>
      <c r="T251" s="32" t="s">
        <v>36</v>
      </c>
      <c r="U251" s="32" t="s">
        <v>37</v>
      </c>
      <c r="V251" s="32" t="s">
        <v>38</v>
      </c>
      <c r="W251" s="32" t="s">
        <v>34</v>
      </c>
      <c r="X251" s="10">
        <v>1</v>
      </c>
      <c r="Y251" s="32">
        <v>1</v>
      </c>
      <c r="Z251" s="32" t="s">
        <v>39</v>
      </c>
      <c r="AA251" s="32" t="s">
        <v>34</v>
      </c>
      <c r="AB251" s="13" t="s">
        <v>34</v>
      </c>
      <c r="AC251" s="32" t="s">
        <v>318</v>
      </c>
      <c r="AD251" s="32" t="s">
        <v>32</v>
      </c>
      <c r="AE251" s="32">
        <v>0.46910000000000002</v>
      </c>
      <c r="AF251" s="44" t="s">
        <v>45</v>
      </c>
      <c r="AG251" s="32">
        <v>2013</v>
      </c>
      <c r="AH251" s="44" t="s">
        <v>46</v>
      </c>
      <c r="AI251" s="99">
        <f t="shared" si="6"/>
        <v>1</v>
      </c>
    </row>
    <row r="252" spans="1:35" s="10" customFormat="1" x14ac:dyDescent="0.3">
      <c r="A252" s="11">
        <v>0.27760252365930599</v>
      </c>
      <c r="B252" s="45">
        <v>3.6601307189542403E-5</v>
      </c>
      <c r="C252" s="33" t="s">
        <v>33</v>
      </c>
      <c r="D252" s="33" t="s">
        <v>35</v>
      </c>
      <c r="E252" s="33" t="s">
        <v>170</v>
      </c>
      <c r="F252" s="33" t="s">
        <v>34</v>
      </c>
      <c r="G252" s="43">
        <v>0.16500000000000001</v>
      </c>
      <c r="H252" s="32" t="s">
        <v>34</v>
      </c>
      <c r="I252" s="32" t="s">
        <v>34</v>
      </c>
      <c r="J252" s="32" t="s">
        <v>34</v>
      </c>
      <c r="K252" s="32" t="s">
        <v>34</v>
      </c>
      <c r="L252" s="32" t="s">
        <v>34</v>
      </c>
      <c r="M252" s="10">
        <v>80</v>
      </c>
      <c r="N252" s="32" t="s">
        <v>43</v>
      </c>
      <c r="O252" s="32">
        <v>0.98750000000000004</v>
      </c>
      <c r="P252" s="32">
        <v>0.58499999999999996</v>
      </c>
      <c r="Q252" s="32">
        <v>0</v>
      </c>
      <c r="R252" s="32" t="s">
        <v>34</v>
      </c>
      <c r="S252" s="36">
        <f t="shared" si="7"/>
        <v>5.2474323062558299E-5</v>
      </c>
      <c r="T252" s="32" t="s">
        <v>36</v>
      </c>
      <c r="U252" s="32" t="s">
        <v>37</v>
      </c>
      <c r="V252" s="32" t="s">
        <v>38</v>
      </c>
      <c r="W252" s="32" t="s">
        <v>34</v>
      </c>
      <c r="X252" s="10">
        <v>1</v>
      </c>
      <c r="Y252" s="32">
        <v>1</v>
      </c>
      <c r="Z252" s="32" t="s">
        <v>39</v>
      </c>
      <c r="AA252" s="32" t="s">
        <v>34</v>
      </c>
      <c r="AB252" s="13" t="s">
        <v>34</v>
      </c>
      <c r="AC252" s="32" t="s">
        <v>318</v>
      </c>
      <c r="AD252" s="32" t="s">
        <v>32</v>
      </c>
      <c r="AE252" s="32">
        <v>0.46910000000000002</v>
      </c>
      <c r="AF252" s="44" t="s">
        <v>45</v>
      </c>
      <c r="AG252" s="32">
        <v>2013</v>
      </c>
      <c r="AH252" s="44" t="s">
        <v>46</v>
      </c>
      <c r="AI252" s="99">
        <f t="shared" si="6"/>
        <v>0.69750889679715222</v>
      </c>
    </row>
    <row r="253" spans="1:35" s="10" customFormat="1" x14ac:dyDescent="0.3">
      <c r="A253" s="11">
        <v>0.56151419558359705</v>
      </c>
      <c r="B253" s="45">
        <v>1.1017740429505001E-5</v>
      </c>
      <c r="C253" s="33" t="s">
        <v>33</v>
      </c>
      <c r="D253" s="33" t="s">
        <v>35</v>
      </c>
      <c r="E253" s="33" t="s">
        <v>170</v>
      </c>
      <c r="F253" s="33" t="s">
        <v>34</v>
      </c>
      <c r="G253" s="43">
        <v>0.16500000000000001</v>
      </c>
      <c r="H253" s="32" t="s">
        <v>34</v>
      </c>
      <c r="I253" s="32" t="s">
        <v>34</v>
      </c>
      <c r="J253" s="32" t="s">
        <v>34</v>
      </c>
      <c r="K253" s="32" t="s">
        <v>34</v>
      </c>
      <c r="L253" s="32" t="s">
        <v>34</v>
      </c>
      <c r="M253" s="10">
        <v>80</v>
      </c>
      <c r="N253" s="32" t="s">
        <v>43</v>
      </c>
      <c r="O253" s="32">
        <v>0.98750000000000004</v>
      </c>
      <c r="P253" s="32">
        <v>0.58499999999999996</v>
      </c>
      <c r="Q253" s="32">
        <v>0</v>
      </c>
      <c r="R253" s="32" t="s">
        <v>34</v>
      </c>
      <c r="S253" s="36">
        <f t="shared" si="7"/>
        <v>5.2474323062558299E-5</v>
      </c>
      <c r="T253" s="32" t="s">
        <v>36</v>
      </c>
      <c r="U253" s="32" t="s">
        <v>37</v>
      </c>
      <c r="V253" s="32" t="s">
        <v>38</v>
      </c>
      <c r="W253" s="32" t="s">
        <v>34</v>
      </c>
      <c r="X253" s="10">
        <v>1</v>
      </c>
      <c r="Y253" s="32">
        <v>1</v>
      </c>
      <c r="Z253" s="32" t="s">
        <v>39</v>
      </c>
      <c r="AA253" s="32" t="s">
        <v>34</v>
      </c>
      <c r="AB253" s="13" t="s">
        <v>34</v>
      </c>
      <c r="AC253" s="32" t="s">
        <v>318</v>
      </c>
      <c r="AD253" s="32" t="s">
        <v>32</v>
      </c>
      <c r="AE253" s="32">
        <v>0.46910000000000002</v>
      </c>
      <c r="AF253" s="44" t="s">
        <v>45</v>
      </c>
      <c r="AG253" s="32">
        <v>2013</v>
      </c>
      <c r="AH253" s="44" t="s">
        <v>46</v>
      </c>
      <c r="AI253" s="99">
        <f t="shared" si="6"/>
        <v>0.20996441281138556</v>
      </c>
    </row>
    <row r="254" spans="1:35" s="10" customFormat="1" x14ac:dyDescent="0.3">
      <c r="A254" s="11">
        <v>0.83911671924290199</v>
      </c>
      <c r="B254" s="45">
        <v>1.1204481792717001E-5</v>
      </c>
      <c r="C254" s="33" t="s">
        <v>33</v>
      </c>
      <c r="D254" s="33" t="s">
        <v>35</v>
      </c>
      <c r="E254" s="33" t="s">
        <v>170</v>
      </c>
      <c r="F254" s="33" t="s">
        <v>34</v>
      </c>
      <c r="G254" s="43">
        <v>0.16500000000000001</v>
      </c>
      <c r="H254" s="32" t="s">
        <v>34</v>
      </c>
      <c r="I254" s="32" t="s">
        <v>34</v>
      </c>
      <c r="J254" s="32" t="s">
        <v>34</v>
      </c>
      <c r="K254" s="32" t="s">
        <v>34</v>
      </c>
      <c r="L254" s="32" t="s">
        <v>34</v>
      </c>
      <c r="M254" s="10">
        <v>80</v>
      </c>
      <c r="N254" s="32" t="s">
        <v>43</v>
      </c>
      <c r="O254" s="32">
        <v>0.98750000000000004</v>
      </c>
      <c r="P254" s="32">
        <v>0.58499999999999996</v>
      </c>
      <c r="Q254" s="32">
        <v>0</v>
      </c>
      <c r="R254" s="32" t="s">
        <v>34</v>
      </c>
      <c r="S254" s="36">
        <f t="shared" si="7"/>
        <v>5.2474323062558299E-5</v>
      </c>
      <c r="T254" s="32" t="s">
        <v>36</v>
      </c>
      <c r="U254" s="32" t="s">
        <v>37</v>
      </c>
      <c r="V254" s="32" t="s">
        <v>38</v>
      </c>
      <c r="W254" s="32" t="s">
        <v>34</v>
      </c>
      <c r="X254" s="10">
        <v>1</v>
      </c>
      <c r="Y254" s="32">
        <v>1</v>
      </c>
      <c r="Z254" s="32" t="s">
        <v>39</v>
      </c>
      <c r="AA254" s="32" t="s">
        <v>34</v>
      </c>
      <c r="AB254" s="13" t="s">
        <v>34</v>
      </c>
      <c r="AC254" s="32" t="s">
        <v>318</v>
      </c>
      <c r="AD254" s="32" t="s">
        <v>32</v>
      </c>
      <c r="AE254" s="32">
        <v>0.46910000000000002</v>
      </c>
      <c r="AF254" s="44" t="s">
        <v>45</v>
      </c>
      <c r="AG254" s="32">
        <v>2013</v>
      </c>
      <c r="AH254" s="44" t="s">
        <v>46</v>
      </c>
      <c r="AI254" s="99">
        <f t="shared" si="6"/>
        <v>0.21352313167259646</v>
      </c>
    </row>
    <row r="255" spans="1:35" s="10" customFormat="1" x14ac:dyDescent="0.3">
      <c r="A255" s="11">
        <v>1.1293375394321701</v>
      </c>
      <c r="B255" s="45">
        <v>1.1204481792717001E-5</v>
      </c>
      <c r="C255" s="33" t="s">
        <v>33</v>
      </c>
      <c r="D255" s="33" t="s">
        <v>35</v>
      </c>
      <c r="E255" s="33" t="s">
        <v>170</v>
      </c>
      <c r="F255" s="33" t="s">
        <v>34</v>
      </c>
      <c r="G255" s="43">
        <v>0.16500000000000001</v>
      </c>
      <c r="H255" s="32" t="s">
        <v>34</v>
      </c>
      <c r="I255" s="32" t="s">
        <v>34</v>
      </c>
      <c r="J255" s="32" t="s">
        <v>34</v>
      </c>
      <c r="K255" s="32" t="s">
        <v>34</v>
      </c>
      <c r="L255" s="32" t="s">
        <v>34</v>
      </c>
      <c r="M255" s="10">
        <v>80</v>
      </c>
      <c r="N255" s="32" t="s">
        <v>43</v>
      </c>
      <c r="O255" s="32">
        <v>0.98750000000000004</v>
      </c>
      <c r="P255" s="32">
        <v>0.58499999999999996</v>
      </c>
      <c r="Q255" s="32">
        <v>0</v>
      </c>
      <c r="R255" s="32" t="s">
        <v>34</v>
      </c>
      <c r="S255" s="36">
        <f t="shared" si="7"/>
        <v>5.2474323062558299E-5</v>
      </c>
      <c r="T255" s="32" t="s">
        <v>36</v>
      </c>
      <c r="U255" s="32" t="s">
        <v>37</v>
      </c>
      <c r="V255" s="32" t="s">
        <v>38</v>
      </c>
      <c r="W255" s="32" t="s">
        <v>34</v>
      </c>
      <c r="X255" s="10">
        <v>1</v>
      </c>
      <c r="Y255" s="32">
        <v>1</v>
      </c>
      <c r="Z255" s="32" t="s">
        <v>39</v>
      </c>
      <c r="AA255" s="32" t="s">
        <v>34</v>
      </c>
      <c r="AB255" s="13" t="s">
        <v>34</v>
      </c>
      <c r="AC255" s="32" t="s">
        <v>318</v>
      </c>
      <c r="AD255" s="32" t="s">
        <v>32</v>
      </c>
      <c r="AE255" s="32">
        <v>0.46910000000000002</v>
      </c>
      <c r="AF255" s="44" t="s">
        <v>45</v>
      </c>
      <c r="AG255" s="32">
        <v>2013</v>
      </c>
      <c r="AH255" s="44" t="s">
        <v>46</v>
      </c>
      <c r="AI255" s="99">
        <f t="shared" si="6"/>
        <v>0.21352313167259646</v>
      </c>
    </row>
    <row r="256" spans="1:35" s="10" customFormat="1" x14ac:dyDescent="0.3">
      <c r="A256" s="11">
        <v>0</v>
      </c>
      <c r="B256" s="45">
        <v>4.4257703081232401E-5</v>
      </c>
      <c r="C256" s="33" t="s">
        <v>33</v>
      </c>
      <c r="D256" s="33" t="s">
        <v>35</v>
      </c>
      <c r="E256" s="33" t="s">
        <v>170</v>
      </c>
      <c r="F256" s="33" t="s">
        <v>34</v>
      </c>
      <c r="G256" s="43">
        <v>0.16500000000000001</v>
      </c>
      <c r="H256" s="32" t="s">
        <v>34</v>
      </c>
      <c r="I256" s="32" t="s">
        <v>34</v>
      </c>
      <c r="J256" s="32" t="s">
        <v>34</v>
      </c>
      <c r="K256" s="32" t="s">
        <v>34</v>
      </c>
      <c r="L256" s="32" t="s">
        <v>34</v>
      </c>
      <c r="M256" s="10">
        <v>83</v>
      </c>
      <c r="N256" s="32" t="s">
        <v>43</v>
      </c>
      <c r="O256" s="32">
        <v>0.98750000000000004</v>
      </c>
      <c r="P256" s="32">
        <v>0.58499999999999996</v>
      </c>
      <c r="Q256" s="32">
        <v>0</v>
      </c>
      <c r="R256" s="32" t="s">
        <v>34</v>
      </c>
      <c r="S256" s="36">
        <f t="shared" si="7"/>
        <v>4.4257703081232401E-5</v>
      </c>
      <c r="T256" s="32" t="s">
        <v>36</v>
      </c>
      <c r="U256" s="32" t="s">
        <v>37</v>
      </c>
      <c r="V256" s="32" t="s">
        <v>38</v>
      </c>
      <c r="W256" s="32" t="s">
        <v>34</v>
      </c>
      <c r="X256" s="10">
        <v>1</v>
      </c>
      <c r="Y256" s="32">
        <v>1</v>
      </c>
      <c r="Z256" s="32" t="s">
        <v>39</v>
      </c>
      <c r="AA256" s="32" t="s">
        <v>34</v>
      </c>
      <c r="AB256" s="13" t="s">
        <v>34</v>
      </c>
      <c r="AC256" s="32" t="s">
        <v>318</v>
      </c>
      <c r="AD256" s="32" t="s">
        <v>32</v>
      </c>
      <c r="AE256" s="32">
        <v>0.46910000000000002</v>
      </c>
      <c r="AF256" s="44" t="s">
        <v>45</v>
      </c>
      <c r="AG256" s="32">
        <v>2013</v>
      </c>
      <c r="AH256" s="44" t="s">
        <v>46</v>
      </c>
      <c r="AI256" s="99">
        <f t="shared" si="6"/>
        <v>1</v>
      </c>
    </row>
    <row r="257" spans="1:35" s="10" customFormat="1" x14ac:dyDescent="0.3">
      <c r="A257" s="11">
        <v>0.34069400630914798</v>
      </c>
      <c r="B257" s="45">
        <v>3.0812324929971902E-5</v>
      </c>
      <c r="C257" s="33" t="s">
        <v>33</v>
      </c>
      <c r="D257" s="33" t="s">
        <v>35</v>
      </c>
      <c r="E257" s="33" t="s">
        <v>170</v>
      </c>
      <c r="F257" s="33" t="s">
        <v>34</v>
      </c>
      <c r="G257" s="43">
        <v>0.16500000000000001</v>
      </c>
      <c r="H257" s="32" t="s">
        <v>34</v>
      </c>
      <c r="I257" s="32" t="s">
        <v>34</v>
      </c>
      <c r="J257" s="32" t="s">
        <v>34</v>
      </c>
      <c r="K257" s="32" t="s">
        <v>34</v>
      </c>
      <c r="L257" s="32" t="s">
        <v>34</v>
      </c>
      <c r="M257" s="10">
        <v>83</v>
      </c>
      <c r="N257" s="32" t="s">
        <v>43</v>
      </c>
      <c r="O257" s="32">
        <v>0.98750000000000004</v>
      </c>
      <c r="P257" s="32">
        <v>0.58499999999999996</v>
      </c>
      <c r="Q257" s="32">
        <v>0</v>
      </c>
      <c r="R257" s="32" t="s">
        <v>34</v>
      </c>
      <c r="S257" s="36">
        <f t="shared" si="7"/>
        <v>4.4257703081232401E-5</v>
      </c>
      <c r="T257" s="32" t="s">
        <v>36</v>
      </c>
      <c r="U257" s="32" t="s">
        <v>37</v>
      </c>
      <c r="V257" s="32" t="s">
        <v>38</v>
      </c>
      <c r="W257" s="32" t="s">
        <v>34</v>
      </c>
      <c r="X257" s="10">
        <v>1</v>
      </c>
      <c r="Y257" s="32">
        <v>1</v>
      </c>
      <c r="Z257" s="32" t="s">
        <v>39</v>
      </c>
      <c r="AA257" s="32" t="s">
        <v>34</v>
      </c>
      <c r="AB257" s="13" t="s">
        <v>34</v>
      </c>
      <c r="AC257" s="32" t="s">
        <v>318</v>
      </c>
      <c r="AD257" s="32" t="s">
        <v>32</v>
      </c>
      <c r="AE257" s="32">
        <v>0.46910000000000002</v>
      </c>
      <c r="AF257" s="44" t="s">
        <v>45</v>
      </c>
      <c r="AG257" s="32">
        <v>2013</v>
      </c>
      <c r="AH257" s="44" t="s">
        <v>46</v>
      </c>
      <c r="AI257" s="99">
        <f t="shared" si="6"/>
        <v>0.69620253164556911</v>
      </c>
    </row>
    <row r="258" spans="1:35" s="10" customFormat="1" x14ac:dyDescent="0.3">
      <c r="A258" s="11">
        <v>0.694006309148266</v>
      </c>
      <c r="B258" s="45">
        <v>1.17647058823528E-5</v>
      </c>
      <c r="C258" s="33" t="s">
        <v>33</v>
      </c>
      <c r="D258" s="33" t="s">
        <v>35</v>
      </c>
      <c r="E258" s="33" t="s">
        <v>170</v>
      </c>
      <c r="F258" s="33" t="s">
        <v>34</v>
      </c>
      <c r="G258" s="43">
        <v>0.16500000000000001</v>
      </c>
      <c r="H258" s="32" t="s">
        <v>34</v>
      </c>
      <c r="I258" s="32" t="s">
        <v>34</v>
      </c>
      <c r="J258" s="32" t="s">
        <v>34</v>
      </c>
      <c r="K258" s="32" t="s">
        <v>34</v>
      </c>
      <c r="L258" s="32" t="s">
        <v>34</v>
      </c>
      <c r="M258" s="10">
        <v>83</v>
      </c>
      <c r="N258" s="32" t="s">
        <v>43</v>
      </c>
      <c r="O258" s="32">
        <v>0.98750000000000004</v>
      </c>
      <c r="P258" s="32">
        <v>0.58499999999999996</v>
      </c>
      <c r="Q258" s="32">
        <v>0</v>
      </c>
      <c r="R258" s="32" t="s">
        <v>34</v>
      </c>
      <c r="S258" s="36">
        <f t="shared" si="7"/>
        <v>4.4257703081232401E-5</v>
      </c>
      <c r="T258" s="32" t="s">
        <v>36</v>
      </c>
      <c r="U258" s="32" t="s">
        <v>37</v>
      </c>
      <c r="V258" s="32" t="s">
        <v>38</v>
      </c>
      <c r="W258" s="32" t="s">
        <v>34</v>
      </c>
      <c r="X258" s="10">
        <v>1</v>
      </c>
      <c r="Y258" s="32">
        <v>1</v>
      </c>
      <c r="Z258" s="32" t="s">
        <v>39</v>
      </c>
      <c r="AA258" s="32" t="s">
        <v>34</v>
      </c>
      <c r="AB258" s="13" t="s">
        <v>34</v>
      </c>
      <c r="AC258" s="32" t="s">
        <v>318</v>
      </c>
      <c r="AD258" s="32" t="s">
        <v>32</v>
      </c>
      <c r="AE258" s="32">
        <v>0.46910000000000002</v>
      </c>
      <c r="AF258" s="44" t="s">
        <v>45</v>
      </c>
      <c r="AG258" s="32">
        <v>2013</v>
      </c>
      <c r="AH258" s="44" t="s">
        <v>46</v>
      </c>
      <c r="AI258" s="99">
        <f t="shared" si="6"/>
        <v>0.26582278481012395</v>
      </c>
    </row>
    <row r="259" spans="1:35" s="10" customFormat="1" x14ac:dyDescent="0.3">
      <c r="A259" s="11">
        <v>1.0410094637223899</v>
      </c>
      <c r="B259" s="45">
        <v>1.1764705882352899E-5</v>
      </c>
      <c r="C259" s="33" t="s">
        <v>33</v>
      </c>
      <c r="D259" s="33" t="s">
        <v>35</v>
      </c>
      <c r="E259" s="33" t="s">
        <v>170</v>
      </c>
      <c r="F259" s="33" t="s">
        <v>34</v>
      </c>
      <c r="G259" s="43">
        <v>0.16500000000000001</v>
      </c>
      <c r="H259" s="32" t="s">
        <v>34</v>
      </c>
      <c r="I259" s="32" t="s">
        <v>34</v>
      </c>
      <c r="J259" s="32" t="s">
        <v>34</v>
      </c>
      <c r="K259" s="32" t="s">
        <v>34</v>
      </c>
      <c r="L259" s="32" t="s">
        <v>34</v>
      </c>
      <c r="M259" s="10">
        <v>83</v>
      </c>
      <c r="N259" s="32" t="s">
        <v>43</v>
      </c>
      <c r="O259" s="32">
        <v>0.98750000000000004</v>
      </c>
      <c r="P259" s="32">
        <v>0.58499999999999996</v>
      </c>
      <c r="Q259" s="32">
        <v>0</v>
      </c>
      <c r="R259" s="32" t="s">
        <v>34</v>
      </c>
      <c r="S259" s="36">
        <f t="shared" si="7"/>
        <v>4.4257703081232401E-5</v>
      </c>
      <c r="T259" s="32" t="s">
        <v>36</v>
      </c>
      <c r="U259" s="32" t="s">
        <v>37</v>
      </c>
      <c r="V259" s="32" t="s">
        <v>38</v>
      </c>
      <c r="W259" s="32" t="s">
        <v>34</v>
      </c>
      <c r="X259" s="10">
        <v>1</v>
      </c>
      <c r="Y259" s="32">
        <v>1</v>
      </c>
      <c r="Z259" s="32" t="s">
        <v>39</v>
      </c>
      <c r="AA259" s="32" t="s">
        <v>34</v>
      </c>
      <c r="AB259" s="13" t="s">
        <v>34</v>
      </c>
      <c r="AC259" s="32" t="s">
        <v>318</v>
      </c>
      <c r="AD259" s="32" t="s">
        <v>32</v>
      </c>
      <c r="AE259" s="32">
        <v>0.46910000000000002</v>
      </c>
      <c r="AF259" s="44" t="s">
        <v>45</v>
      </c>
      <c r="AG259" s="32">
        <v>2013</v>
      </c>
      <c r="AH259" s="44" t="s">
        <v>46</v>
      </c>
      <c r="AI259" s="99">
        <f t="shared" ref="AI259:AI322" si="8">B259/S259</f>
        <v>0.26582278481012617</v>
      </c>
    </row>
    <row r="260" spans="1:35" s="10" customFormat="1" x14ac:dyDescent="0.3">
      <c r="A260" s="11">
        <v>1.38801261829652</v>
      </c>
      <c r="B260" s="45">
        <v>1.1764705882352899E-5</v>
      </c>
      <c r="C260" s="33" t="s">
        <v>33</v>
      </c>
      <c r="D260" s="33" t="s">
        <v>35</v>
      </c>
      <c r="E260" s="33" t="s">
        <v>170</v>
      </c>
      <c r="F260" s="33" t="s">
        <v>34</v>
      </c>
      <c r="G260" s="43">
        <v>0.16500000000000001</v>
      </c>
      <c r="H260" s="32" t="s">
        <v>34</v>
      </c>
      <c r="I260" s="32" t="s">
        <v>34</v>
      </c>
      <c r="J260" s="32" t="s">
        <v>34</v>
      </c>
      <c r="K260" s="32" t="s">
        <v>34</v>
      </c>
      <c r="L260" s="32" t="s">
        <v>34</v>
      </c>
      <c r="M260" s="10">
        <v>83</v>
      </c>
      <c r="N260" s="32" t="s">
        <v>43</v>
      </c>
      <c r="O260" s="32">
        <v>0.98750000000000004</v>
      </c>
      <c r="P260" s="32">
        <v>0.58499999999999996</v>
      </c>
      <c r="Q260" s="32">
        <v>0</v>
      </c>
      <c r="R260" s="32" t="s">
        <v>34</v>
      </c>
      <c r="S260" s="36">
        <f t="shared" ref="S260:S270" si="9">IF(A260=0,B260,S259)</f>
        <v>4.4257703081232401E-5</v>
      </c>
      <c r="T260" s="32" t="s">
        <v>36</v>
      </c>
      <c r="U260" s="32" t="s">
        <v>37</v>
      </c>
      <c r="V260" s="32" t="s">
        <v>38</v>
      </c>
      <c r="W260" s="32" t="s">
        <v>34</v>
      </c>
      <c r="X260" s="10">
        <v>1</v>
      </c>
      <c r="Y260" s="32">
        <v>1</v>
      </c>
      <c r="Z260" s="32" t="s">
        <v>39</v>
      </c>
      <c r="AA260" s="32" t="s">
        <v>34</v>
      </c>
      <c r="AB260" s="13" t="s">
        <v>34</v>
      </c>
      <c r="AC260" s="32" t="s">
        <v>318</v>
      </c>
      <c r="AD260" s="32" t="s">
        <v>32</v>
      </c>
      <c r="AE260" s="32">
        <v>0.46910000000000002</v>
      </c>
      <c r="AF260" s="44" t="s">
        <v>45</v>
      </c>
      <c r="AG260" s="32">
        <v>2013</v>
      </c>
      <c r="AH260" s="44" t="s">
        <v>46</v>
      </c>
      <c r="AI260" s="99">
        <f t="shared" si="8"/>
        <v>0.26582278481012617</v>
      </c>
    </row>
    <row r="261" spans="1:35" s="10" customFormat="1" x14ac:dyDescent="0.3">
      <c r="A261" s="11">
        <v>0</v>
      </c>
      <c r="B261" s="45">
        <v>5.2474323062558299E-5</v>
      </c>
      <c r="C261" s="33" t="s">
        <v>33</v>
      </c>
      <c r="D261" s="33" t="s">
        <v>35</v>
      </c>
      <c r="E261" s="33" t="s">
        <v>170</v>
      </c>
      <c r="F261" s="33" t="s">
        <v>34</v>
      </c>
      <c r="G261" s="43">
        <v>0.16500000000000001</v>
      </c>
      <c r="H261" s="32" t="s">
        <v>34</v>
      </c>
      <c r="I261" s="32" t="s">
        <v>34</v>
      </c>
      <c r="J261" s="32" t="s">
        <v>34</v>
      </c>
      <c r="K261" s="32" t="s">
        <v>34</v>
      </c>
      <c r="L261" s="32" t="s">
        <v>34</v>
      </c>
      <c r="M261" s="10">
        <v>88</v>
      </c>
      <c r="N261" s="32" t="s">
        <v>43</v>
      </c>
      <c r="O261" s="32">
        <v>0.98750000000000004</v>
      </c>
      <c r="P261" s="32">
        <v>0.58499999999999996</v>
      </c>
      <c r="Q261" s="32">
        <v>0</v>
      </c>
      <c r="R261" s="32" t="s">
        <v>34</v>
      </c>
      <c r="S261" s="36">
        <f t="shared" si="9"/>
        <v>5.2474323062558299E-5</v>
      </c>
      <c r="T261" s="32" t="s">
        <v>36</v>
      </c>
      <c r="U261" s="32" t="s">
        <v>37</v>
      </c>
      <c r="V261" s="32" t="s">
        <v>38</v>
      </c>
      <c r="W261" s="32" t="s">
        <v>34</v>
      </c>
      <c r="X261" s="10">
        <v>1</v>
      </c>
      <c r="Y261" s="32">
        <v>1</v>
      </c>
      <c r="Z261" s="32" t="s">
        <v>39</v>
      </c>
      <c r="AA261" s="32" t="s">
        <v>34</v>
      </c>
      <c r="AB261" s="13" t="s">
        <v>34</v>
      </c>
      <c r="AC261" s="32" t="s">
        <v>318</v>
      </c>
      <c r="AD261" s="32" t="s">
        <v>32</v>
      </c>
      <c r="AE261" s="32">
        <v>0.46910000000000002</v>
      </c>
      <c r="AF261" s="44" t="s">
        <v>45</v>
      </c>
      <c r="AG261" s="32">
        <v>2013</v>
      </c>
      <c r="AH261" s="44" t="s">
        <v>46</v>
      </c>
      <c r="AI261" s="99">
        <f t="shared" si="8"/>
        <v>1</v>
      </c>
    </row>
    <row r="262" spans="1:35" s="10" customFormat="1" x14ac:dyDescent="0.3">
      <c r="A262" s="11">
        <v>0.107255520504731</v>
      </c>
      <c r="B262" s="45">
        <v>5.3221288515406001E-5</v>
      </c>
      <c r="C262" s="33" t="s">
        <v>33</v>
      </c>
      <c r="D262" s="33" t="s">
        <v>35</v>
      </c>
      <c r="E262" s="33" t="s">
        <v>170</v>
      </c>
      <c r="F262" s="33" t="s">
        <v>34</v>
      </c>
      <c r="G262" s="43">
        <v>0.16500000000000001</v>
      </c>
      <c r="H262" s="32" t="s">
        <v>34</v>
      </c>
      <c r="I262" s="32" t="s">
        <v>34</v>
      </c>
      <c r="J262" s="32" t="s">
        <v>34</v>
      </c>
      <c r="K262" s="32" t="s">
        <v>34</v>
      </c>
      <c r="L262" s="32" t="s">
        <v>34</v>
      </c>
      <c r="M262" s="10">
        <v>88</v>
      </c>
      <c r="N262" s="32" t="s">
        <v>43</v>
      </c>
      <c r="O262" s="32">
        <v>0.98750000000000004</v>
      </c>
      <c r="P262" s="32">
        <v>0.58499999999999996</v>
      </c>
      <c r="Q262" s="32">
        <v>0</v>
      </c>
      <c r="R262" s="32" t="s">
        <v>34</v>
      </c>
      <c r="S262" s="36">
        <f t="shared" si="9"/>
        <v>5.2474323062558299E-5</v>
      </c>
      <c r="T262" s="32" t="s">
        <v>36</v>
      </c>
      <c r="U262" s="32" t="s">
        <v>37</v>
      </c>
      <c r="V262" s="32" t="s">
        <v>38</v>
      </c>
      <c r="W262" s="32" t="s">
        <v>34</v>
      </c>
      <c r="X262" s="10">
        <v>1</v>
      </c>
      <c r="Y262" s="32">
        <v>1</v>
      </c>
      <c r="Z262" s="32" t="s">
        <v>39</v>
      </c>
      <c r="AA262" s="32" t="s">
        <v>34</v>
      </c>
      <c r="AB262" s="13" t="s">
        <v>34</v>
      </c>
      <c r="AC262" s="32" t="s">
        <v>318</v>
      </c>
      <c r="AD262" s="32" t="s">
        <v>32</v>
      </c>
      <c r="AE262" s="32">
        <v>0.46910000000000002</v>
      </c>
      <c r="AF262" s="44" t="s">
        <v>45</v>
      </c>
      <c r="AG262" s="32">
        <v>2013</v>
      </c>
      <c r="AH262" s="44" t="s">
        <v>46</v>
      </c>
      <c r="AI262" s="99">
        <f t="shared" si="8"/>
        <v>1.0142348754448378</v>
      </c>
    </row>
    <row r="263" spans="1:35" s="10" customFormat="1" x14ac:dyDescent="0.3">
      <c r="A263" s="11">
        <v>0.22082018927444699</v>
      </c>
      <c r="B263" s="45">
        <v>4.5751633986928002E-5</v>
      </c>
      <c r="C263" s="33" t="s">
        <v>33</v>
      </c>
      <c r="D263" s="33" t="s">
        <v>35</v>
      </c>
      <c r="E263" s="33" t="s">
        <v>170</v>
      </c>
      <c r="F263" s="33" t="s">
        <v>34</v>
      </c>
      <c r="G263" s="43">
        <v>0.16500000000000001</v>
      </c>
      <c r="H263" s="32" t="s">
        <v>34</v>
      </c>
      <c r="I263" s="32" t="s">
        <v>34</v>
      </c>
      <c r="J263" s="32" t="s">
        <v>34</v>
      </c>
      <c r="K263" s="32" t="s">
        <v>34</v>
      </c>
      <c r="L263" s="32" t="s">
        <v>34</v>
      </c>
      <c r="M263" s="10">
        <v>88</v>
      </c>
      <c r="N263" s="32" t="s">
        <v>43</v>
      </c>
      <c r="O263" s="32">
        <v>0.98750000000000004</v>
      </c>
      <c r="P263" s="32">
        <v>0.58499999999999996</v>
      </c>
      <c r="Q263" s="32">
        <v>0</v>
      </c>
      <c r="R263" s="32" t="s">
        <v>34</v>
      </c>
      <c r="S263" s="36">
        <f t="shared" si="9"/>
        <v>5.2474323062558299E-5</v>
      </c>
      <c r="T263" s="32" t="s">
        <v>36</v>
      </c>
      <c r="U263" s="32" t="s">
        <v>37</v>
      </c>
      <c r="V263" s="32" t="s">
        <v>38</v>
      </c>
      <c r="W263" s="32" t="s">
        <v>34</v>
      </c>
      <c r="X263" s="10">
        <v>1</v>
      </c>
      <c r="Y263" s="32">
        <v>1</v>
      </c>
      <c r="Z263" s="32" t="s">
        <v>39</v>
      </c>
      <c r="AA263" s="32" t="s">
        <v>34</v>
      </c>
      <c r="AB263" s="13" t="s">
        <v>34</v>
      </c>
      <c r="AC263" s="32" t="s">
        <v>318</v>
      </c>
      <c r="AD263" s="32" t="s">
        <v>32</v>
      </c>
      <c r="AE263" s="32">
        <v>0.46910000000000002</v>
      </c>
      <c r="AF263" s="44" t="s">
        <v>45</v>
      </c>
      <c r="AG263" s="32">
        <v>2013</v>
      </c>
      <c r="AH263" s="44" t="s">
        <v>46</v>
      </c>
      <c r="AI263" s="99">
        <f t="shared" si="8"/>
        <v>0.87188612099644025</v>
      </c>
    </row>
    <row r="264" spans="1:35" s="10" customFormat="1" x14ac:dyDescent="0.3">
      <c r="A264" s="11">
        <v>0.32807570977918099</v>
      </c>
      <c r="B264" s="45">
        <v>3.94024276377216E-5</v>
      </c>
      <c r="C264" s="33" t="s">
        <v>33</v>
      </c>
      <c r="D264" s="33" t="s">
        <v>35</v>
      </c>
      <c r="E264" s="33" t="s">
        <v>170</v>
      </c>
      <c r="F264" s="33" t="s">
        <v>34</v>
      </c>
      <c r="G264" s="43">
        <v>0.16500000000000001</v>
      </c>
      <c r="H264" s="32" t="s">
        <v>34</v>
      </c>
      <c r="I264" s="32" t="s">
        <v>34</v>
      </c>
      <c r="J264" s="32" t="s">
        <v>34</v>
      </c>
      <c r="K264" s="32" t="s">
        <v>34</v>
      </c>
      <c r="L264" s="32" t="s">
        <v>34</v>
      </c>
      <c r="M264" s="10">
        <v>88</v>
      </c>
      <c r="N264" s="32" t="s">
        <v>43</v>
      </c>
      <c r="O264" s="32">
        <v>0.98750000000000004</v>
      </c>
      <c r="P264" s="32">
        <v>0.58499999999999996</v>
      </c>
      <c r="Q264" s="32">
        <v>0</v>
      </c>
      <c r="R264" s="32" t="s">
        <v>34</v>
      </c>
      <c r="S264" s="36">
        <f t="shared" si="9"/>
        <v>5.2474323062558299E-5</v>
      </c>
      <c r="T264" s="32" t="s">
        <v>36</v>
      </c>
      <c r="U264" s="32" t="s">
        <v>37</v>
      </c>
      <c r="V264" s="32" t="s">
        <v>38</v>
      </c>
      <c r="W264" s="32" t="s">
        <v>34</v>
      </c>
      <c r="X264" s="10">
        <v>1</v>
      </c>
      <c r="Y264" s="32">
        <v>1</v>
      </c>
      <c r="Z264" s="32" t="s">
        <v>39</v>
      </c>
      <c r="AA264" s="32" t="s">
        <v>34</v>
      </c>
      <c r="AB264" s="13" t="s">
        <v>34</v>
      </c>
      <c r="AC264" s="32" t="s">
        <v>318</v>
      </c>
      <c r="AD264" s="32" t="s">
        <v>32</v>
      </c>
      <c r="AE264" s="32">
        <v>0.46910000000000002</v>
      </c>
      <c r="AF264" s="44" t="s">
        <v>45</v>
      </c>
      <c r="AG264" s="32">
        <v>2013</v>
      </c>
      <c r="AH264" s="44" t="s">
        <v>46</v>
      </c>
      <c r="AI264" s="99">
        <f t="shared" si="8"/>
        <v>0.75088967971530041</v>
      </c>
    </row>
    <row r="265" spans="1:35" s="10" customFormat="1" x14ac:dyDescent="0.3">
      <c r="A265" s="11">
        <v>0.44164037854889499</v>
      </c>
      <c r="B265" s="45">
        <v>3.9402427637721702E-5</v>
      </c>
      <c r="C265" s="33" t="s">
        <v>33</v>
      </c>
      <c r="D265" s="33" t="s">
        <v>35</v>
      </c>
      <c r="E265" s="33" t="s">
        <v>170</v>
      </c>
      <c r="F265" s="33" t="s">
        <v>34</v>
      </c>
      <c r="G265" s="43">
        <v>0.16500000000000001</v>
      </c>
      <c r="H265" s="32" t="s">
        <v>34</v>
      </c>
      <c r="I265" s="32" t="s">
        <v>34</v>
      </c>
      <c r="J265" s="32" t="s">
        <v>34</v>
      </c>
      <c r="K265" s="32" t="s">
        <v>34</v>
      </c>
      <c r="L265" s="32" t="s">
        <v>34</v>
      </c>
      <c r="M265" s="10">
        <v>88</v>
      </c>
      <c r="N265" s="32" t="s">
        <v>43</v>
      </c>
      <c r="O265" s="32">
        <v>0.98750000000000004</v>
      </c>
      <c r="P265" s="32">
        <v>0.58499999999999996</v>
      </c>
      <c r="Q265" s="32">
        <v>0</v>
      </c>
      <c r="R265" s="32" t="s">
        <v>34</v>
      </c>
      <c r="S265" s="36">
        <f t="shared" si="9"/>
        <v>5.2474323062558299E-5</v>
      </c>
      <c r="T265" s="32" t="s">
        <v>36</v>
      </c>
      <c r="U265" s="32" t="s">
        <v>37</v>
      </c>
      <c r="V265" s="32" t="s">
        <v>38</v>
      </c>
      <c r="W265" s="32" t="s">
        <v>34</v>
      </c>
      <c r="X265" s="10">
        <v>1</v>
      </c>
      <c r="Y265" s="32">
        <v>1</v>
      </c>
      <c r="Z265" s="32" t="s">
        <v>39</v>
      </c>
      <c r="AA265" s="32" t="s">
        <v>34</v>
      </c>
      <c r="AB265" s="13" t="s">
        <v>34</v>
      </c>
      <c r="AC265" s="32" t="s">
        <v>318</v>
      </c>
      <c r="AD265" s="32" t="s">
        <v>32</v>
      </c>
      <c r="AE265" s="32">
        <v>0.46910000000000002</v>
      </c>
      <c r="AF265" s="44" t="s">
        <v>45</v>
      </c>
      <c r="AG265" s="32">
        <v>2013</v>
      </c>
      <c r="AH265" s="44" t="s">
        <v>46</v>
      </c>
      <c r="AI265" s="99">
        <f t="shared" si="8"/>
        <v>0.75088967971530229</v>
      </c>
    </row>
    <row r="266" spans="1:35" s="10" customFormat="1" x14ac:dyDescent="0.3">
      <c r="A266" s="11">
        <v>0</v>
      </c>
      <c r="B266" s="45">
        <v>4.6498599439775799E-5</v>
      </c>
      <c r="C266" s="33" t="s">
        <v>33</v>
      </c>
      <c r="D266" s="33" t="s">
        <v>35</v>
      </c>
      <c r="E266" s="33" t="s">
        <v>170</v>
      </c>
      <c r="F266" s="33" t="s">
        <v>34</v>
      </c>
      <c r="G266" s="43">
        <v>0.16500000000000001</v>
      </c>
      <c r="H266" s="32" t="s">
        <v>34</v>
      </c>
      <c r="I266" s="32" t="s">
        <v>34</v>
      </c>
      <c r="J266" s="32" t="s">
        <v>34</v>
      </c>
      <c r="K266" s="32" t="s">
        <v>34</v>
      </c>
      <c r="L266" s="32" t="s">
        <v>34</v>
      </c>
      <c r="M266" s="10">
        <v>90</v>
      </c>
      <c r="N266" s="32" t="s">
        <v>43</v>
      </c>
      <c r="O266" s="32">
        <v>0.98750000000000004</v>
      </c>
      <c r="P266" s="32">
        <v>0.58499999999999996</v>
      </c>
      <c r="Q266" s="32">
        <v>0</v>
      </c>
      <c r="R266" s="32" t="s">
        <v>34</v>
      </c>
      <c r="S266" s="36">
        <f t="shared" si="9"/>
        <v>4.6498599439775799E-5</v>
      </c>
      <c r="T266" s="32" t="s">
        <v>36</v>
      </c>
      <c r="U266" s="32" t="s">
        <v>37</v>
      </c>
      <c r="V266" s="32" t="s">
        <v>38</v>
      </c>
      <c r="W266" s="32" t="s">
        <v>34</v>
      </c>
      <c r="X266" s="10">
        <v>1</v>
      </c>
      <c r="Y266" s="32">
        <v>1</v>
      </c>
      <c r="Z266" s="32" t="s">
        <v>39</v>
      </c>
      <c r="AA266" s="32" t="s">
        <v>34</v>
      </c>
      <c r="AB266" s="13" t="s">
        <v>34</v>
      </c>
      <c r="AC266" s="32" t="s">
        <v>318</v>
      </c>
      <c r="AD266" s="32" t="s">
        <v>32</v>
      </c>
      <c r="AE266" s="32">
        <v>0.46910000000000002</v>
      </c>
      <c r="AF266" s="44" t="s">
        <v>45</v>
      </c>
      <c r="AG266" s="32">
        <v>2013</v>
      </c>
      <c r="AH266" s="44" t="s">
        <v>46</v>
      </c>
      <c r="AI266" s="99">
        <f t="shared" si="8"/>
        <v>1</v>
      </c>
    </row>
    <row r="267" spans="1:35" s="10" customFormat="1" x14ac:dyDescent="0.3">
      <c r="A267" s="11">
        <v>0.25236593059936901</v>
      </c>
      <c r="B267" s="45">
        <v>1.81139122315592E-5</v>
      </c>
      <c r="C267" s="33" t="s">
        <v>33</v>
      </c>
      <c r="D267" s="33" t="s">
        <v>35</v>
      </c>
      <c r="E267" s="33" t="s">
        <v>170</v>
      </c>
      <c r="F267" s="33" t="s">
        <v>34</v>
      </c>
      <c r="G267" s="43">
        <v>0.16500000000000001</v>
      </c>
      <c r="H267" s="32" t="s">
        <v>34</v>
      </c>
      <c r="I267" s="32" t="s">
        <v>34</v>
      </c>
      <c r="J267" s="32" t="s">
        <v>34</v>
      </c>
      <c r="K267" s="32" t="s">
        <v>34</v>
      </c>
      <c r="L267" s="32" t="s">
        <v>34</v>
      </c>
      <c r="M267" s="10">
        <v>90</v>
      </c>
      <c r="N267" s="32" t="s">
        <v>43</v>
      </c>
      <c r="O267" s="32">
        <v>0.98750000000000004</v>
      </c>
      <c r="P267" s="32">
        <v>0.58499999999999996</v>
      </c>
      <c r="Q267" s="32">
        <v>0</v>
      </c>
      <c r="R267" s="32" t="s">
        <v>34</v>
      </c>
      <c r="S267" s="36">
        <f t="shared" si="9"/>
        <v>4.6498599439775799E-5</v>
      </c>
      <c r="T267" s="32" t="s">
        <v>36</v>
      </c>
      <c r="U267" s="32" t="s">
        <v>37</v>
      </c>
      <c r="V267" s="32" t="s">
        <v>38</v>
      </c>
      <c r="W267" s="32" t="s">
        <v>34</v>
      </c>
      <c r="X267" s="10">
        <v>1</v>
      </c>
      <c r="Y267" s="32">
        <v>1</v>
      </c>
      <c r="Z267" s="32" t="s">
        <v>39</v>
      </c>
      <c r="AA267" s="32" t="s">
        <v>34</v>
      </c>
      <c r="AB267" s="13" t="s">
        <v>34</v>
      </c>
      <c r="AC267" s="32" t="s">
        <v>318</v>
      </c>
      <c r="AD267" s="32" t="s">
        <v>32</v>
      </c>
      <c r="AE267" s="32">
        <v>0.46910000000000002</v>
      </c>
      <c r="AF267" s="44" t="s">
        <v>45</v>
      </c>
      <c r="AG267" s="32">
        <v>2013</v>
      </c>
      <c r="AH267" s="44" t="s">
        <v>46</v>
      </c>
      <c r="AI267" s="99">
        <f t="shared" si="8"/>
        <v>0.38955823293172587</v>
      </c>
    </row>
    <row r="268" spans="1:35" s="10" customFormat="1" x14ac:dyDescent="0.3">
      <c r="A268" s="11">
        <v>0.50473186119873803</v>
      </c>
      <c r="B268" s="45">
        <v>1.5686274509803901E-5</v>
      </c>
      <c r="C268" s="33" t="s">
        <v>33</v>
      </c>
      <c r="D268" s="33" t="s">
        <v>35</v>
      </c>
      <c r="E268" s="33" t="s">
        <v>170</v>
      </c>
      <c r="F268" s="33" t="s">
        <v>34</v>
      </c>
      <c r="G268" s="43">
        <v>0.16500000000000001</v>
      </c>
      <c r="H268" s="32" t="s">
        <v>34</v>
      </c>
      <c r="I268" s="32" t="s">
        <v>34</v>
      </c>
      <c r="J268" s="32" t="s">
        <v>34</v>
      </c>
      <c r="K268" s="32" t="s">
        <v>34</v>
      </c>
      <c r="L268" s="32" t="s">
        <v>34</v>
      </c>
      <c r="M268" s="10">
        <v>90</v>
      </c>
      <c r="N268" s="32" t="s">
        <v>43</v>
      </c>
      <c r="O268" s="32">
        <v>0.98750000000000004</v>
      </c>
      <c r="P268" s="32">
        <v>0.58499999999999996</v>
      </c>
      <c r="Q268" s="32">
        <v>0</v>
      </c>
      <c r="R268" s="32" t="s">
        <v>34</v>
      </c>
      <c r="S268" s="36">
        <f t="shared" si="9"/>
        <v>4.6498599439775799E-5</v>
      </c>
      <c r="T268" s="32" t="s">
        <v>36</v>
      </c>
      <c r="U268" s="32" t="s">
        <v>37</v>
      </c>
      <c r="V268" s="32" t="s">
        <v>38</v>
      </c>
      <c r="W268" s="32" t="s">
        <v>34</v>
      </c>
      <c r="X268" s="10">
        <v>1</v>
      </c>
      <c r="Y268" s="32">
        <v>1</v>
      </c>
      <c r="Z268" s="32" t="s">
        <v>39</v>
      </c>
      <c r="AA268" s="32" t="s">
        <v>34</v>
      </c>
      <c r="AB268" s="13" t="s">
        <v>34</v>
      </c>
      <c r="AC268" s="32" t="s">
        <v>318</v>
      </c>
      <c r="AD268" s="32" t="s">
        <v>32</v>
      </c>
      <c r="AE268" s="32">
        <v>0.46910000000000002</v>
      </c>
      <c r="AF268" s="44" t="s">
        <v>45</v>
      </c>
      <c r="AG268" s="32">
        <v>2013</v>
      </c>
      <c r="AH268" s="44" t="s">
        <v>46</v>
      </c>
      <c r="AI268" s="99">
        <f t="shared" si="8"/>
        <v>0.33734939759036181</v>
      </c>
    </row>
    <row r="269" spans="1:35" s="33" customFormat="1" x14ac:dyDescent="0.3">
      <c r="A269" s="31">
        <v>0.76340694006309195</v>
      </c>
      <c r="B269" s="47">
        <v>1.7366946778711399E-5</v>
      </c>
      <c r="C269" s="33" t="s">
        <v>33</v>
      </c>
      <c r="D269" s="33" t="s">
        <v>35</v>
      </c>
      <c r="E269" s="33" t="s">
        <v>170</v>
      </c>
      <c r="F269" s="33" t="s">
        <v>34</v>
      </c>
      <c r="G269" s="43">
        <v>0.16500000000000001</v>
      </c>
      <c r="H269" s="32" t="s">
        <v>34</v>
      </c>
      <c r="I269" s="32" t="s">
        <v>34</v>
      </c>
      <c r="J269" s="32" t="s">
        <v>34</v>
      </c>
      <c r="K269" s="32" t="s">
        <v>34</v>
      </c>
      <c r="L269" s="32" t="s">
        <v>34</v>
      </c>
      <c r="M269" s="33">
        <v>90</v>
      </c>
      <c r="N269" s="32" t="s">
        <v>43</v>
      </c>
      <c r="O269" s="32">
        <v>0.98750000000000004</v>
      </c>
      <c r="P269" s="32">
        <v>0.58499999999999996</v>
      </c>
      <c r="Q269" s="32">
        <v>0</v>
      </c>
      <c r="R269" s="32" t="s">
        <v>34</v>
      </c>
      <c r="S269" s="36">
        <f t="shared" si="9"/>
        <v>4.6498599439775799E-5</v>
      </c>
      <c r="T269" s="32" t="s">
        <v>36</v>
      </c>
      <c r="U269" s="32" t="s">
        <v>37</v>
      </c>
      <c r="V269" s="32" t="s">
        <v>38</v>
      </c>
      <c r="W269" s="32" t="s">
        <v>34</v>
      </c>
      <c r="X269" s="33">
        <v>1</v>
      </c>
      <c r="Y269" s="32">
        <v>1</v>
      </c>
      <c r="Z269" s="32" t="s">
        <v>39</v>
      </c>
      <c r="AA269" s="32" t="s">
        <v>34</v>
      </c>
      <c r="AB269" s="32" t="s">
        <v>34</v>
      </c>
      <c r="AC269" s="32" t="s">
        <v>318</v>
      </c>
      <c r="AD269" s="32" t="s">
        <v>32</v>
      </c>
      <c r="AE269" s="32">
        <v>0.46910000000000002</v>
      </c>
      <c r="AF269" s="44" t="s">
        <v>45</v>
      </c>
      <c r="AG269" s="32">
        <v>2013</v>
      </c>
      <c r="AH269" s="44" t="s">
        <v>46</v>
      </c>
      <c r="AI269" s="99">
        <f t="shared" si="8"/>
        <v>0.3734939759036135</v>
      </c>
    </row>
    <row r="270" spans="1:35" s="14" customFormat="1" ht="16.2" thickBot="1" x14ac:dyDescent="0.35">
      <c r="A270" s="17">
        <v>1.0094637223974701</v>
      </c>
      <c r="B270" s="38">
        <v>1.7366946778711399E-5</v>
      </c>
      <c r="C270" s="14" t="s">
        <v>33</v>
      </c>
      <c r="D270" s="14" t="s">
        <v>35</v>
      </c>
      <c r="E270" s="14" t="s">
        <v>170</v>
      </c>
      <c r="F270" s="14" t="s">
        <v>34</v>
      </c>
      <c r="G270" s="22">
        <v>0.16500000000000001</v>
      </c>
      <c r="H270" s="14" t="s">
        <v>34</v>
      </c>
      <c r="I270" s="14" t="s">
        <v>34</v>
      </c>
      <c r="J270" s="14" t="s">
        <v>34</v>
      </c>
      <c r="K270" s="14" t="s">
        <v>34</v>
      </c>
      <c r="L270" s="14" t="s">
        <v>34</v>
      </c>
      <c r="M270" s="14">
        <v>90</v>
      </c>
      <c r="N270" s="14" t="s">
        <v>43</v>
      </c>
      <c r="O270" s="14">
        <v>0.98750000000000004</v>
      </c>
      <c r="P270" s="14">
        <v>0.58499999999999996</v>
      </c>
      <c r="Q270" s="14">
        <v>0</v>
      </c>
      <c r="R270" s="14" t="s">
        <v>34</v>
      </c>
      <c r="S270" s="36">
        <f t="shared" si="9"/>
        <v>4.6498599439775799E-5</v>
      </c>
      <c r="T270" s="14" t="s">
        <v>36</v>
      </c>
      <c r="U270" s="14" t="s">
        <v>37</v>
      </c>
      <c r="V270" s="14" t="s">
        <v>38</v>
      </c>
      <c r="W270" s="14" t="s">
        <v>34</v>
      </c>
      <c r="X270" s="14">
        <v>1</v>
      </c>
      <c r="Y270" s="14">
        <v>1</v>
      </c>
      <c r="Z270" s="14" t="s">
        <v>39</v>
      </c>
      <c r="AA270" s="14" t="s">
        <v>34</v>
      </c>
      <c r="AB270" s="14" t="s">
        <v>34</v>
      </c>
      <c r="AC270" s="14" t="s">
        <v>318</v>
      </c>
      <c r="AD270" s="18" t="s">
        <v>32</v>
      </c>
      <c r="AE270" s="18">
        <v>0.46910000000000002</v>
      </c>
      <c r="AF270" s="23" t="s">
        <v>45</v>
      </c>
      <c r="AG270" s="18">
        <v>2013</v>
      </c>
      <c r="AH270" s="22" t="s">
        <v>46</v>
      </c>
      <c r="AI270" s="99">
        <f t="shared" si="8"/>
        <v>0.3734939759036135</v>
      </c>
    </row>
    <row r="271" spans="1:35" s="13" customFormat="1" x14ac:dyDescent="0.3">
      <c r="A271" s="13">
        <v>8.1999999999999993</v>
      </c>
      <c r="B271" s="36">
        <v>3.4600000000000001E-5</v>
      </c>
      <c r="C271" s="13" t="s">
        <v>33</v>
      </c>
      <c r="D271" s="13" t="s">
        <v>35</v>
      </c>
      <c r="E271" s="13" t="s">
        <v>170</v>
      </c>
      <c r="F271" s="13" t="s">
        <v>34</v>
      </c>
      <c r="G271" s="13">
        <v>0.73</v>
      </c>
      <c r="H271" s="13" t="s">
        <v>34</v>
      </c>
      <c r="I271" s="13" t="s">
        <v>34</v>
      </c>
      <c r="J271" s="13" t="s">
        <v>34</v>
      </c>
      <c r="K271" s="13" t="s">
        <v>34</v>
      </c>
      <c r="L271" s="13" t="s">
        <v>34</v>
      </c>
      <c r="M271" s="13" t="s">
        <v>34</v>
      </c>
      <c r="N271" s="13">
        <v>1542.0560747663551</v>
      </c>
      <c r="O271" s="13" t="s">
        <v>34</v>
      </c>
      <c r="P271" s="13" t="s">
        <v>34</v>
      </c>
      <c r="Q271" s="13" t="s">
        <v>34</v>
      </c>
      <c r="R271" s="13" t="s">
        <v>34</v>
      </c>
      <c r="S271" s="13" t="s">
        <v>34</v>
      </c>
      <c r="T271" s="13" t="s">
        <v>36</v>
      </c>
      <c r="U271" s="13" t="s">
        <v>37</v>
      </c>
      <c r="V271" s="13" t="s">
        <v>162</v>
      </c>
      <c r="W271" s="13">
        <v>15</v>
      </c>
      <c r="X271" s="13">
        <v>0.5</v>
      </c>
      <c r="Y271" s="13">
        <v>1</v>
      </c>
      <c r="Z271" s="13" t="s">
        <v>163</v>
      </c>
      <c r="AA271" s="13">
        <v>0.222</v>
      </c>
      <c r="AB271" s="13" t="s">
        <v>34</v>
      </c>
      <c r="AC271" s="13" t="s">
        <v>40</v>
      </c>
      <c r="AD271" s="13" t="s">
        <v>34</v>
      </c>
      <c r="AE271" s="13" t="s">
        <v>34</v>
      </c>
      <c r="AF271" s="13" t="s">
        <v>164</v>
      </c>
      <c r="AG271" s="13">
        <v>2016</v>
      </c>
      <c r="AH271" s="13" t="s">
        <v>165</v>
      </c>
      <c r="AI271" s="99" t="e">
        <f t="shared" si="8"/>
        <v>#VALUE!</v>
      </c>
    </row>
    <row r="272" spans="1:35" s="10" customFormat="1" x14ac:dyDescent="0.3">
      <c r="A272" s="10">
        <v>11.3</v>
      </c>
      <c r="B272" s="45">
        <v>1.5500000000000001E-5</v>
      </c>
      <c r="C272" s="13" t="s">
        <v>33</v>
      </c>
      <c r="D272" s="13" t="s">
        <v>35</v>
      </c>
      <c r="E272" s="13" t="s">
        <v>170</v>
      </c>
      <c r="F272" s="13" t="s">
        <v>34</v>
      </c>
      <c r="G272" s="13">
        <v>0.73</v>
      </c>
      <c r="H272" s="13" t="s">
        <v>34</v>
      </c>
      <c r="I272" s="13" t="s">
        <v>34</v>
      </c>
      <c r="J272" s="13" t="s">
        <v>34</v>
      </c>
      <c r="K272" s="13" t="s">
        <v>34</v>
      </c>
      <c r="L272" s="13" t="s">
        <v>34</v>
      </c>
      <c r="M272" s="13" t="s">
        <v>34</v>
      </c>
      <c r="N272" s="13">
        <v>1542.0560747663551</v>
      </c>
      <c r="O272" s="13" t="s">
        <v>34</v>
      </c>
      <c r="P272" s="13" t="s">
        <v>34</v>
      </c>
      <c r="Q272" s="13" t="s">
        <v>34</v>
      </c>
      <c r="R272" s="13" t="s">
        <v>34</v>
      </c>
      <c r="S272" s="13" t="s">
        <v>34</v>
      </c>
      <c r="T272" s="13" t="s">
        <v>36</v>
      </c>
      <c r="U272" s="13" t="s">
        <v>37</v>
      </c>
      <c r="V272" s="13" t="s">
        <v>162</v>
      </c>
      <c r="W272" s="13">
        <v>15</v>
      </c>
      <c r="X272" s="13">
        <v>0.5</v>
      </c>
      <c r="Y272" s="13">
        <v>1</v>
      </c>
      <c r="Z272" s="13" t="s">
        <v>163</v>
      </c>
      <c r="AA272" s="13">
        <v>0.222</v>
      </c>
      <c r="AB272" s="13" t="s">
        <v>34</v>
      </c>
      <c r="AC272" s="13" t="s">
        <v>40</v>
      </c>
      <c r="AD272" s="13" t="s">
        <v>34</v>
      </c>
      <c r="AE272" s="13" t="s">
        <v>34</v>
      </c>
      <c r="AF272" s="13" t="s">
        <v>164</v>
      </c>
      <c r="AG272" s="13">
        <v>2016</v>
      </c>
      <c r="AH272" s="13" t="s">
        <v>165</v>
      </c>
      <c r="AI272" s="99" t="e">
        <f t="shared" si="8"/>
        <v>#VALUE!</v>
      </c>
    </row>
    <row r="273" spans="1:35" s="10" customFormat="1" x14ac:dyDescent="0.3">
      <c r="A273" s="10">
        <v>12.1</v>
      </c>
      <c r="B273" s="45">
        <v>2.41E-5</v>
      </c>
      <c r="C273" s="13" t="s">
        <v>33</v>
      </c>
      <c r="D273" s="13" t="s">
        <v>35</v>
      </c>
      <c r="E273" s="13" t="s">
        <v>170</v>
      </c>
      <c r="F273" s="13" t="s">
        <v>34</v>
      </c>
      <c r="G273" s="13">
        <v>0.73</v>
      </c>
      <c r="H273" s="13" t="s">
        <v>34</v>
      </c>
      <c r="I273" s="13" t="s">
        <v>34</v>
      </c>
      <c r="J273" s="13" t="s">
        <v>34</v>
      </c>
      <c r="K273" s="13" t="s">
        <v>34</v>
      </c>
      <c r="L273" s="13" t="s">
        <v>34</v>
      </c>
      <c r="M273" s="13" t="s">
        <v>34</v>
      </c>
      <c r="N273" s="13">
        <v>1542.0560747663551</v>
      </c>
      <c r="O273" s="13" t="s">
        <v>34</v>
      </c>
      <c r="P273" s="13" t="s">
        <v>34</v>
      </c>
      <c r="Q273" s="13" t="s">
        <v>34</v>
      </c>
      <c r="R273" s="13" t="s">
        <v>34</v>
      </c>
      <c r="S273" s="13" t="s">
        <v>34</v>
      </c>
      <c r="T273" s="13" t="s">
        <v>36</v>
      </c>
      <c r="U273" s="13" t="s">
        <v>37</v>
      </c>
      <c r="V273" s="13" t="s">
        <v>162</v>
      </c>
      <c r="W273" s="13">
        <v>15</v>
      </c>
      <c r="X273" s="13">
        <v>0.5</v>
      </c>
      <c r="Y273" s="13">
        <v>1</v>
      </c>
      <c r="Z273" s="13" t="s">
        <v>163</v>
      </c>
      <c r="AA273" s="13">
        <v>0.222</v>
      </c>
      <c r="AB273" s="13" t="s">
        <v>34</v>
      </c>
      <c r="AC273" s="13" t="s">
        <v>40</v>
      </c>
      <c r="AD273" s="13" t="s">
        <v>34</v>
      </c>
      <c r="AE273" s="13" t="s">
        <v>34</v>
      </c>
      <c r="AF273" s="13" t="s">
        <v>164</v>
      </c>
      <c r="AG273" s="13">
        <v>2016</v>
      </c>
      <c r="AH273" s="13" t="s">
        <v>165</v>
      </c>
      <c r="AI273" s="99" t="e">
        <f t="shared" si="8"/>
        <v>#VALUE!</v>
      </c>
    </row>
    <row r="274" spans="1:35" s="10" customFormat="1" x14ac:dyDescent="0.3">
      <c r="A274" s="10">
        <v>4.8</v>
      </c>
      <c r="B274" s="45">
        <v>5.7599999999999997E-5</v>
      </c>
      <c r="C274" s="13" t="s">
        <v>33</v>
      </c>
      <c r="D274" s="13" t="s">
        <v>35</v>
      </c>
      <c r="E274" s="13" t="s">
        <v>170</v>
      </c>
      <c r="F274" s="13" t="s">
        <v>34</v>
      </c>
      <c r="G274" s="13">
        <v>0.73</v>
      </c>
      <c r="H274" s="13" t="s">
        <v>34</v>
      </c>
      <c r="I274" s="13" t="s">
        <v>34</v>
      </c>
      <c r="J274" s="13" t="s">
        <v>34</v>
      </c>
      <c r="K274" s="13" t="s">
        <v>34</v>
      </c>
      <c r="L274" s="13" t="s">
        <v>34</v>
      </c>
      <c r="M274" s="13" t="s">
        <v>34</v>
      </c>
      <c r="N274" s="13">
        <v>1542.0560747663551</v>
      </c>
      <c r="O274" s="13" t="s">
        <v>34</v>
      </c>
      <c r="P274" s="13" t="s">
        <v>34</v>
      </c>
      <c r="Q274" s="13" t="s">
        <v>34</v>
      </c>
      <c r="R274" s="13" t="s">
        <v>34</v>
      </c>
      <c r="S274" s="13" t="s">
        <v>34</v>
      </c>
      <c r="T274" s="13" t="s">
        <v>36</v>
      </c>
      <c r="U274" s="13" t="s">
        <v>37</v>
      </c>
      <c r="V274" s="13" t="s">
        <v>162</v>
      </c>
      <c r="W274" s="13">
        <v>15</v>
      </c>
      <c r="X274" s="13">
        <v>0.5</v>
      </c>
      <c r="Y274" s="13">
        <v>1</v>
      </c>
      <c r="Z274" s="13" t="s">
        <v>163</v>
      </c>
      <c r="AA274" s="13">
        <v>0.222</v>
      </c>
      <c r="AB274" s="13" t="s">
        <v>34</v>
      </c>
      <c r="AC274" s="13" t="s">
        <v>40</v>
      </c>
      <c r="AD274" s="13" t="s">
        <v>34</v>
      </c>
      <c r="AE274" s="13" t="s">
        <v>34</v>
      </c>
      <c r="AF274" s="13" t="s">
        <v>164</v>
      </c>
      <c r="AG274" s="13">
        <v>2016</v>
      </c>
      <c r="AH274" s="13" t="s">
        <v>165</v>
      </c>
      <c r="AI274" s="99" t="e">
        <f t="shared" si="8"/>
        <v>#VALUE!</v>
      </c>
    </row>
    <row r="275" spans="1:35" s="10" customFormat="1" x14ac:dyDescent="0.3">
      <c r="A275" s="10">
        <v>6.6</v>
      </c>
      <c r="B275" s="45">
        <v>9.4299999999999995E-6</v>
      </c>
      <c r="C275" s="13" t="s">
        <v>33</v>
      </c>
      <c r="D275" s="13" t="s">
        <v>35</v>
      </c>
      <c r="E275" s="13" t="s">
        <v>170</v>
      </c>
      <c r="F275" s="13" t="s">
        <v>34</v>
      </c>
      <c r="G275" s="13">
        <v>0.73</v>
      </c>
      <c r="H275" s="13" t="s">
        <v>34</v>
      </c>
      <c r="I275" s="13" t="s">
        <v>34</v>
      </c>
      <c r="J275" s="13" t="s">
        <v>34</v>
      </c>
      <c r="K275" s="13" t="s">
        <v>34</v>
      </c>
      <c r="L275" s="13" t="s">
        <v>34</v>
      </c>
      <c r="M275" s="13" t="s">
        <v>34</v>
      </c>
      <c r="N275" s="13">
        <v>1542.0560747663551</v>
      </c>
      <c r="O275" s="13" t="s">
        <v>34</v>
      </c>
      <c r="P275" s="13" t="s">
        <v>34</v>
      </c>
      <c r="Q275" s="13" t="s">
        <v>34</v>
      </c>
      <c r="R275" s="13" t="s">
        <v>34</v>
      </c>
      <c r="S275" s="13" t="s">
        <v>34</v>
      </c>
      <c r="T275" s="13" t="s">
        <v>36</v>
      </c>
      <c r="U275" s="13" t="s">
        <v>37</v>
      </c>
      <c r="V275" s="13" t="s">
        <v>162</v>
      </c>
      <c r="W275" s="13">
        <v>15</v>
      </c>
      <c r="X275" s="13">
        <v>0.5</v>
      </c>
      <c r="Y275" s="13">
        <v>1</v>
      </c>
      <c r="Z275" s="13" t="s">
        <v>163</v>
      </c>
      <c r="AA275" s="13">
        <v>0.222</v>
      </c>
      <c r="AB275" s="13" t="s">
        <v>34</v>
      </c>
      <c r="AC275" s="13" t="s">
        <v>40</v>
      </c>
      <c r="AD275" s="13" t="s">
        <v>34</v>
      </c>
      <c r="AE275" s="13" t="s">
        <v>34</v>
      </c>
      <c r="AF275" s="13" t="s">
        <v>164</v>
      </c>
      <c r="AG275" s="13">
        <v>2016</v>
      </c>
      <c r="AH275" s="13" t="s">
        <v>165</v>
      </c>
      <c r="AI275" s="99" t="e">
        <f t="shared" si="8"/>
        <v>#VALUE!</v>
      </c>
    </row>
    <row r="276" spans="1:35" s="14" customFormat="1" ht="16.2" thickBot="1" x14ac:dyDescent="0.35">
      <c r="A276" s="14">
        <v>11.3</v>
      </c>
      <c r="B276" s="38">
        <v>9.9699999999999994E-7</v>
      </c>
      <c r="C276" s="14" t="s">
        <v>33</v>
      </c>
      <c r="D276" s="14" t="s">
        <v>35</v>
      </c>
      <c r="E276" s="14" t="s">
        <v>170</v>
      </c>
      <c r="F276" s="14" t="s">
        <v>34</v>
      </c>
      <c r="G276" s="14">
        <v>0.73</v>
      </c>
      <c r="H276" s="14" t="s">
        <v>34</v>
      </c>
      <c r="I276" s="14" t="s">
        <v>34</v>
      </c>
      <c r="J276" s="14" t="s">
        <v>34</v>
      </c>
      <c r="K276" s="14" t="s">
        <v>34</v>
      </c>
      <c r="L276" s="14" t="s">
        <v>34</v>
      </c>
      <c r="M276" s="14" t="s">
        <v>34</v>
      </c>
      <c r="N276" s="14">
        <v>1542.0560747663551</v>
      </c>
      <c r="O276" s="14" t="s">
        <v>34</v>
      </c>
      <c r="P276" s="14" t="s">
        <v>34</v>
      </c>
      <c r="Q276" s="14" t="s">
        <v>34</v>
      </c>
      <c r="R276" s="14" t="s">
        <v>34</v>
      </c>
      <c r="S276" s="14" t="s">
        <v>34</v>
      </c>
      <c r="T276" s="14" t="s">
        <v>36</v>
      </c>
      <c r="U276" s="14" t="s">
        <v>37</v>
      </c>
      <c r="V276" s="14" t="s">
        <v>162</v>
      </c>
      <c r="W276" s="14">
        <v>15</v>
      </c>
      <c r="X276" s="14">
        <v>0.5</v>
      </c>
      <c r="Y276" s="14">
        <v>1</v>
      </c>
      <c r="Z276" s="14" t="s">
        <v>163</v>
      </c>
      <c r="AA276" s="14">
        <v>0.222</v>
      </c>
      <c r="AB276" s="14" t="s">
        <v>34</v>
      </c>
      <c r="AC276" s="14" t="s">
        <v>40</v>
      </c>
      <c r="AD276" s="14" t="s">
        <v>34</v>
      </c>
      <c r="AE276" s="14" t="s">
        <v>34</v>
      </c>
      <c r="AF276" s="14" t="s">
        <v>164</v>
      </c>
      <c r="AG276" s="14">
        <v>2016</v>
      </c>
      <c r="AH276" s="14" t="s">
        <v>165</v>
      </c>
      <c r="AI276" s="99" t="e">
        <f t="shared" si="8"/>
        <v>#VALUE!</v>
      </c>
    </row>
    <row r="277" spans="1:35" s="13" customFormat="1" x14ac:dyDescent="0.3">
      <c r="A277" s="12">
        <v>0</v>
      </c>
      <c r="B277" s="36">
        <v>3.9773845784742698E-4</v>
      </c>
      <c r="C277" s="13" t="s">
        <v>33</v>
      </c>
      <c r="D277" s="13" t="s">
        <v>169</v>
      </c>
      <c r="E277" s="13" t="s">
        <v>170</v>
      </c>
      <c r="F277" s="13" t="s">
        <v>34</v>
      </c>
      <c r="G277" s="13">
        <v>0.21</v>
      </c>
      <c r="H277" s="13" t="s">
        <v>34</v>
      </c>
      <c r="I277" s="13" t="s">
        <v>34</v>
      </c>
      <c r="J277" s="13" t="s">
        <v>34</v>
      </c>
      <c r="K277" s="13" t="s">
        <v>34</v>
      </c>
      <c r="L277" s="13">
        <v>0</v>
      </c>
      <c r="M277" s="13">
        <v>50</v>
      </c>
      <c r="N277" s="13">
        <v>1476.9578718927885</v>
      </c>
      <c r="O277" s="13" t="s">
        <v>34</v>
      </c>
      <c r="P277" s="13" t="s">
        <v>34</v>
      </c>
      <c r="Q277" s="13">
        <v>0</v>
      </c>
      <c r="R277" s="13">
        <v>2.64</v>
      </c>
      <c r="S277" s="13">
        <v>4.4000000000000007E-4</v>
      </c>
      <c r="T277" s="13" t="s">
        <v>49</v>
      </c>
      <c r="U277" s="13" t="s">
        <v>50</v>
      </c>
      <c r="V277" s="13" t="s">
        <v>38</v>
      </c>
      <c r="W277" s="13" t="s">
        <v>43</v>
      </c>
      <c r="X277" s="13" t="s">
        <v>43</v>
      </c>
      <c r="Y277" s="13">
        <v>1</v>
      </c>
      <c r="Z277" s="13" t="s">
        <v>171</v>
      </c>
      <c r="AA277" s="12" t="s">
        <v>43</v>
      </c>
      <c r="AB277" s="13">
        <v>9.15</v>
      </c>
      <c r="AC277" s="13" t="s">
        <v>40</v>
      </c>
      <c r="AD277" s="13" t="s">
        <v>34</v>
      </c>
      <c r="AE277" s="13" t="s">
        <v>34</v>
      </c>
      <c r="AF277" s="13" t="s">
        <v>172</v>
      </c>
      <c r="AG277" s="13">
        <v>2012</v>
      </c>
      <c r="AH277" s="13" t="s">
        <v>173</v>
      </c>
      <c r="AI277" s="99">
        <f t="shared" si="8"/>
        <v>0.90395104056233389</v>
      </c>
    </row>
    <row r="278" spans="1:35" s="10" customFormat="1" x14ac:dyDescent="0.3">
      <c r="A278" s="11">
        <v>1.6614906832298135</v>
      </c>
      <c r="B278" s="45">
        <v>1.61154879873741E-4</v>
      </c>
      <c r="C278" s="13" t="s">
        <v>33</v>
      </c>
      <c r="D278" s="13" t="s">
        <v>169</v>
      </c>
      <c r="E278" s="13" t="s">
        <v>170</v>
      </c>
      <c r="F278" s="13" t="s">
        <v>34</v>
      </c>
      <c r="G278" s="13">
        <v>0.21</v>
      </c>
      <c r="H278" s="13" t="s">
        <v>34</v>
      </c>
      <c r="I278" s="13" t="s">
        <v>34</v>
      </c>
      <c r="J278" s="13" t="s">
        <v>34</v>
      </c>
      <c r="K278" s="13" t="s">
        <v>34</v>
      </c>
      <c r="L278" s="13">
        <v>0</v>
      </c>
      <c r="M278" s="13">
        <v>50</v>
      </c>
      <c r="N278" s="13">
        <v>1476.9578718927885</v>
      </c>
      <c r="O278" s="13" t="s">
        <v>34</v>
      </c>
      <c r="P278" s="13" t="s">
        <v>34</v>
      </c>
      <c r="Q278" s="13">
        <v>0</v>
      </c>
      <c r="R278" s="13">
        <v>2.64</v>
      </c>
      <c r="S278" s="13">
        <v>4.4000000000000007E-4</v>
      </c>
      <c r="T278" s="13" t="s">
        <v>49</v>
      </c>
      <c r="U278" s="13" t="s">
        <v>50</v>
      </c>
      <c r="V278" s="13" t="s">
        <v>38</v>
      </c>
      <c r="W278" s="13" t="s">
        <v>43</v>
      </c>
      <c r="X278" s="13" t="s">
        <v>43</v>
      </c>
      <c r="Y278" s="13">
        <v>2</v>
      </c>
      <c r="Z278" s="13" t="s">
        <v>171</v>
      </c>
      <c r="AA278" s="12" t="s">
        <v>43</v>
      </c>
      <c r="AB278" s="13">
        <v>9.15</v>
      </c>
      <c r="AC278" s="13" t="s">
        <v>40</v>
      </c>
      <c r="AD278" s="13" t="s">
        <v>34</v>
      </c>
      <c r="AE278" s="13" t="s">
        <v>34</v>
      </c>
      <c r="AF278" s="13" t="s">
        <v>172</v>
      </c>
      <c r="AG278" s="13">
        <v>2012</v>
      </c>
      <c r="AH278" s="13" t="s">
        <v>173</v>
      </c>
      <c r="AI278" s="99">
        <f t="shared" si="8"/>
        <v>0.36626109062213857</v>
      </c>
    </row>
    <row r="279" spans="1:35" s="10" customFormat="1" x14ac:dyDescent="0.3">
      <c r="A279" s="11">
        <v>1.7184265010351967</v>
      </c>
      <c r="B279" s="45">
        <v>1.0670112884883299E-4</v>
      </c>
      <c r="C279" s="13" t="s">
        <v>33</v>
      </c>
      <c r="D279" s="13" t="s">
        <v>169</v>
      </c>
      <c r="E279" s="13" t="s">
        <v>170</v>
      </c>
      <c r="F279" s="13" t="s">
        <v>34</v>
      </c>
      <c r="G279" s="13">
        <v>0.21</v>
      </c>
      <c r="H279" s="13" t="s">
        <v>34</v>
      </c>
      <c r="I279" s="13" t="s">
        <v>34</v>
      </c>
      <c r="J279" s="13" t="s">
        <v>34</v>
      </c>
      <c r="K279" s="13" t="s">
        <v>34</v>
      </c>
      <c r="L279" s="13">
        <v>0</v>
      </c>
      <c r="M279" s="13">
        <v>50</v>
      </c>
      <c r="N279" s="13">
        <v>1476.9578718927885</v>
      </c>
      <c r="O279" s="13" t="s">
        <v>34</v>
      </c>
      <c r="P279" s="13" t="s">
        <v>34</v>
      </c>
      <c r="Q279" s="13">
        <v>0</v>
      </c>
      <c r="R279" s="13">
        <v>2.64</v>
      </c>
      <c r="S279" s="13">
        <v>4.4000000000000007E-4</v>
      </c>
      <c r="T279" s="13" t="s">
        <v>49</v>
      </c>
      <c r="U279" s="13" t="s">
        <v>50</v>
      </c>
      <c r="V279" s="13" t="s">
        <v>38</v>
      </c>
      <c r="W279" s="13" t="s">
        <v>43</v>
      </c>
      <c r="X279" s="13" t="s">
        <v>43</v>
      </c>
      <c r="Y279" s="13">
        <v>3</v>
      </c>
      <c r="Z279" s="13" t="s">
        <v>171</v>
      </c>
      <c r="AA279" s="12" t="s">
        <v>43</v>
      </c>
      <c r="AB279" s="13">
        <v>9.15</v>
      </c>
      <c r="AC279" s="13" t="s">
        <v>40</v>
      </c>
      <c r="AD279" s="13" t="s">
        <v>34</v>
      </c>
      <c r="AE279" s="13" t="s">
        <v>34</v>
      </c>
      <c r="AF279" s="13" t="s">
        <v>172</v>
      </c>
      <c r="AG279" s="13">
        <v>2012</v>
      </c>
      <c r="AH279" s="13" t="s">
        <v>173</v>
      </c>
      <c r="AI279" s="99">
        <f t="shared" si="8"/>
        <v>0.24250256556552949</v>
      </c>
    </row>
    <row r="280" spans="1:35" s="10" customFormat="1" x14ac:dyDescent="0.3">
      <c r="A280" s="11">
        <v>2.4275362318840568</v>
      </c>
      <c r="B280" s="45">
        <v>1E-4</v>
      </c>
      <c r="C280" s="13" t="s">
        <v>33</v>
      </c>
      <c r="D280" s="13" t="s">
        <v>169</v>
      </c>
      <c r="E280" s="13" t="s">
        <v>170</v>
      </c>
      <c r="F280" s="13" t="s">
        <v>34</v>
      </c>
      <c r="G280" s="13">
        <v>0.21</v>
      </c>
      <c r="H280" s="13" t="s">
        <v>34</v>
      </c>
      <c r="I280" s="13" t="s">
        <v>34</v>
      </c>
      <c r="J280" s="13" t="s">
        <v>34</v>
      </c>
      <c r="K280" s="13" t="s">
        <v>34</v>
      </c>
      <c r="L280" s="13">
        <v>0</v>
      </c>
      <c r="M280" s="13">
        <v>50</v>
      </c>
      <c r="N280" s="13">
        <v>1476.9578718927885</v>
      </c>
      <c r="O280" s="13" t="s">
        <v>34</v>
      </c>
      <c r="P280" s="13" t="s">
        <v>34</v>
      </c>
      <c r="Q280" s="13">
        <v>0</v>
      </c>
      <c r="R280" s="13">
        <v>2.64</v>
      </c>
      <c r="S280" s="13">
        <v>4.4000000000000007E-4</v>
      </c>
      <c r="T280" s="13" t="s">
        <v>49</v>
      </c>
      <c r="U280" s="13" t="s">
        <v>50</v>
      </c>
      <c r="V280" s="13" t="s">
        <v>38</v>
      </c>
      <c r="W280" s="13" t="s">
        <v>43</v>
      </c>
      <c r="X280" s="13" t="s">
        <v>43</v>
      </c>
      <c r="Y280" s="13">
        <v>4</v>
      </c>
      <c r="Z280" s="13" t="s">
        <v>171</v>
      </c>
      <c r="AA280" s="12" t="s">
        <v>43</v>
      </c>
      <c r="AB280" s="13">
        <v>9.15</v>
      </c>
      <c r="AC280" s="13" t="s">
        <v>40</v>
      </c>
      <c r="AD280" s="13" t="s">
        <v>34</v>
      </c>
      <c r="AE280" s="13" t="s">
        <v>34</v>
      </c>
      <c r="AF280" s="13" t="s">
        <v>172</v>
      </c>
      <c r="AG280" s="13">
        <v>2012</v>
      </c>
      <c r="AH280" s="13" t="s">
        <v>173</v>
      </c>
      <c r="AI280" s="99">
        <f t="shared" si="8"/>
        <v>0.22727272727272724</v>
      </c>
    </row>
    <row r="281" spans="1:35" s="10" customFormat="1" x14ac:dyDescent="0.3">
      <c r="A281" s="11">
        <v>2.6242236024844701</v>
      </c>
      <c r="B281" s="45">
        <v>1.12279846664159E-4</v>
      </c>
      <c r="C281" s="13" t="s">
        <v>33</v>
      </c>
      <c r="D281" s="13" t="s">
        <v>169</v>
      </c>
      <c r="E281" s="13" t="s">
        <v>170</v>
      </c>
      <c r="F281" s="13" t="s">
        <v>34</v>
      </c>
      <c r="G281" s="13">
        <v>0.21</v>
      </c>
      <c r="H281" s="13" t="s">
        <v>34</v>
      </c>
      <c r="I281" s="13" t="s">
        <v>34</v>
      </c>
      <c r="J281" s="13" t="s">
        <v>34</v>
      </c>
      <c r="K281" s="13" t="s">
        <v>34</v>
      </c>
      <c r="L281" s="13">
        <v>0</v>
      </c>
      <c r="M281" s="13">
        <v>50</v>
      </c>
      <c r="N281" s="13">
        <v>1476.9578718927885</v>
      </c>
      <c r="O281" s="13" t="s">
        <v>34</v>
      </c>
      <c r="P281" s="13" t="s">
        <v>34</v>
      </c>
      <c r="Q281" s="13">
        <v>0</v>
      </c>
      <c r="R281" s="13">
        <v>2.64</v>
      </c>
      <c r="S281" s="13">
        <v>4.4000000000000007E-4</v>
      </c>
      <c r="T281" s="13" t="s">
        <v>49</v>
      </c>
      <c r="U281" s="13" t="s">
        <v>50</v>
      </c>
      <c r="V281" s="13" t="s">
        <v>38</v>
      </c>
      <c r="W281" s="13" t="s">
        <v>43</v>
      </c>
      <c r="X281" s="13" t="s">
        <v>43</v>
      </c>
      <c r="Y281" s="13">
        <v>5</v>
      </c>
      <c r="Z281" s="13" t="s">
        <v>171</v>
      </c>
      <c r="AA281" s="12" t="s">
        <v>43</v>
      </c>
      <c r="AB281" s="13">
        <v>9.15</v>
      </c>
      <c r="AC281" s="13" t="s">
        <v>40</v>
      </c>
      <c r="AD281" s="13" t="s">
        <v>34</v>
      </c>
      <c r="AE281" s="13" t="s">
        <v>34</v>
      </c>
      <c r="AF281" s="13" t="s">
        <v>172</v>
      </c>
      <c r="AG281" s="13">
        <v>2012</v>
      </c>
      <c r="AH281" s="13" t="s">
        <v>173</v>
      </c>
      <c r="AI281" s="99">
        <f t="shared" si="8"/>
        <v>0.25518146969127042</v>
      </c>
    </row>
    <row r="282" spans="1:35" s="10" customFormat="1" x14ac:dyDescent="0.3">
      <c r="A282" s="11">
        <v>5.7453416149068</v>
      </c>
      <c r="B282" s="45">
        <v>4.2242978012937E-5</v>
      </c>
      <c r="C282" s="13" t="s">
        <v>33</v>
      </c>
      <c r="D282" s="13" t="s">
        <v>169</v>
      </c>
      <c r="E282" s="13" t="s">
        <v>170</v>
      </c>
      <c r="F282" s="13" t="s">
        <v>34</v>
      </c>
      <c r="G282" s="13">
        <v>0.21</v>
      </c>
      <c r="H282" s="13" t="s">
        <v>34</v>
      </c>
      <c r="I282" s="13" t="s">
        <v>34</v>
      </c>
      <c r="J282" s="13" t="s">
        <v>34</v>
      </c>
      <c r="K282" s="13" t="s">
        <v>34</v>
      </c>
      <c r="L282" s="13">
        <v>0</v>
      </c>
      <c r="M282" s="13">
        <v>50</v>
      </c>
      <c r="N282" s="13">
        <v>1476.9578718927885</v>
      </c>
      <c r="O282" s="13" t="s">
        <v>34</v>
      </c>
      <c r="P282" s="13" t="s">
        <v>34</v>
      </c>
      <c r="Q282" s="13">
        <v>0</v>
      </c>
      <c r="R282" s="13">
        <v>2.64</v>
      </c>
      <c r="S282" s="13">
        <v>4.4000000000000007E-4</v>
      </c>
      <c r="T282" s="13" t="s">
        <v>49</v>
      </c>
      <c r="U282" s="13" t="s">
        <v>50</v>
      </c>
      <c r="V282" s="13" t="s">
        <v>38</v>
      </c>
      <c r="W282" s="13" t="s">
        <v>43</v>
      </c>
      <c r="X282" s="13" t="s">
        <v>43</v>
      </c>
      <c r="Y282" s="13">
        <v>6</v>
      </c>
      <c r="Z282" s="13" t="s">
        <v>171</v>
      </c>
      <c r="AA282" s="12" t="s">
        <v>43</v>
      </c>
      <c r="AB282" s="13">
        <v>9.15</v>
      </c>
      <c r="AC282" s="13" t="s">
        <v>40</v>
      </c>
      <c r="AD282" s="13" t="s">
        <v>34</v>
      </c>
      <c r="AE282" s="13" t="s">
        <v>34</v>
      </c>
      <c r="AF282" s="13" t="s">
        <v>172</v>
      </c>
      <c r="AG282" s="13">
        <v>2012</v>
      </c>
      <c r="AH282" s="13" t="s">
        <v>173</v>
      </c>
      <c r="AI282" s="99">
        <f t="shared" si="8"/>
        <v>9.6006768211220436E-2</v>
      </c>
    </row>
    <row r="283" spans="1:35" s="14" customFormat="1" ht="16.2" thickBot="1" x14ac:dyDescent="0.35">
      <c r="A283" s="17">
        <v>6.9720496894409667</v>
      </c>
      <c r="B283" s="38">
        <v>1.5529121263832E-5</v>
      </c>
      <c r="C283" s="14" t="s">
        <v>33</v>
      </c>
      <c r="D283" s="14" t="s">
        <v>169</v>
      </c>
      <c r="E283" s="14" t="s">
        <v>170</v>
      </c>
      <c r="F283" s="14" t="s">
        <v>34</v>
      </c>
      <c r="G283" s="14">
        <v>0.21</v>
      </c>
      <c r="H283" s="14" t="s">
        <v>34</v>
      </c>
      <c r="I283" s="14" t="s">
        <v>34</v>
      </c>
      <c r="J283" s="14" t="s">
        <v>34</v>
      </c>
      <c r="K283" s="14" t="s">
        <v>34</v>
      </c>
      <c r="L283" s="14">
        <v>0</v>
      </c>
      <c r="M283" s="14">
        <v>50</v>
      </c>
      <c r="N283" s="14">
        <v>1476.9578718927885</v>
      </c>
      <c r="O283" s="14" t="s">
        <v>34</v>
      </c>
      <c r="P283" s="14" t="s">
        <v>34</v>
      </c>
      <c r="Q283" s="14">
        <v>0</v>
      </c>
      <c r="R283" s="14">
        <v>2.64</v>
      </c>
      <c r="S283" s="14">
        <v>4.4000000000000007E-4</v>
      </c>
      <c r="T283" s="14" t="s">
        <v>49</v>
      </c>
      <c r="U283" s="14" t="s">
        <v>50</v>
      </c>
      <c r="V283" s="14" t="s">
        <v>38</v>
      </c>
      <c r="W283" s="14" t="s">
        <v>43</v>
      </c>
      <c r="X283" s="14" t="s">
        <v>43</v>
      </c>
      <c r="Y283" s="14">
        <v>7</v>
      </c>
      <c r="Z283" s="14" t="s">
        <v>171</v>
      </c>
      <c r="AA283" s="17" t="s">
        <v>43</v>
      </c>
      <c r="AB283" s="14">
        <v>9.15</v>
      </c>
      <c r="AC283" s="14" t="s">
        <v>40</v>
      </c>
      <c r="AD283" s="14" t="s">
        <v>34</v>
      </c>
      <c r="AE283" s="14" t="s">
        <v>34</v>
      </c>
      <c r="AF283" s="14" t="s">
        <v>172</v>
      </c>
      <c r="AG283" s="14">
        <v>2012</v>
      </c>
      <c r="AH283" s="14" t="s">
        <v>173</v>
      </c>
      <c r="AI283" s="99">
        <f t="shared" si="8"/>
        <v>3.5293457417799996E-2</v>
      </c>
    </row>
    <row r="284" spans="1:35" s="13" customFormat="1" x14ac:dyDescent="0.3">
      <c r="A284" s="12">
        <v>1.60742070616397</v>
      </c>
      <c r="B284" s="36">
        <v>9.8463596861995918E-4</v>
      </c>
      <c r="C284" s="13" t="s">
        <v>33</v>
      </c>
      <c r="D284" s="13" t="s">
        <v>35</v>
      </c>
      <c r="E284" s="13" t="s">
        <v>170</v>
      </c>
      <c r="F284" s="13">
        <v>0.61</v>
      </c>
      <c r="G284" s="13">
        <v>0.72</v>
      </c>
      <c r="H284" s="13">
        <v>0.67</v>
      </c>
      <c r="I284" s="13">
        <v>0.73</v>
      </c>
      <c r="J284" s="13">
        <v>1.21</v>
      </c>
      <c r="K284" s="13">
        <v>1.02</v>
      </c>
      <c r="L284" s="13">
        <v>0</v>
      </c>
      <c r="M284" s="13">
        <v>64.599999999999994</v>
      </c>
      <c r="N284" s="13" t="s">
        <v>34</v>
      </c>
      <c r="O284" s="13">
        <v>0.74</v>
      </c>
      <c r="P284" s="13">
        <v>0.51</v>
      </c>
      <c r="Q284" s="13" t="s">
        <v>34</v>
      </c>
      <c r="R284" s="13">
        <v>2.65</v>
      </c>
      <c r="S284" s="13">
        <v>1.01E-3</v>
      </c>
      <c r="T284" s="10" t="s">
        <v>256</v>
      </c>
      <c r="U284" s="13" t="s">
        <v>199</v>
      </c>
      <c r="V284" s="13" t="s">
        <v>162</v>
      </c>
      <c r="W284" s="13" t="s">
        <v>34</v>
      </c>
      <c r="X284" s="13">
        <v>0.3</v>
      </c>
      <c r="Y284" s="13">
        <v>1</v>
      </c>
      <c r="Z284" s="13" t="s">
        <v>200</v>
      </c>
      <c r="AA284" s="12">
        <v>0.3</v>
      </c>
      <c r="AB284" s="13" t="s">
        <v>34</v>
      </c>
      <c r="AC284" s="13" t="s">
        <v>40</v>
      </c>
      <c r="AD284" s="13" t="s">
        <v>34</v>
      </c>
      <c r="AE284" s="13" t="s">
        <v>34</v>
      </c>
      <c r="AF284" s="13" t="s">
        <v>201</v>
      </c>
      <c r="AG284" s="13">
        <v>2020</v>
      </c>
      <c r="AH284" s="13" t="s">
        <v>202</v>
      </c>
      <c r="AI284" s="99">
        <f t="shared" si="8"/>
        <v>0.97488709764352388</v>
      </c>
    </row>
    <row r="285" spans="1:35" s="10" customFormat="1" x14ac:dyDescent="0.3">
      <c r="A285" s="11">
        <v>1.6888090963494899</v>
      </c>
      <c r="B285" s="45">
        <v>7.6180598518227696E-4</v>
      </c>
      <c r="C285" s="13" t="s">
        <v>33</v>
      </c>
      <c r="D285" s="13" t="s">
        <v>35</v>
      </c>
      <c r="E285" s="13" t="s">
        <v>170</v>
      </c>
      <c r="F285" s="13">
        <v>0.61</v>
      </c>
      <c r="G285" s="13">
        <v>0.72</v>
      </c>
      <c r="H285" s="13">
        <v>0.67</v>
      </c>
      <c r="I285" s="13">
        <v>0.73</v>
      </c>
      <c r="J285" s="13">
        <v>1.21</v>
      </c>
      <c r="K285" s="13">
        <v>1.02</v>
      </c>
      <c r="L285" s="13">
        <v>0</v>
      </c>
      <c r="M285" s="13">
        <v>64.599999999999994</v>
      </c>
      <c r="N285" s="13" t="s">
        <v>34</v>
      </c>
      <c r="O285" s="13">
        <v>0.74</v>
      </c>
      <c r="P285" s="13">
        <v>0.51</v>
      </c>
      <c r="Q285" s="13" t="s">
        <v>34</v>
      </c>
      <c r="R285" s="13">
        <v>2.65</v>
      </c>
      <c r="S285" s="13">
        <v>1.01E-3</v>
      </c>
      <c r="T285" s="10" t="s">
        <v>256</v>
      </c>
      <c r="U285" s="13" t="s">
        <v>199</v>
      </c>
      <c r="V285" s="13" t="s">
        <v>162</v>
      </c>
      <c r="W285" s="13" t="s">
        <v>34</v>
      </c>
      <c r="X285" s="13">
        <v>0.3</v>
      </c>
      <c r="Y285" s="13">
        <v>1</v>
      </c>
      <c r="Z285" s="13" t="s">
        <v>200</v>
      </c>
      <c r="AA285" s="12">
        <v>0.3</v>
      </c>
      <c r="AB285" s="13" t="s">
        <v>34</v>
      </c>
      <c r="AC285" s="13" t="s">
        <v>40</v>
      </c>
      <c r="AD285" s="13" t="s">
        <v>34</v>
      </c>
      <c r="AE285" s="13" t="s">
        <v>34</v>
      </c>
      <c r="AF285" s="13" t="s">
        <v>201</v>
      </c>
      <c r="AG285" s="13">
        <v>2020</v>
      </c>
      <c r="AH285" s="13" t="s">
        <v>202</v>
      </c>
      <c r="AI285" s="99">
        <f t="shared" si="8"/>
        <v>0.75426335166562075</v>
      </c>
    </row>
    <row r="286" spans="1:35" s="10" customFormat="1" x14ac:dyDescent="0.3">
      <c r="A286" s="11">
        <v>1.9736684619988001</v>
      </c>
      <c r="B286" s="45">
        <v>7.0349699687991311E-4</v>
      </c>
      <c r="C286" s="13" t="s">
        <v>33</v>
      </c>
      <c r="D286" s="13" t="s">
        <v>35</v>
      </c>
      <c r="E286" s="13" t="s">
        <v>170</v>
      </c>
      <c r="F286" s="13">
        <v>0.61</v>
      </c>
      <c r="G286" s="13">
        <v>0.72</v>
      </c>
      <c r="H286" s="13">
        <v>0.67</v>
      </c>
      <c r="I286" s="13">
        <v>0.73</v>
      </c>
      <c r="J286" s="13">
        <v>1.21</v>
      </c>
      <c r="K286" s="13">
        <v>1.02</v>
      </c>
      <c r="L286" s="13">
        <v>0</v>
      </c>
      <c r="M286" s="13">
        <v>64.599999999999994</v>
      </c>
      <c r="N286" s="13" t="s">
        <v>34</v>
      </c>
      <c r="O286" s="13">
        <v>0.74</v>
      </c>
      <c r="P286" s="13">
        <v>0.51</v>
      </c>
      <c r="Q286" s="13" t="s">
        <v>34</v>
      </c>
      <c r="R286" s="13">
        <v>2.65</v>
      </c>
      <c r="S286" s="13">
        <v>1.01E-3</v>
      </c>
      <c r="T286" s="10" t="s">
        <v>256</v>
      </c>
      <c r="U286" s="13" t="s">
        <v>199</v>
      </c>
      <c r="V286" s="13" t="s">
        <v>162</v>
      </c>
      <c r="W286" s="13" t="s">
        <v>34</v>
      </c>
      <c r="X286" s="13">
        <v>0.3</v>
      </c>
      <c r="Y286" s="13">
        <v>1</v>
      </c>
      <c r="Z286" s="13" t="s">
        <v>200</v>
      </c>
      <c r="AA286" s="12">
        <v>0.3</v>
      </c>
      <c r="AB286" s="13" t="s">
        <v>34</v>
      </c>
      <c r="AC286" s="13" t="s">
        <v>40</v>
      </c>
      <c r="AD286" s="13" t="s">
        <v>34</v>
      </c>
      <c r="AE286" s="13" t="s">
        <v>34</v>
      </c>
      <c r="AF286" s="13" t="s">
        <v>201</v>
      </c>
      <c r="AG286" s="13">
        <v>2020</v>
      </c>
      <c r="AH286" s="13" t="s">
        <v>202</v>
      </c>
      <c r="AI286" s="99">
        <f t="shared" si="8"/>
        <v>0.69653168007912181</v>
      </c>
    </row>
    <row r="287" spans="1:35" s="10" customFormat="1" x14ac:dyDescent="0.3">
      <c r="A287" s="11">
        <v>2.6146020347097498</v>
      </c>
      <c r="B287" s="45">
        <v>6.3263430447231496E-4</v>
      </c>
      <c r="C287" s="13" t="s">
        <v>33</v>
      </c>
      <c r="D287" s="13" t="s">
        <v>35</v>
      </c>
      <c r="E287" s="13" t="s">
        <v>170</v>
      </c>
      <c r="F287" s="13">
        <v>0.61</v>
      </c>
      <c r="G287" s="13">
        <v>0.72</v>
      </c>
      <c r="H287" s="13">
        <v>0.67</v>
      </c>
      <c r="I287" s="13">
        <v>0.73</v>
      </c>
      <c r="J287" s="13">
        <v>1.21</v>
      </c>
      <c r="K287" s="13">
        <v>1.02</v>
      </c>
      <c r="L287" s="13">
        <v>0</v>
      </c>
      <c r="M287" s="13">
        <v>64.599999999999994</v>
      </c>
      <c r="N287" s="13" t="s">
        <v>34</v>
      </c>
      <c r="O287" s="13">
        <v>0.74</v>
      </c>
      <c r="P287" s="13">
        <v>0.51</v>
      </c>
      <c r="Q287" s="13" t="s">
        <v>34</v>
      </c>
      <c r="R287" s="13">
        <v>2.65</v>
      </c>
      <c r="S287" s="13">
        <v>1.01E-3</v>
      </c>
      <c r="T287" s="10" t="s">
        <v>256</v>
      </c>
      <c r="U287" s="13" t="s">
        <v>199</v>
      </c>
      <c r="V287" s="13" t="s">
        <v>162</v>
      </c>
      <c r="W287" s="13" t="s">
        <v>34</v>
      </c>
      <c r="X287" s="13">
        <v>0.3</v>
      </c>
      <c r="Y287" s="13">
        <v>1</v>
      </c>
      <c r="Z287" s="13" t="s">
        <v>200</v>
      </c>
      <c r="AA287" s="12">
        <v>0.3</v>
      </c>
      <c r="AB287" s="13" t="s">
        <v>34</v>
      </c>
      <c r="AC287" s="13" t="s">
        <v>40</v>
      </c>
      <c r="AD287" s="13" t="s">
        <v>34</v>
      </c>
      <c r="AE287" s="13" t="s">
        <v>34</v>
      </c>
      <c r="AF287" s="13" t="s">
        <v>201</v>
      </c>
      <c r="AG287" s="13">
        <v>2020</v>
      </c>
      <c r="AH287" s="13" t="s">
        <v>202</v>
      </c>
      <c r="AI287" s="99">
        <f t="shared" si="8"/>
        <v>0.62637059848744048</v>
      </c>
    </row>
    <row r="288" spans="1:35" s="10" customFormat="1" x14ac:dyDescent="0.3">
      <c r="A288" s="11">
        <v>5.5242369838420098</v>
      </c>
      <c r="B288" s="45">
        <v>4.7664390528404706E-4</v>
      </c>
      <c r="C288" s="13" t="s">
        <v>33</v>
      </c>
      <c r="D288" s="13" t="s">
        <v>35</v>
      </c>
      <c r="E288" s="13" t="s">
        <v>170</v>
      </c>
      <c r="F288" s="13">
        <v>0.61</v>
      </c>
      <c r="G288" s="13">
        <v>0.72</v>
      </c>
      <c r="H288" s="13">
        <v>0.67</v>
      </c>
      <c r="I288" s="13">
        <v>0.73</v>
      </c>
      <c r="J288" s="13">
        <v>1.21</v>
      </c>
      <c r="K288" s="13">
        <v>1.02</v>
      </c>
      <c r="L288" s="13">
        <v>0</v>
      </c>
      <c r="M288" s="13">
        <v>64.599999999999994</v>
      </c>
      <c r="N288" s="13" t="s">
        <v>34</v>
      </c>
      <c r="O288" s="13">
        <v>0.74</v>
      </c>
      <c r="P288" s="13">
        <v>0.51</v>
      </c>
      <c r="Q288" s="13" t="s">
        <v>34</v>
      </c>
      <c r="R288" s="13">
        <v>2.65</v>
      </c>
      <c r="S288" s="13">
        <v>1.01E-3</v>
      </c>
      <c r="T288" s="10" t="s">
        <v>256</v>
      </c>
      <c r="U288" s="13" t="s">
        <v>199</v>
      </c>
      <c r="V288" s="13" t="s">
        <v>162</v>
      </c>
      <c r="W288" s="13" t="s">
        <v>34</v>
      </c>
      <c r="X288" s="13">
        <v>0.3</v>
      </c>
      <c r="Y288" s="13">
        <v>1</v>
      </c>
      <c r="Z288" s="13" t="s">
        <v>200</v>
      </c>
      <c r="AA288" s="12">
        <v>0.3</v>
      </c>
      <c r="AB288" s="13" t="s">
        <v>34</v>
      </c>
      <c r="AC288" s="13" t="s">
        <v>40</v>
      </c>
      <c r="AD288" s="13" t="s">
        <v>34</v>
      </c>
      <c r="AE288" s="13" t="s">
        <v>34</v>
      </c>
      <c r="AF288" s="13" t="s">
        <v>201</v>
      </c>
      <c r="AG288" s="13">
        <v>2020</v>
      </c>
      <c r="AH288" s="13" t="s">
        <v>202</v>
      </c>
      <c r="AI288" s="99">
        <f t="shared" si="8"/>
        <v>0.47192465869707628</v>
      </c>
    </row>
    <row r="289" spans="1:35" s="10" customFormat="1" x14ac:dyDescent="0.3">
      <c r="A289" s="11">
        <v>2.1364452423698301</v>
      </c>
      <c r="B289" s="45">
        <v>2.4547632119258301E-4</v>
      </c>
      <c r="C289" s="13" t="s">
        <v>33</v>
      </c>
      <c r="D289" s="13" t="s">
        <v>35</v>
      </c>
      <c r="E289" s="13" t="s">
        <v>170</v>
      </c>
      <c r="F289" s="13">
        <v>0.61</v>
      </c>
      <c r="G289" s="13">
        <v>0.72</v>
      </c>
      <c r="H289" s="13">
        <v>0.67</v>
      </c>
      <c r="I289" s="13">
        <v>0.73</v>
      </c>
      <c r="J289" s="13">
        <v>1.21</v>
      </c>
      <c r="K289" s="13">
        <v>1.02</v>
      </c>
      <c r="L289" s="13">
        <v>0</v>
      </c>
      <c r="M289" s="13">
        <v>64.599999999999994</v>
      </c>
      <c r="N289" s="13" t="s">
        <v>34</v>
      </c>
      <c r="O289" s="13">
        <v>0.74</v>
      </c>
      <c r="P289" s="13">
        <v>0.51</v>
      </c>
      <c r="Q289" s="13" t="s">
        <v>34</v>
      </c>
      <c r="R289" s="13">
        <v>2.65</v>
      </c>
      <c r="S289" s="13">
        <v>1.01E-3</v>
      </c>
      <c r="T289" s="10" t="s">
        <v>256</v>
      </c>
      <c r="U289" s="13" t="s">
        <v>199</v>
      </c>
      <c r="V289" s="13" t="s">
        <v>162</v>
      </c>
      <c r="W289" s="13" t="s">
        <v>34</v>
      </c>
      <c r="X289" s="13">
        <v>0.3</v>
      </c>
      <c r="Y289" s="13">
        <v>1</v>
      </c>
      <c r="Z289" s="13" t="s">
        <v>200</v>
      </c>
      <c r="AA289" s="12">
        <v>0.3</v>
      </c>
      <c r="AB289" s="13" t="s">
        <v>34</v>
      </c>
      <c r="AC289" s="13" t="s">
        <v>40</v>
      </c>
      <c r="AD289" s="13" t="s">
        <v>34</v>
      </c>
      <c r="AE289" s="13" t="s">
        <v>34</v>
      </c>
      <c r="AF289" s="13" t="s">
        <v>201</v>
      </c>
      <c r="AG289" s="13">
        <v>2020</v>
      </c>
      <c r="AH289" s="13" t="s">
        <v>202</v>
      </c>
      <c r="AI289" s="99">
        <f t="shared" si="8"/>
        <v>0.24304586256691385</v>
      </c>
    </row>
    <row r="290" spans="1:35" s="10" customFormat="1" x14ac:dyDescent="0.3">
      <c r="A290" s="11">
        <v>2.8180730101735398</v>
      </c>
      <c r="B290" s="45">
        <v>6.6860267156398898E-5</v>
      </c>
      <c r="C290" s="13" t="s">
        <v>33</v>
      </c>
      <c r="D290" s="13" t="s">
        <v>35</v>
      </c>
      <c r="E290" s="13" t="s">
        <v>170</v>
      </c>
      <c r="F290" s="13">
        <v>0.61</v>
      </c>
      <c r="G290" s="13">
        <v>0.72</v>
      </c>
      <c r="H290" s="13">
        <v>0.67</v>
      </c>
      <c r="I290" s="13">
        <v>0.73</v>
      </c>
      <c r="J290" s="13">
        <v>1.21</v>
      </c>
      <c r="K290" s="13">
        <v>1.02</v>
      </c>
      <c r="L290" s="13">
        <v>0</v>
      </c>
      <c r="M290" s="13">
        <v>64.599999999999994</v>
      </c>
      <c r="N290" s="13" t="s">
        <v>34</v>
      </c>
      <c r="O290" s="13">
        <v>0.74</v>
      </c>
      <c r="P290" s="13">
        <v>0.51</v>
      </c>
      <c r="Q290" s="13" t="s">
        <v>34</v>
      </c>
      <c r="R290" s="13">
        <v>2.65</v>
      </c>
      <c r="S290" s="13">
        <v>1.01E-3</v>
      </c>
      <c r="T290" s="10" t="s">
        <v>256</v>
      </c>
      <c r="U290" s="13" t="s">
        <v>199</v>
      </c>
      <c r="V290" s="13" t="s">
        <v>162</v>
      </c>
      <c r="W290" s="13" t="s">
        <v>34</v>
      </c>
      <c r="X290" s="13">
        <v>0.3</v>
      </c>
      <c r="Y290" s="13">
        <v>1</v>
      </c>
      <c r="Z290" s="13" t="s">
        <v>200</v>
      </c>
      <c r="AA290" s="12">
        <v>0.3</v>
      </c>
      <c r="AB290" s="13" t="s">
        <v>34</v>
      </c>
      <c r="AC290" s="13" t="s">
        <v>40</v>
      </c>
      <c r="AD290" s="13" t="s">
        <v>34</v>
      </c>
      <c r="AE290" s="13" t="s">
        <v>34</v>
      </c>
      <c r="AF290" s="13" t="s">
        <v>201</v>
      </c>
      <c r="AG290" s="13">
        <v>2020</v>
      </c>
      <c r="AH290" s="13" t="s">
        <v>202</v>
      </c>
      <c r="AI290" s="99">
        <f t="shared" si="8"/>
        <v>6.6198284313266229E-2</v>
      </c>
    </row>
    <row r="291" spans="1:35" s="10" customFormat="1" x14ac:dyDescent="0.3">
      <c r="A291" s="11">
        <v>4.2118491921005301</v>
      </c>
      <c r="B291" s="45">
        <v>8.4153473419691801E-5</v>
      </c>
      <c r="C291" s="13" t="s">
        <v>33</v>
      </c>
      <c r="D291" s="13" t="s">
        <v>35</v>
      </c>
      <c r="E291" s="13" t="s">
        <v>170</v>
      </c>
      <c r="F291" s="13">
        <v>0.61</v>
      </c>
      <c r="G291" s="13">
        <v>0.72</v>
      </c>
      <c r="H291" s="13">
        <v>0.67</v>
      </c>
      <c r="I291" s="13">
        <v>0.73</v>
      </c>
      <c r="J291" s="13">
        <v>1.21</v>
      </c>
      <c r="K291" s="13">
        <v>1.02</v>
      </c>
      <c r="L291" s="13">
        <v>0</v>
      </c>
      <c r="M291" s="13">
        <v>64.599999999999994</v>
      </c>
      <c r="N291" s="13" t="s">
        <v>34</v>
      </c>
      <c r="O291" s="13">
        <v>0.74</v>
      </c>
      <c r="P291" s="13">
        <v>0.51</v>
      </c>
      <c r="Q291" s="13" t="s">
        <v>34</v>
      </c>
      <c r="R291" s="13">
        <v>2.65</v>
      </c>
      <c r="S291" s="13">
        <v>1.01E-3</v>
      </c>
      <c r="T291" s="10" t="s">
        <v>256</v>
      </c>
      <c r="U291" s="13" t="s">
        <v>199</v>
      </c>
      <c r="V291" s="13" t="s">
        <v>162</v>
      </c>
      <c r="W291" s="13" t="s">
        <v>34</v>
      </c>
      <c r="X291" s="13">
        <v>0.3</v>
      </c>
      <c r="Y291" s="13">
        <v>1</v>
      </c>
      <c r="Z291" s="13" t="s">
        <v>200</v>
      </c>
      <c r="AA291" s="12">
        <v>0.3</v>
      </c>
      <c r="AB291" s="13" t="s">
        <v>34</v>
      </c>
      <c r="AC291" s="13" t="s">
        <v>40</v>
      </c>
      <c r="AD291" s="13" t="s">
        <v>34</v>
      </c>
      <c r="AE291" s="13" t="s">
        <v>34</v>
      </c>
      <c r="AF291" s="13" t="s">
        <v>201</v>
      </c>
      <c r="AG291" s="13">
        <v>2020</v>
      </c>
      <c r="AH291" s="13" t="s">
        <v>202</v>
      </c>
      <c r="AI291" s="99">
        <f t="shared" si="8"/>
        <v>8.3320270712566133E-2</v>
      </c>
    </row>
    <row r="292" spans="1:35" s="10" customFormat="1" x14ac:dyDescent="0.3">
      <c r="A292" s="11">
        <v>5.3818073010173499</v>
      </c>
      <c r="B292" s="45">
        <v>6.8053901151096893E-5</v>
      </c>
      <c r="C292" s="13" t="s">
        <v>33</v>
      </c>
      <c r="D292" s="13" t="s">
        <v>35</v>
      </c>
      <c r="E292" s="13" t="s">
        <v>170</v>
      </c>
      <c r="F292" s="13">
        <v>0.61</v>
      </c>
      <c r="G292" s="13">
        <v>0.72</v>
      </c>
      <c r="H292" s="13">
        <v>0.67</v>
      </c>
      <c r="I292" s="13">
        <v>0.73</v>
      </c>
      <c r="J292" s="13">
        <v>1.21</v>
      </c>
      <c r="K292" s="13">
        <v>1.02</v>
      </c>
      <c r="L292" s="13">
        <v>0</v>
      </c>
      <c r="M292" s="13">
        <v>64.599999999999994</v>
      </c>
      <c r="N292" s="13" t="s">
        <v>34</v>
      </c>
      <c r="O292" s="13">
        <v>0.74</v>
      </c>
      <c r="P292" s="13">
        <v>0.51</v>
      </c>
      <c r="Q292" s="13" t="s">
        <v>34</v>
      </c>
      <c r="R292" s="13">
        <v>2.65</v>
      </c>
      <c r="S292" s="13">
        <v>1.01E-3</v>
      </c>
      <c r="T292" s="10" t="s">
        <v>256</v>
      </c>
      <c r="U292" s="13" t="s">
        <v>199</v>
      </c>
      <c r="V292" s="13" t="s">
        <v>162</v>
      </c>
      <c r="W292" s="13" t="s">
        <v>34</v>
      </c>
      <c r="X292" s="13">
        <v>0.3</v>
      </c>
      <c r="Y292" s="13">
        <v>1</v>
      </c>
      <c r="Z292" s="13" t="s">
        <v>200</v>
      </c>
      <c r="AA292" s="12">
        <v>0.3</v>
      </c>
      <c r="AB292" s="13" t="s">
        <v>34</v>
      </c>
      <c r="AC292" s="13" t="s">
        <v>40</v>
      </c>
      <c r="AD292" s="13" t="s">
        <v>34</v>
      </c>
      <c r="AE292" s="13" t="s">
        <v>34</v>
      </c>
      <c r="AF292" s="13" t="s">
        <v>201</v>
      </c>
      <c r="AG292" s="13">
        <v>2020</v>
      </c>
      <c r="AH292" s="13" t="s">
        <v>202</v>
      </c>
      <c r="AI292" s="99">
        <f t="shared" si="8"/>
        <v>6.7380100149600886E-2</v>
      </c>
    </row>
    <row r="293" spans="1:35" s="10" customFormat="1" x14ac:dyDescent="0.3">
      <c r="A293" s="11">
        <v>5.9718731298623497</v>
      </c>
      <c r="B293" s="45">
        <v>9.5250326832191693E-5</v>
      </c>
      <c r="C293" s="13" t="s">
        <v>33</v>
      </c>
      <c r="D293" s="13" t="s">
        <v>35</v>
      </c>
      <c r="E293" s="13" t="s">
        <v>170</v>
      </c>
      <c r="F293" s="13">
        <v>0.61</v>
      </c>
      <c r="G293" s="13">
        <v>0.72</v>
      </c>
      <c r="H293" s="13">
        <v>0.67</v>
      </c>
      <c r="I293" s="13">
        <v>0.73</v>
      </c>
      <c r="J293" s="13">
        <v>1.21</v>
      </c>
      <c r="K293" s="13">
        <v>1.02</v>
      </c>
      <c r="L293" s="13">
        <v>0</v>
      </c>
      <c r="M293" s="13">
        <v>64.599999999999994</v>
      </c>
      <c r="N293" s="13" t="s">
        <v>34</v>
      </c>
      <c r="O293" s="13">
        <v>0.74</v>
      </c>
      <c r="P293" s="13">
        <v>0.51</v>
      </c>
      <c r="Q293" s="13" t="s">
        <v>34</v>
      </c>
      <c r="R293" s="13">
        <v>2.65</v>
      </c>
      <c r="S293" s="13">
        <v>1.01E-3</v>
      </c>
      <c r="T293" s="10" t="s">
        <v>256</v>
      </c>
      <c r="U293" s="13" t="s">
        <v>199</v>
      </c>
      <c r="V293" s="13" t="s">
        <v>162</v>
      </c>
      <c r="W293" s="13" t="s">
        <v>34</v>
      </c>
      <c r="X293" s="13">
        <v>0.3</v>
      </c>
      <c r="Y293" s="13">
        <v>1</v>
      </c>
      <c r="Z293" s="13" t="s">
        <v>200</v>
      </c>
      <c r="AA293" s="12">
        <v>0.3</v>
      </c>
      <c r="AB293" s="13" t="s">
        <v>34</v>
      </c>
      <c r="AC293" s="13" t="s">
        <v>40</v>
      </c>
      <c r="AD293" s="13" t="s">
        <v>34</v>
      </c>
      <c r="AE293" s="13" t="s">
        <v>34</v>
      </c>
      <c r="AF293" s="13" t="s">
        <v>201</v>
      </c>
      <c r="AG293" s="13">
        <v>2020</v>
      </c>
      <c r="AH293" s="13" t="s">
        <v>202</v>
      </c>
      <c r="AI293" s="99">
        <f t="shared" si="8"/>
        <v>9.4307254289298703E-2</v>
      </c>
    </row>
    <row r="294" spans="1:35" s="10" customFormat="1" x14ac:dyDescent="0.3">
      <c r="A294" s="11">
        <v>7.8946738479952101</v>
      </c>
      <c r="B294" s="45">
        <v>6.2291449116631204E-5</v>
      </c>
      <c r="C294" s="13" t="s">
        <v>33</v>
      </c>
      <c r="D294" s="13" t="s">
        <v>35</v>
      </c>
      <c r="E294" s="13" t="s">
        <v>170</v>
      </c>
      <c r="F294" s="13">
        <v>0.61</v>
      </c>
      <c r="G294" s="13">
        <v>0.72</v>
      </c>
      <c r="H294" s="13">
        <v>0.67</v>
      </c>
      <c r="I294" s="13">
        <v>0.73</v>
      </c>
      <c r="J294" s="13">
        <v>1.21</v>
      </c>
      <c r="K294" s="13">
        <v>1.02</v>
      </c>
      <c r="L294" s="13">
        <v>0</v>
      </c>
      <c r="M294" s="13">
        <v>64.599999999999994</v>
      </c>
      <c r="N294" s="13" t="s">
        <v>34</v>
      </c>
      <c r="O294" s="13">
        <v>0.74</v>
      </c>
      <c r="P294" s="13">
        <v>0.51</v>
      </c>
      <c r="Q294" s="13" t="s">
        <v>34</v>
      </c>
      <c r="R294" s="13">
        <v>2.65</v>
      </c>
      <c r="S294" s="13">
        <v>1.01E-3</v>
      </c>
      <c r="T294" s="10" t="s">
        <v>256</v>
      </c>
      <c r="U294" s="13" t="s">
        <v>199</v>
      </c>
      <c r="V294" s="13" t="s">
        <v>162</v>
      </c>
      <c r="W294" s="13" t="s">
        <v>34</v>
      </c>
      <c r="X294" s="13">
        <v>0.3</v>
      </c>
      <c r="Y294" s="13">
        <v>1</v>
      </c>
      <c r="Z294" s="13" t="s">
        <v>200</v>
      </c>
      <c r="AA294" s="12">
        <v>0.3</v>
      </c>
      <c r="AB294" s="13" t="s">
        <v>34</v>
      </c>
      <c r="AC294" s="13" t="s">
        <v>40</v>
      </c>
      <c r="AD294" s="13" t="s">
        <v>34</v>
      </c>
      <c r="AE294" s="13" t="s">
        <v>34</v>
      </c>
      <c r="AF294" s="13" t="s">
        <v>201</v>
      </c>
      <c r="AG294" s="13">
        <v>2020</v>
      </c>
      <c r="AH294" s="13" t="s">
        <v>202</v>
      </c>
      <c r="AI294" s="99">
        <f t="shared" si="8"/>
        <v>6.1674702095674459E-2</v>
      </c>
    </row>
    <row r="295" spans="1:35" s="10" customFormat="1" x14ac:dyDescent="0.3">
      <c r="A295" s="11">
        <v>8.0777977259126192</v>
      </c>
      <c r="B295" s="45">
        <v>5.26528289278033E-5</v>
      </c>
      <c r="C295" s="13" t="s">
        <v>33</v>
      </c>
      <c r="D295" s="13" t="s">
        <v>35</v>
      </c>
      <c r="E295" s="13" t="s">
        <v>170</v>
      </c>
      <c r="F295" s="13">
        <v>0.61</v>
      </c>
      <c r="G295" s="13">
        <v>0.72</v>
      </c>
      <c r="H295" s="13">
        <v>0.67</v>
      </c>
      <c r="I295" s="13">
        <v>0.73</v>
      </c>
      <c r="J295" s="13">
        <v>1.21</v>
      </c>
      <c r="K295" s="13">
        <v>1.02</v>
      </c>
      <c r="L295" s="13">
        <v>0</v>
      </c>
      <c r="M295" s="13">
        <v>64.599999999999994</v>
      </c>
      <c r="N295" s="13" t="s">
        <v>34</v>
      </c>
      <c r="O295" s="13">
        <v>0.74</v>
      </c>
      <c r="P295" s="13">
        <v>0.51</v>
      </c>
      <c r="Q295" s="13" t="s">
        <v>34</v>
      </c>
      <c r="R295" s="13">
        <v>2.65</v>
      </c>
      <c r="S295" s="13">
        <v>1.01E-3</v>
      </c>
      <c r="T295" s="10" t="s">
        <v>256</v>
      </c>
      <c r="U295" s="13" t="s">
        <v>199</v>
      </c>
      <c r="V295" s="13" t="s">
        <v>162</v>
      </c>
      <c r="W295" s="13" t="s">
        <v>34</v>
      </c>
      <c r="X295" s="13">
        <v>0.3</v>
      </c>
      <c r="Y295" s="13">
        <v>1</v>
      </c>
      <c r="Z295" s="13" t="s">
        <v>200</v>
      </c>
      <c r="AA295" s="12">
        <v>0.3</v>
      </c>
      <c r="AB295" s="13" t="s">
        <v>34</v>
      </c>
      <c r="AC295" s="13" t="s">
        <v>40</v>
      </c>
      <c r="AD295" s="13" t="s">
        <v>34</v>
      </c>
      <c r="AE295" s="13" t="s">
        <v>34</v>
      </c>
      <c r="AF295" s="13" t="s">
        <v>201</v>
      </c>
      <c r="AG295" s="13">
        <v>2020</v>
      </c>
      <c r="AH295" s="13" t="s">
        <v>202</v>
      </c>
      <c r="AI295" s="99">
        <f t="shared" si="8"/>
        <v>5.2131513789904257E-2</v>
      </c>
    </row>
    <row r="296" spans="1:35" s="10" customFormat="1" x14ac:dyDescent="0.3">
      <c r="A296" s="11">
        <v>3.03171753441053</v>
      </c>
      <c r="B296" s="45">
        <v>6.7903539264474206E-4</v>
      </c>
      <c r="C296" s="13" t="s">
        <v>33</v>
      </c>
      <c r="D296" s="13" t="s">
        <v>35</v>
      </c>
      <c r="E296" s="13" t="s">
        <v>170</v>
      </c>
      <c r="F296" s="13">
        <v>0.61</v>
      </c>
      <c r="G296" s="13">
        <v>0.72</v>
      </c>
      <c r="H296" s="13">
        <v>0.67</v>
      </c>
      <c r="I296" s="13">
        <v>0.73</v>
      </c>
      <c r="J296" s="13">
        <v>1.21</v>
      </c>
      <c r="K296" s="13">
        <v>1.02</v>
      </c>
      <c r="L296" s="13">
        <v>0</v>
      </c>
      <c r="M296" s="13">
        <v>64.599999999999994</v>
      </c>
      <c r="N296" s="13" t="s">
        <v>34</v>
      </c>
      <c r="O296" s="13">
        <v>0.74</v>
      </c>
      <c r="P296" s="13">
        <v>0.51</v>
      </c>
      <c r="Q296" s="13" t="s">
        <v>34</v>
      </c>
      <c r="R296" s="13">
        <v>2.65</v>
      </c>
      <c r="S296" s="13">
        <v>1.01E-3</v>
      </c>
      <c r="T296" s="10" t="s">
        <v>36</v>
      </c>
      <c r="U296" s="13" t="s">
        <v>37</v>
      </c>
      <c r="V296" s="13" t="s">
        <v>162</v>
      </c>
      <c r="W296" s="13" t="s">
        <v>34</v>
      </c>
      <c r="X296" s="13">
        <v>0.3</v>
      </c>
      <c r="Y296" s="13">
        <v>1</v>
      </c>
      <c r="Z296" s="13" t="s">
        <v>200</v>
      </c>
      <c r="AA296" s="12">
        <v>0.3</v>
      </c>
      <c r="AB296" s="13" t="s">
        <v>34</v>
      </c>
      <c r="AC296" s="13" t="s">
        <v>40</v>
      </c>
      <c r="AD296" s="13" t="s">
        <v>34</v>
      </c>
      <c r="AE296" s="13" t="s">
        <v>34</v>
      </c>
      <c r="AF296" s="13" t="s">
        <v>201</v>
      </c>
      <c r="AG296" s="13">
        <v>2020</v>
      </c>
      <c r="AH296" s="13" t="s">
        <v>202</v>
      </c>
      <c r="AI296" s="99">
        <f t="shared" si="8"/>
        <v>0.67231226994528914</v>
      </c>
    </row>
    <row r="297" spans="1:35" s="10" customFormat="1" x14ac:dyDescent="0.3">
      <c r="A297" s="11">
        <v>3.4793536804308798</v>
      </c>
      <c r="B297" s="45">
        <v>4.44073002330382E-4</v>
      </c>
      <c r="C297" s="13" t="s">
        <v>33</v>
      </c>
      <c r="D297" s="13" t="s">
        <v>35</v>
      </c>
      <c r="E297" s="13" t="s">
        <v>170</v>
      </c>
      <c r="F297" s="13">
        <v>0.61</v>
      </c>
      <c r="G297" s="13">
        <v>0.72</v>
      </c>
      <c r="H297" s="13">
        <v>0.67</v>
      </c>
      <c r="I297" s="13">
        <v>0.73</v>
      </c>
      <c r="J297" s="13">
        <v>1.21</v>
      </c>
      <c r="K297" s="13">
        <v>1.02</v>
      </c>
      <c r="L297" s="13">
        <v>0</v>
      </c>
      <c r="M297" s="13">
        <v>64.599999999999994</v>
      </c>
      <c r="N297" s="13" t="s">
        <v>34</v>
      </c>
      <c r="O297" s="13">
        <v>0.74</v>
      </c>
      <c r="P297" s="13">
        <v>0.51</v>
      </c>
      <c r="Q297" s="13" t="s">
        <v>34</v>
      </c>
      <c r="R297" s="13">
        <v>2.65</v>
      </c>
      <c r="S297" s="13">
        <v>1.01E-3</v>
      </c>
      <c r="T297" s="10" t="s">
        <v>36</v>
      </c>
      <c r="U297" s="13" t="s">
        <v>37</v>
      </c>
      <c r="V297" s="13" t="s">
        <v>162</v>
      </c>
      <c r="W297" s="13" t="s">
        <v>34</v>
      </c>
      <c r="X297" s="13">
        <v>0.3</v>
      </c>
      <c r="Y297" s="13">
        <v>1</v>
      </c>
      <c r="Z297" s="13" t="s">
        <v>200</v>
      </c>
      <c r="AA297" s="12">
        <v>0.3</v>
      </c>
      <c r="AB297" s="13" t="s">
        <v>34</v>
      </c>
      <c r="AC297" s="13" t="s">
        <v>40</v>
      </c>
      <c r="AD297" s="13" t="s">
        <v>34</v>
      </c>
      <c r="AE297" s="13" t="s">
        <v>34</v>
      </c>
      <c r="AF297" s="13" t="s">
        <v>201</v>
      </c>
      <c r="AG297" s="13">
        <v>2020</v>
      </c>
      <c r="AH297" s="13" t="s">
        <v>202</v>
      </c>
      <c r="AI297" s="99">
        <f t="shared" si="8"/>
        <v>0.43967623993107124</v>
      </c>
    </row>
    <row r="298" spans="1:35" s="10" customFormat="1" x14ac:dyDescent="0.3">
      <c r="A298" s="11">
        <v>4.13046080191502</v>
      </c>
      <c r="B298" s="45">
        <v>5.9992641250073396E-4</v>
      </c>
      <c r="C298" s="13" t="s">
        <v>33</v>
      </c>
      <c r="D298" s="13" t="s">
        <v>35</v>
      </c>
      <c r="E298" s="13" t="s">
        <v>170</v>
      </c>
      <c r="F298" s="13">
        <v>0.61</v>
      </c>
      <c r="G298" s="13">
        <v>0.72</v>
      </c>
      <c r="H298" s="13">
        <v>0.67</v>
      </c>
      <c r="I298" s="13">
        <v>0.73</v>
      </c>
      <c r="J298" s="13">
        <v>1.21</v>
      </c>
      <c r="K298" s="13">
        <v>1.02</v>
      </c>
      <c r="L298" s="13">
        <v>0</v>
      </c>
      <c r="M298" s="13">
        <v>64.599999999999994</v>
      </c>
      <c r="N298" s="13" t="s">
        <v>34</v>
      </c>
      <c r="O298" s="13">
        <v>0.74</v>
      </c>
      <c r="P298" s="13">
        <v>0.51</v>
      </c>
      <c r="Q298" s="13" t="s">
        <v>34</v>
      </c>
      <c r="R298" s="13">
        <v>2.65</v>
      </c>
      <c r="S298" s="13">
        <v>1.01E-3</v>
      </c>
      <c r="T298" s="10" t="s">
        <v>36</v>
      </c>
      <c r="U298" s="13" t="s">
        <v>37</v>
      </c>
      <c r="V298" s="13" t="s">
        <v>162</v>
      </c>
      <c r="W298" s="13" t="s">
        <v>34</v>
      </c>
      <c r="X298" s="13">
        <v>0.3</v>
      </c>
      <c r="Y298" s="13">
        <v>1</v>
      </c>
      <c r="Z298" s="13" t="s">
        <v>200</v>
      </c>
      <c r="AA298" s="12">
        <v>0.3</v>
      </c>
      <c r="AB298" s="13" t="s">
        <v>34</v>
      </c>
      <c r="AC298" s="13" t="s">
        <v>40</v>
      </c>
      <c r="AD298" s="13" t="s">
        <v>34</v>
      </c>
      <c r="AE298" s="13" t="s">
        <v>34</v>
      </c>
      <c r="AF298" s="13" t="s">
        <v>201</v>
      </c>
      <c r="AG298" s="13">
        <v>2020</v>
      </c>
      <c r="AH298" s="13" t="s">
        <v>202</v>
      </c>
      <c r="AI298" s="99">
        <f t="shared" si="8"/>
        <v>0.59398654703042963</v>
      </c>
    </row>
    <row r="299" spans="1:35" s="10" customFormat="1" x14ac:dyDescent="0.3">
      <c r="A299" s="11">
        <v>5.1071214841412296</v>
      </c>
      <c r="B299" s="45">
        <v>1.8010407328673402E-4</v>
      </c>
      <c r="C299" s="13" t="s">
        <v>33</v>
      </c>
      <c r="D299" s="13" t="s">
        <v>35</v>
      </c>
      <c r="E299" s="13" t="s">
        <v>170</v>
      </c>
      <c r="F299" s="13">
        <v>0.61</v>
      </c>
      <c r="G299" s="13">
        <v>0.72</v>
      </c>
      <c r="H299" s="13">
        <v>0.67</v>
      </c>
      <c r="I299" s="13">
        <v>0.73</v>
      </c>
      <c r="J299" s="13">
        <v>1.21</v>
      </c>
      <c r="K299" s="13">
        <v>1.02</v>
      </c>
      <c r="L299" s="13">
        <v>0</v>
      </c>
      <c r="M299" s="13">
        <v>64.599999999999994</v>
      </c>
      <c r="N299" s="13" t="s">
        <v>34</v>
      </c>
      <c r="O299" s="13">
        <v>0.74</v>
      </c>
      <c r="P299" s="13">
        <v>0.51</v>
      </c>
      <c r="Q299" s="13" t="s">
        <v>34</v>
      </c>
      <c r="R299" s="13">
        <v>2.65</v>
      </c>
      <c r="S299" s="13">
        <v>1.01E-3</v>
      </c>
      <c r="T299" s="10" t="s">
        <v>36</v>
      </c>
      <c r="U299" s="13" t="s">
        <v>37</v>
      </c>
      <c r="V299" s="13" t="s">
        <v>162</v>
      </c>
      <c r="W299" s="13" t="s">
        <v>34</v>
      </c>
      <c r="X299" s="13">
        <v>0.3</v>
      </c>
      <c r="Y299" s="13">
        <v>1</v>
      </c>
      <c r="Z299" s="13" t="s">
        <v>200</v>
      </c>
      <c r="AA299" s="12">
        <v>0.3</v>
      </c>
      <c r="AB299" s="13" t="s">
        <v>34</v>
      </c>
      <c r="AC299" s="13" t="s">
        <v>40</v>
      </c>
      <c r="AD299" s="13" t="s">
        <v>34</v>
      </c>
      <c r="AE299" s="13" t="s">
        <v>34</v>
      </c>
      <c r="AF299" s="13" t="s">
        <v>201</v>
      </c>
      <c r="AG299" s="13">
        <v>2020</v>
      </c>
      <c r="AH299" s="13" t="s">
        <v>202</v>
      </c>
      <c r="AI299" s="99">
        <f t="shared" si="8"/>
        <v>0.1783208646403307</v>
      </c>
    </row>
    <row r="300" spans="1:35" s="10" customFormat="1" x14ac:dyDescent="0.3">
      <c r="A300" s="11">
        <v>5.8803111909036403</v>
      </c>
      <c r="B300" s="45">
        <v>9.35796800920357E-5</v>
      </c>
      <c r="C300" s="13" t="s">
        <v>33</v>
      </c>
      <c r="D300" s="13" t="s">
        <v>35</v>
      </c>
      <c r="E300" s="13" t="s">
        <v>170</v>
      </c>
      <c r="F300" s="13">
        <v>0.61</v>
      </c>
      <c r="G300" s="13">
        <v>0.72</v>
      </c>
      <c r="H300" s="13">
        <v>0.67</v>
      </c>
      <c r="I300" s="13">
        <v>0.73</v>
      </c>
      <c r="J300" s="13">
        <v>1.21</v>
      </c>
      <c r="K300" s="13">
        <v>1.02</v>
      </c>
      <c r="L300" s="13">
        <v>0</v>
      </c>
      <c r="M300" s="13">
        <v>64.599999999999994</v>
      </c>
      <c r="N300" s="13" t="s">
        <v>34</v>
      </c>
      <c r="O300" s="13">
        <v>0.74</v>
      </c>
      <c r="P300" s="13">
        <v>0.51</v>
      </c>
      <c r="Q300" s="13" t="s">
        <v>34</v>
      </c>
      <c r="R300" s="13">
        <v>2.65</v>
      </c>
      <c r="S300" s="13">
        <v>1.01E-3</v>
      </c>
      <c r="T300" s="10" t="s">
        <v>36</v>
      </c>
      <c r="U300" s="13" t="s">
        <v>37</v>
      </c>
      <c r="V300" s="13" t="s">
        <v>162</v>
      </c>
      <c r="W300" s="13" t="s">
        <v>34</v>
      </c>
      <c r="X300" s="13">
        <v>0.3</v>
      </c>
      <c r="Y300" s="13">
        <v>1</v>
      </c>
      <c r="Z300" s="13" t="s">
        <v>200</v>
      </c>
      <c r="AA300" s="12">
        <v>0.3</v>
      </c>
      <c r="AB300" s="13" t="s">
        <v>34</v>
      </c>
      <c r="AC300" s="13" t="s">
        <v>40</v>
      </c>
      <c r="AD300" s="13" t="s">
        <v>34</v>
      </c>
      <c r="AE300" s="13" t="s">
        <v>34</v>
      </c>
      <c r="AF300" s="13" t="s">
        <v>201</v>
      </c>
      <c r="AG300" s="13">
        <v>2020</v>
      </c>
      <c r="AH300" s="13" t="s">
        <v>202</v>
      </c>
      <c r="AI300" s="99">
        <f t="shared" si="8"/>
        <v>9.2653148605975941E-2</v>
      </c>
    </row>
    <row r="301" spans="1:35" s="10" customFormat="1" x14ac:dyDescent="0.3">
      <c r="A301" s="11">
        <v>6.1244763614602</v>
      </c>
      <c r="B301" s="45">
        <v>5.5034370818965597E-5</v>
      </c>
      <c r="C301" s="13" t="s">
        <v>33</v>
      </c>
      <c r="D301" s="13" t="s">
        <v>35</v>
      </c>
      <c r="E301" s="13" t="s">
        <v>170</v>
      </c>
      <c r="F301" s="13">
        <v>0.61</v>
      </c>
      <c r="G301" s="13">
        <v>0.72</v>
      </c>
      <c r="H301" s="13">
        <v>0.67</v>
      </c>
      <c r="I301" s="13">
        <v>0.73</v>
      </c>
      <c r="J301" s="13">
        <v>1.21</v>
      </c>
      <c r="K301" s="13">
        <v>1.02</v>
      </c>
      <c r="L301" s="13">
        <v>0</v>
      </c>
      <c r="M301" s="13">
        <v>64.599999999999994</v>
      </c>
      <c r="N301" s="13" t="s">
        <v>34</v>
      </c>
      <c r="O301" s="13">
        <v>0.74</v>
      </c>
      <c r="P301" s="13">
        <v>0.51</v>
      </c>
      <c r="Q301" s="13" t="s">
        <v>34</v>
      </c>
      <c r="R301" s="13">
        <v>2.65</v>
      </c>
      <c r="S301" s="13">
        <v>1.01E-3</v>
      </c>
      <c r="T301" s="10" t="s">
        <v>36</v>
      </c>
      <c r="U301" s="13" t="s">
        <v>37</v>
      </c>
      <c r="V301" s="13" t="s">
        <v>162</v>
      </c>
      <c r="W301" s="13" t="s">
        <v>34</v>
      </c>
      <c r="X301" s="13">
        <v>0.3</v>
      </c>
      <c r="Y301" s="13">
        <v>1</v>
      </c>
      <c r="Z301" s="13" t="s">
        <v>200</v>
      </c>
      <c r="AA301" s="12">
        <v>0.3</v>
      </c>
      <c r="AB301" s="13" t="s">
        <v>34</v>
      </c>
      <c r="AC301" s="13" t="s">
        <v>40</v>
      </c>
      <c r="AD301" s="13" t="s">
        <v>34</v>
      </c>
      <c r="AE301" s="13" t="s">
        <v>34</v>
      </c>
      <c r="AF301" s="13" t="s">
        <v>201</v>
      </c>
      <c r="AG301" s="13">
        <v>2020</v>
      </c>
      <c r="AH301" s="13" t="s">
        <v>202</v>
      </c>
      <c r="AI301" s="99">
        <f t="shared" si="8"/>
        <v>5.4489476058381774E-2</v>
      </c>
    </row>
    <row r="302" spans="1:35" s="10" customFormat="1" x14ac:dyDescent="0.3">
      <c r="A302" s="11">
        <v>9.3596648713345303</v>
      </c>
      <c r="B302" s="45">
        <v>3.6959266448031902E-5</v>
      </c>
      <c r="C302" s="13" t="s">
        <v>33</v>
      </c>
      <c r="D302" s="13" t="s">
        <v>35</v>
      </c>
      <c r="E302" s="13" t="s">
        <v>170</v>
      </c>
      <c r="F302" s="13">
        <v>0.61</v>
      </c>
      <c r="G302" s="13">
        <v>0.72</v>
      </c>
      <c r="H302" s="13">
        <v>0.67</v>
      </c>
      <c r="I302" s="13">
        <v>0.73</v>
      </c>
      <c r="J302" s="13">
        <v>1.21</v>
      </c>
      <c r="K302" s="13">
        <v>1.02</v>
      </c>
      <c r="L302" s="13">
        <v>0</v>
      </c>
      <c r="M302" s="13">
        <v>64.599999999999994</v>
      </c>
      <c r="N302" s="13" t="s">
        <v>34</v>
      </c>
      <c r="O302" s="13">
        <v>0.74</v>
      </c>
      <c r="P302" s="13">
        <v>0.51</v>
      </c>
      <c r="Q302" s="13" t="s">
        <v>34</v>
      </c>
      <c r="R302" s="13">
        <v>2.65</v>
      </c>
      <c r="S302" s="13">
        <v>1.01E-3</v>
      </c>
      <c r="T302" s="10" t="s">
        <v>36</v>
      </c>
      <c r="U302" s="13" t="s">
        <v>37</v>
      </c>
      <c r="V302" s="13" t="s">
        <v>162</v>
      </c>
      <c r="W302" s="13" t="s">
        <v>34</v>
      </c>
      <c r="X302" s="13">
        <v>0.3</v>
      </c>
      <c r="Y302" s="13">
        <v>1</v>
      </c>
      <c r="Z302" s="13" t="s">
        <v>200</v>
      </c>
      <c r="AA302" s="12">
        <v>0.3</v>
      </c>
      <c r="AB302" s="13" t="s">
        <v>34</v>
      </c>
      <c r="AC302" s="13" t="s">
        <v>40</v>
      </c>
      <c r="AD302" s="13" t="s">
        <v>34</v>
      </c>
      <c r="AE302" s="13" t="s">
        <v>34</v>
      </c>
      <c r="AF302" s="13" t="s">
        <v>201</v>
      </c>
      <c r="AG302" s="13">
        <v>2020</v>
      </c>
      <c r="AH302" s="13" t="s">
        <v>202</v>
      </c>
      <c r="AI302" s="99">
        <f t="shared" si="8"/>
        <v>3.6593333116863268E-2</v>
      </c>
    </row>
    <row r="303" spans="1:35" s="10" customFormat="1" x14ac:dyDescent="0.3">
      <c r="A303" s="11">
        <v>10.9060442848593</v>
      </c>
      <c r="B303" s="45">
        <v>6.298418414434E-6</v>
      </c>
      <c r="C303" s="13" t="s">
        <v>33</v>
      </c>
      <c r="D303" s="13" t="s">
        <v>35</v>
      </c>
      <c r="E303" s="13" t="s">
        <v>170</v>
      </c>
      <c r="F303" s="13">
        <v>0.61</v>
      </c>
      <c r="G303" s="13">
        <v>0.72</v>
      </c>
      <c r="H303" s="13">
        <v>0.67</v>
      </c>
      <c r="I303" s="13">
        <v>0.73</v>
      </c>
      <c r="J303" s="13">
        <v>1.21</v>
      </c>
      <c r="K303" s="13">
        <v>1.02</v>
      </c>
      <c r="L303" s="13">
        <v>0</v>
      </c>
      <c r="M303" s="13">
        <v>64.599999999999994</v>
      </c>
      <c r="N303" s="13" t="s">
        <v>34</v>
      </c>
      <c r="O303" s="13">
        <v>0.74</v>
      </c>
      <c r="P303" s="13">
        <v>0.51</v>
      </c>
      <c r="Q303" s="13" t="s">
        <v>34</v>
      </c>
      <c r="R303" s="13">
        <v>2.65</v>
      </c>
      <c r="S303" s="13">
        <v>1.01E-3</v>
      </c>
      <c r="T303" s="10" t="s">
        <v>36</v>
      </c>
      <c r="U303" s="13" t="s">
        <v>37</v>
      </c>
      <c r="V303" s="13" t="s">
        <v>162</v>
      </c>
      <c r="W303" s="13" t="s">
        <v>34</v>
      </c>
      <c r="X303" s="13">
        <v>0.3</v>
      </c>
      <c r="Y303" s="13">
        <v>1</v>
      </c>
      <c r="Z303" s="13" t="s">
        <v>200</v>
      </c>
      <c r="AA303" s="12">
        <v>0.3</v>
      </c>
      <c r="AB303" s="13" t="s">
        <v>34</v>
      </c>
      <c r="AC303" s="13" t="s">
        <v>40</v>
      </c>
      <c r="AD303" s="13" t="s">
        <v>34</v>
      </c>
      <c r="AE303" s="13" t="s">
        <v>34</v>
      </c>
      <c r="AF303" s="13" t="s">
        <v>201</v>
      </c>
      <c r="AG303" s="13">
        <v>2020</v>
      </c>
      <c r="AH303" s="13" t="s">
        <v>202</v>
      </c>
      <c r="AI303" s="99">
        <f t="shared" si="8"/>
        <v>6.2360578360732668E-3</v>
      </c>
    </row>
    <row r="304" spans="1:35" s="10" customFormat="1" x14ac:dyDescent="0.3">
      <c r="A304" s="11">
        <v>11.5673249551166</v>
      </c>
      <c r="B304" s="45">
        <v>8.9728389971489598E-6</v>
      </c>
      <c r="C304" s="13" t="s">
        <v>33</v>
      </c>
      <c r="D304" s="13" t="s">
        <v>35</v>
      </c>
      <c r="E304" s="13" t="s">
        <v>170</v>
      </c>
      <c r="F304" s="13">
        <v>0.61</v>
      </c>
      <c r="G304" s="13">
        <v>0.72</v>
      </c>
      <c r="H304" s="13">
        <v>0.67</v>
      </c>
      <c r="I304" s="13">
        <v>0.73</v>
      </c>
      <c r="J304" s="13">
        <v>1.21</v>
      </c>
      <c r="K304" s="13">
        <v>1.02</v>
      </c>
      <c r="L304" s="13">
        <v>0</v>
      </c>
      <c r="M304" s="13">
        <v>64.599999999999994</v>
      </c>
      <c r="N304" s="13" t="s">
        <v>34</v>
      </c>
      <c r="O304" s="13">
        <v>0.74</v>
      </c>
      <c r="P304" s="13">
        <v>0.51</v>
      </c>
      <c r="Q304" s="13" t="s">
        <v>34</v>
      </c>
      <c r="R304" s="13">
        <v>2.65</v>
      </c>
      <c r="S304" s="13">
        <v>1.01E-3</v>
      </c>
      <c r="T304" s="10" t="s">
        <v>36</v>
      </c>
      <c r="U304" s="13" t="s">
        <v>37</v>
      </c>
      <c r="V304" s="13" t="s">
        <v>162</v>
      </c>
      <c r="W304" s="13" t="s">
        <v>34</v>
      </c>
      <c r="X304" s="13">
        <v>0.3</v>
      </c>
      <c r="Y304" s="13">
        <v>1</v>
      </c>
      <c r="Z304" s="13" t="s">
        <v>200</v>
      </c>
      <c r="AA304" s="12">
        <v>0.3</v>
      </c>
      <c r="AB304" s="13" t="s">
        <v>34</v>
      </c>
      <c r="AC304" s="13" t="s">
        <v>40</v>
      </c>
      <c r="AD304" s="13" t="s">
        <v>34</v>
      </c>
      <c r="AE304" s="13" t="s">
        <v>34</v>
      </c>
      <c r="AF304" s="13" t="s">
        <v>201</v>
      </c>
      <c r="AG304" s="13">
        <v>2020</v>
      </c>
      <c r="AH304" s="13" t="s">
        <v>202</v>
      </c>
      <c r="AI304" s="99">
        <f t="shared" si="8"/>
        <v>8.8839990070781784E-3</v>
      </c>
    </row>
    <row r="305" spans="1:35" s="10" customFormat="1" x14ac:dyDescent="0.3">
      <c r="A305" s="11">
        <v>12.849192100538501</v>
      </c>
      <c r="B305" s="45">
        <v>2.8093581496421399E-5</v>
      </c>
      <c r="C305" s="13" t="s">
        <v>33</v>
      </c>
      <c r="D305" s="13" t="s">
        <v>35</v>
      </c>
      <c r="E305" s="13" t="s">
        <v>170</v>
      </c>
      <c r="F305" s="13">
        <v>0.61</v>
      </c>
      <c r="G305" s="13">
        <v>0.72</v>
      </c>
      <c r="H305" s="13">
        <v>0.67</v>
      </c>
      <c r="I305" s="13">
        <v>0.73</v>
      </c>
      <c r="J305" s="13">
        <v>1.21</v>
      </c>
      <c r="K305" s="13">
        <v>1.02</v>
      </c>
      <c r="L305" s="13">
        <v>0</v>
      </c>
      <c r="M305" s="13">
        <v>64.599999999999994</v>
      </c>
      <c r="N305" s="13" t="s">
        <v>34</v>
      </c>
      <c r="O305" s="13">
        <v>0.74</v>
      </c>
      <c r="P305" s="13">
        <v>0.51</v>
      </c>
      <c r="Q305" s="13" t="s">
        <v>34</v>
      </c>
      <c r="R305" s="13">
        <v>2.65</v>
      </c>
      <c r="S305" s="13">
        <v>1.01E-3</v>
      </c>
      <c r="T305" s="10" t="s">
        <v>36</v>
      </c>
      <c r="U305" s="13" t="s">
        <v>37</v>
      </c>
      <c r="V305" s="13" t="s">
        <v>162</v>
      </c>
      <c r="W305" s="13" t="s">
        <v>34</v>
      </c>
      <c r="X305" s="13">
        <v>0.3</v>
      </c>
      <c r="Y305" s="13">
        <v>1</v>
      </c>
      <c r="Z305" s="13" t="s">
        <v>200</v>
      </c>
      <c r="AA305" s="12">
        <v>0.3</v>
      </c>
      <c r="AB305" s="13" t="s">
        <v>34</v>
      </c>
      <c r="AC305" s="13" t="s">
        <v>40</v>
      </c>
      <c r="AD305" s="13" t="s">
        <v>34</v>
      </c>
      <c r="AE305" s="13" t="s">
        <v>34</v>
      </c>
      <c r="AF305" s="13" t="s">
        <v>201</v>
      </c>
      <c r="AG305" s="13">
        <v>2020</v>
      </c>
      <c r="AH305" s="13" t="s">
        <v>202</v>
      </c>
      <c r="AI305" s="99">
        <f t="shared" si="8"/>
        <v>2.7815427224179602E-2</v>
      </c>
    </row>
    <row r="306" spans="1:35" s="10" customFormat="1" x14ac:dyDescent="0.3">
      <c r="A306" s="11">
        <v>13.2866546977857</v>
      </c>
      <c r="B306" s="45">
        <v>1.5564062234046101E-6</v>
      </c>
      <c r="C306" s="13" t="s">
        <v>33</v>
      </c>
      <c r="D306" s="13" t="s">
        <v>35</v>
      </c>
      <c r="E306" s="13" t="s">
        <v>170</v>
      </c>
      <c r="F306" s="13">
        <v>0.61</v>
      </c>
      <c r="G306" s="13">
        <v>0.72</v>
      </c>
      <c r="H306" s="13">
        <v>0.67</v>
      </c>
      <c r="I306" s="13">
        <v>0.73</v>
      </c>
      <c r="J306" s="13">
        <v>1.21</v>
      </c>
      <c r="K306" s="13">
        <v>1.02</v>
      </c>
      <c r="L306" s="13">
        <v>0</v>
      </c>
      <c r="M306" s="13">
        <v>64.599999999999994</v>
      </c>
      <c r="N306" s="13" t="s">
        <v>34</v>
      </c>
      <c r="O306" s="13">
        <v>0.74</v>
      </c>
      <c r="P306" s="13">
        <v>0.51</v>
      </c>
      <c r="Q306" s="13" t="s">
        <v>34</v>
      </c>
      <c r="R306" s="13">
        <v>2.65</v>
      </c>
      <c r="S306" s="13">
        <v>1.01E-3</v>
      </c>
      <c r="T306" s="10" t="s">
        <v>36</v>
      </c>
      <c r="U306" s="13" t="s">
        <v>37</v>
      </c>
      <c r="V306" s="13" t="s">
        <v>162</v>
      </c>
      <c r="W306" s="13" t="s">
        <v>34</v>
      </c>
      <c r="X306" s="13">
        <v>0.3</v>
      </c>
      <c r="Y306" s="13">
        <v>1</v>
      </c>
      <c r="Z306" s="13" t="s">
        <v>200</v>
      </c>
      <c r="AA306" s="12">
        <v>0.3</v>
      </c>
      <c r="AB306" s="13" t="s">
        <v>34</v>
      </c>
      <c r="AC306" s="13" t="s">
        <v>40</v>
      </c>
      <c r="AD306" s="13" t="s">
        <v>34</v>
      </c>
      <c r="AE306" s="13" t="s">
        <v>34</v>
      </c>
      <c r="AF306" s="13" t="s">
        <v>201</v>
      </c>
      <c r="AG306" s="13">
        <v>2020</v>
      </c>
      <c r="AH306" s="13" t="s">
        <v>202</v>
      </c>
      <c r="AI306" s="99">
        <f t="shared" si="8"/>
        <v>1.5409962607966436E-3</v>
      </c>
    </row>
    <row r="307" spans="1:35" s="10" customFormat="1" x14ac:dyDescent="0.3">
      <c r="A307" s="11">
        <v>15.585876720526599</v>
      </c>
      <c r="B307" s="45">
        <v>3.4509946367061101E-6</v>
      </c>
      <c r="C307" s="13" t="s">
        <v>33</v>
      </c>
      <c r="D307" s="13" t="s">
        <v>35</v>
      </c>
      <c r="E307" s="13" t="s">
        <v>170</v>
      </c>
      <c r="F307" s="13">
        <v>0.61</v>
      </c>
      <c r="G307" s="13">
        <v>0.72</v>
      </c>
      <c r="H307" s="13">
        <v>0.67</v>
      </c>
      <c r="I307" s="13">
        <v>0.73</v>
      </c>
      <c r="J307" s="13">
        <v>1.21</v>
      </c>
      <c r="K307" s="13">
        <v>1.02</v>
      </c>
      <c r="L307" s="13">
        <v>0</v>
      </c>
      <c r="M307" s="13">
        <v>64.599999999999994</v>
      </c>
      <c r="N307" s="13" t="s">
        <v>34</v>
      </c>
      <c r="O307" s="13">
        <v>0.74</v>
      </c>
      <c r="P307" s="13">
        <v>0.51</v>
      </c>
      <c r="Q307" s="13" t="s">
        <v>34</v>
      </c>
      <c r="R307" s="13">
        <v>2.65</v>
      </c>
      <c r="S307" s="13">
        <v>1.01E-3</v>
      </c>
      <c r="T307" s="10" t="s">
        <v>36</v>
      </c>
      <c r="U307" s="13" t="s">
        <v>37</v>
      </c>
      <c r="V307" s="13" t="s">
        <v>162</v>
      </c>
      <c r="W307" s="13" t="s">
        <v>34</v>
      </c>
      <c r="X307" s="13">
        <v>0.3</v>
      </c>
      <c r="Y307" s="13">
        <v>1</v>
      </c>
      <c r="Z307" s="13" t="s">
        <v>200</v>
      </c>
      <c r="AA307" s="12">
        <v>0.3</v>
      </c>
      <c r="AB307" s="13" t="s">
        <v>34</v>
      </c>
      <c r="AC307" s="13" t="s">
        <v>40</v>
      </c>
      <c r="AD307" s="13" t="s">
        <v>34</v>
      </c>
      <c r="AE307" s="13" t="s">
        <v>34</v>
      </c>
      <c r="AF307" s="13" t="s">
        <v>201</v>
      </c>
      <c r="AG307" s="13">
        <v>2020</v>
      </c>
      <c r="AH307" s="13" t="s">
        <v>202</v>
      </c>
      <c r="AI307" s="99">
        <f t="shared" si="8"/>
        <v>3.4168263729763464E-3</v>
      </c>
    </row>
    <row r="308" spans="1:35" s="10" customFormat="1" x14ac:dyDescent="0.3">
      <c r="A308" s="11">
        <v>1.82215384615384</v>
      </c>
      <c r="B308" s="45">
        <v>1.0390854147655299E-4</v>
      </c>
      <c r="C308" s="13" t="s">
        <v>33</v>
      </c>
      <c r="D308" s="13" t="s">
        <v>35</v>
      </c>
      <c r="E308" s="13" t="s">
        <v>170</v>
      </c>
      <c r="F308" s="13">
        <v>0.26</v>
      </c>
      <c r="G308" s="13">
        <v>0.36</v>
      </c>
      <c r="H308" s="13">
        <v>0.314</v>
      </c>
      <c r="I308" s="13">
        <v>0.39</v>
      </c>
      <c r="J308" s="13">
        <v>1.46</v>
      </c>
      <c r="K308" s="13">
        <v>0.97</v>
      </c>
      <c r="L308" s="13">
        <v>0</v>
      </c>
      <c r="M308" s="13">
        <v>64.400000000000006</v>
      </c>
      <c r="N308" s="13" t="s">
        <v>34</v>
      </c>
      <c r="O308" s="13">
        <v>0.87</v>
      </c>
      <c r="P308" s="13">
        <v>0.55000000000000004</v>
      </c>
      <c r="Q308" s="13" t="s">
        <v>34</v>
      </c>
      <c r="R308" s="13">
        <v>2.65</v>
      </c>
      <c r="S308" s="13">
        <v>3.2000000000000003E-4</v>
      </c>
      <c r="T308" s="10" t="s">
        <v>256</v>
      </c>
      <c r="U308" s="13" t="s">
        <v>199</v>
      </c>
      <c r="V308" s="13" t="s">
        <v>162</v>
      </c>
      <c r="W308" s="13" t="s">
        <v>34</v>
      </c>
      <c r="X308" s="13">
        <v>0.3</v>
      </c>
      <c r="Y308" s="13">
        <v>1</v>
      </c>
      <c r="Z308" s="13" t="s">
        <v>200</v>
      </c>
      <c r="AA308" s="12">
        <v>0.3</v>
      </c>
      <c r="AB308" s="13" t="s">
        <v>34</v>
      </c>
      <c r="AC308" s="13" t="s">
        <v>40</v>
      </c>
      <c r="AD308" s="13" t="s">
        <v>34</v>
      </c>
      <c r="AE308" s="13" t="s">
        <v>34</v>
      </c>
      <c r="AF308" s="13" t="s">
        <v>201</v>
      </c>
      <c r="AG308" s="13">
        <v>2020</v>
      </c>
      <c r="AH308" s="13" t="s">
        <v>202</v>
      </c>
      <c r="AI308" s="99">
        <f t="shared" si="8"/>
        <v>0.32471419211422808</v>
      </c>
    </row>
    <row r="309" spans="1:35" s="10" customFormat="1" x14ac:dyDescent="0.3">
      <c r="A309" s="11">
        <v>2.2400000000000002</v>
      </c>
      <c r="B309" s="45">
        <v>8.8378367665168506E-5</v>
      </c>
      <c r="C309" s="13" t="s">
        <v>33</v>
      </c>
      <c r="D309" s="13" t="s">
        <v>35</v>
      </c>
      <c r="E309" s="13" t="s">
        <v>170</v>
      </c>
      <c r="F309" s="13">
        <v>0.26</v>
      </c>
      <c r="G309" s="13">
        <v>0.36</v>
      </c>
      <c r="H309" s="13">
        <v>0.314</v>
      </c>
      <c r="I309" s="13">
        <v>0.39</v>
      </c>
      <c r="J309" s="13">
        <v>1.46</v>
      </c>
      <c r="K309" s="13">
        <v>0.97</v>
      </c>
      <c r="L309" s="13">
        <v>0</v>
      </c>
      <c r="M309" s="13">
        <v>64.400000000000006</v>
      </c>
      <c r="N309" s="13" t="s">
        <v>34</v>
      </c>
      <c r="O309" s="13">
        <v>0.87</v>
      </c>
      <c r="P309" s="13">
        <v>0.55000000000000004</v>
      </c>
      <c r="Q309" s="13" t="s">
        <v>34</v>
      </c>
      <c r="R309" s="13">
        <v>2.65</v>
      </c>
      <c r="S309" s="13">
        <v>3.2000000000000003E-4</v>
      </c>
      <c r="T309" s="10" t="s">
        <v>256</v>
      </c>
      <c r="U309" s="13" t="s">
        <v>199</v>
      </c>
      <c r="V309" s="13" t="s">
        <v>162</v>
      </c>
      <c r="W309" s="13" t="s">
        <v>34</v>
      </c>
      <c r="X309" s="13">
        <v>0.3</v>
      </c>
      <c r="Y309" s="13">
        <v>1</v>
      </c>
      <c r="Z309" s="13" t="s">
        <v>200</v>
      </c>
      <c r="AA309" s="12">
        <v>0.3</v>
      </c>
      <c r="AB309" s="13" t="s">
        <v>34</v>
      </c>
      <c r="AC309" s="13" t="s">
        <v>40</v>
      </c>
      <c r="AD309" s="13" t="s">
        <v>34</v>
      </c>
      <c r="AE309" s="13" t="s">
        <v>34</v>
      </c>
      <c r="AF309" s="13" t="s">
        <v>201</v>
      </c>
      <c r="AG309" s="13">
        <v>2020</v>
      </c>
      <c r="AH309" s="13" t="s">
        <v>202</v>
      </c>
      <c r="AI309" s="99">
        <f t="shared" si="8"/>
        <v>0.27618239895365154</v>
      </c>
    </row>
    <row r="310" spans="1:35" s="10" customFormat="1" x14ac:dyDescent="0.3">
      <c r="A310" s="11">
        <v>2.2873846153846098</v>
      </c>
      <c r="B310" s="45">
        <v>7.3272307817820196E-5</v>
      </c>
      <c r="C310" s="13" t="s">
        <v>33</v>
      </c>
      <c r="D310" s="13" t="s">
        <v>35</v>
      </c>
      <c r="E310" s="13" t="s">
        <v>170</v>
      </c>
      <c r="F310" s="13">
        <v>0.26</v>
      </c>
      <c r="G310" s="13">
        <v>0.36</v>
      </c>
      <c r="H310" s="13">
        <v>0.314</v>
      </c>
      <c r="I310" s="13">
        <v>0.39</v>
      </c>
      <c r="J310" s="13">
        <v>1.46</v>
      </c>
      <c r="K310" s="13">
        <v>0.97</v>
      </c>
      <c r="L310" s="13">
        <v>0</v>
      </c>
      <c r="M310" s="13">
        <v>64.400000000000006</v>
      </c>
      <c r="N310" s="13" t="s">
        <v>34</v>
      </c>
      <c r="O310" s="13">
        <v>0.87</v>
      </c>
      <c r="P310" s="13">
        <v>0.55000000000000004</v>
      </c>
      <c r="Q310" s="13" t="s">
        <v>34</v>
      </c>
      <c r="R310" s="13">
        <v>2.65</v>
      </c>
      <c r="S310" s="13">
        <v>3.2000000000000003E-4</v>
      </c>
      <c r="T310" s="10" t="s">
        <v>256</v>
      </c>
      <c r="U310" s="13" t="s">
        <v>199</v>
      </c>
      <c r="V310" s="13" t="s">
        <v>162</v>
      </c>
      <c r="W310" s="13" t="s">
        <v>34</v>
      </c>
      <c r="X310" s="13">
        <v>0.3</v>
      </c>
      <c r="Y310" s="13">
        <v>1</v>
      </c>
      <c r="Z310" s="13" t="s">
        <v>200</v>
      </c>
      <c r="AA310" s="12">
        <v>0.3</v>
      </c>
      <c r="AB310" s="13" t="s">
        <v>34</v>
      </c>
      <c r="AC310" s="13" t="s">
        <v>40</v>
      </c>
      <c r="AD310" s="13" t="s">
        <v>34</v>
      </c>
      <c r="AE310" s="13" t="s">
        <v>34</v>
      </c>
      <c r="AF310" s="13" t="s">
        <v>201</v>
      </c>
      <c r="AG310" s="13">
        <v>2020</v>
      </c>
      <c r="AH310" s="13" t="s">
        <v>202</v>
      </c>
      <c r="AI310" s="99">
        <f t="shared" si="8"/>
        <v>0.22897596193068809</v>
      </c>
    </row>
    <row r="311" spans="1:35" s="10" customFormat="1" x14ac:dyDescent="0.3">
      <c r="A311" s="11">
        <v>2.42523076923076</v>
      </c>
      <c r="B311" s="45">
        <v>2.5420283430346901E-4</v>
      </c>
      <c r="C311" s="13" t="s">
        <v>33</v>
      </c>
      <c r="D311" s="13" t="s">
        <v>35</v>
      </c>
      <c r="E311" s="13" t="s">
        <v>170</v>
      </c>
      <c r="F311" s="13">
        <v>0.26</v>
      </c>
      <c r="G311" s="13">
        <v>0.36</v>
      </c>
      <c r="H311" s="13">
        <v>0.314</v>
      </c>
      <c r="I311" s="13">
        <v>0.39</v>
      </c>
      <c r="J311" s="13">
        <v>1.46</v>
      </c>
      <c r="K311" s="13">
        <v>0.97</v>
      </c>
      <c r="L311" s="13">
        <v>0</v>
      </c>
      <c r="M311" s="13">
        <v>64.400000000000006</v>
      </c>
      <c r="N311" s="13" t="s">
        <v>34</v>
      </c>
      <c r="O311" s="13">
        <v>0.87</v>
      </c>
      <c r="P311" s="13">
        <v>0.55000000000000004</v>
      </c>
      <c r="Q311" s="13" t="s">
        <v>34</v>
      </c>
      <c r="R311" s="13">
        <v>2.65</v>
      </c>
      <c r="S311" s="13">
        <v>3.2000000000000003E-4</v>
      </c>
      <c r="T311" s="10" t="s">
        <v>256</v>
      </c>
      <c r="U311" s="13" t="s">
        <v>199</v>
      </c>
      <c r="V311" s="13" t="s">
        <v>162</v>
      </c>
      <c r="W311" s="13" t="s">
        <v>34</v>
      </c>
      <c r="X311" s="13">
        <v>0.3</v>
      </c>
      <c r="Y311" s="13">
        <v>1</v>
      </c>
      <c r="Z311" s="13" t="s">
        <v>200</v>
      </c>
      <c r="AA311" s="12">
        <v>0.3</v>
      </c>
      <c r="AB311" s="13" t="s">
        <v>34</v>
      </c>
      <c r="AC311" s="13" t="s">
        <v>40</v>
      </c>
      <c r="AD311" s="13" t="s">
        <v>34</v>
      </c>
      <c r="AE311" s="13" t="s">
        <v>34</v>
      </c>
      <c r="AF311" s="13" t="s">
        <v>201</v>
      </c>
      <c r="AG311" s="13">
        <v>2020</v>
      </c>
      <c r="AH311" s="13" t="s">
        <v>202</v>
      </c>
      <c r="AI311" s="99">
        <f t="shared" si="8"/>
        <v>0.79438385719834059</v>
      </c>
    </row>
    <row r="312" spans="1:35" s="10" customFormat="1" x14ac:dyDescent="0.3">
      <c r="A312" s="11">
        <v>3.1747692307692299</v>
      </c>
      <c r="B312" s="45">
        <v>4.1756256251382003E-5</v>
      </c>
      <c r="C312" s="13" t="s">
        <v>33</v>
      </c>
      <c r="D312" s="13" t="s">
        <v>35</v>
      </c>
      <c r="E312" s="13" t="s">
        <v>170</v>
      </c>
      <c r="F312" s="13">
        <v>0.26</v>
      </c>
      <c r="G312" s="13">
        <v>0.36</v>
      </c>
      <c r="H312" s="13">
        <v>0.314</v>
      </c>
      <c r="I312" s="13">
        <v>0.39</v>
      </c>
      <c r="J312" s="13">
        <v>1.46</v>
      </c>
      <c r="K312" s="13">
        <v>0.97</v>
      </c>
      <c r="L312" s="13">
        <v>0</v>
      </c>
      <c r="M312" s="13">
        <v>64.400000000000006</v>
      </c>
      <c r="N312" s="13" t="s">
        <v>34</v>
      </c>
      <c r="O312" s="13">
        <v>0.87</v>
      </c>
      <c r="P312" s="13">
        <v>0.55000000000000004</v>
      </c>
      <c r="Q312" s="13" t="s">
        <v>34</v>
      </c>
      <c r="R312" s="13">
        <v>2.65</v>
      </c>
      <c r="S312" s="13">
        <v>3.2000000000000003E-4</v>
      </c>
      <c r="T312" s="10" t="s">
        <v>256</v>
      </c>
      <c r="U312" s="13" t="s">
        <v>199</v>
      </c>
      <c r="V312" s="13" t="s">
        <v>162</v>
      </c>
      <c r="W312" s="13" t="s">
        <v>34</v>
      </c>
      <c r="X312" s="13">
        <v>0.3</v>
      </c>
      <c r="Y312" s="13">
        <v>1</v>
      </c>
      <c r="Z312" s="13" t="s">
        <v>200</v>
      </c>
      <c r="AA312" s="12">
        <v>0.3</v>
      </c>
      <c r="AB312" s="13" t="s">
        <v>34</v>
      </c>
      <c r="AC312" s="13" t="s">
        <v>40</v>
      </c>
      <c r="AD312" s="13" t="s">
        <v>34</v>
      </c>
      <c r="AE312" s="13" t="s">
        <v>34</v>
      </c>
      <c r="AF312" s="13" t="s">
        <v>201</v>
      </c>
      <c r="AG312" s="13">
        <v>2020</v>
      </c>
      <c r="AH312" s="13" t="s">
        <v>202</v>
      </c>
      <c r="AI312" s="99">
        <f t="shared" si="8"/>
        <v>0.13048830078556875</v>
      </c>
    </row>
    <row r="313" spans="1:35" s="10" customFormat="1" x14ac:dyDescent="0.3">
      <c r="A313" s="11">
        <v>3.6787692307692299</v>
      </c>
      <c r="B313" s="45">
        <v>4.8264328914185707E-5</v>
      </c>
      <c r="C313" s="13" t="s">
        <v>33</v>
      </c>
      <c r="D313" s="13" t="s">
        <v>35</v>
      </c>
      <c r="E313" s="13" t="s">
        <v>170</v>
      </c>
      <c r="F313" s="13">
        <v>0.26</v>
      </c>
      <c r="G313" s="13">
        <v>0.36</v>
      </c>
      <c r="H313" s="13">
        <v>0.314</v>
      </c>
      <c r="I313" s="13">
        <v>0.39</v>
      </c>
      <c r="J313" s="13">
        <v>1.46</v>
      </c>
      <c r="K313" s="13">
        <v>0.97</v>
      </c>
      <c r="L313" s="13">
        <v>0</v>
      </c>
      <c r="M313" s="13">
        <v>64.400000000000006</v>
      </c>
      <c r="N313" s="13" t="s">
        <v>34</v>
      </c>
      <c r="O313" s="13">
        <v>0.87</v>
      </c>
      <c r="P313" s="13">
        <v>0.55000000000000004</v>
      </c>
      <c r="Q313" s="13" t="s">
        <v>34</v>
      </c>
      <c r="R313" s="13">
        <v>2.65</v>
      </c>
      <c r="S313" s="13">
        <v>3.2000000000000003E-4</v>
      </c>
      <c r="T313" s="10" t="s">
        <v>256</v>
      </c>
      <c r="U313" s="13" t="s">
        <v>199</v>
      </c>
      <c r="V313" s="13" t="s">
        <v>162</v>
      </c>
      <c r="W313" s="13" t="s">
        <v>34</v>
      </c>
      <c r="X313" s="13">
        <v>0.3</v>
      </c>
      <c r="Y313" s="13">
        <v>1</v>
      </c>
      <c r="Z313" s="13" t="s">
        <v>200</v>
      </c>
      <c r="AA313" s="12">
        <v>0.3</v>
      </c>
      <c r="AB313" s="13" t="s">
        <v>34</v>
      </c>
      <c r="AC313" s="13" t="s">
        <v>40</v>
      </c>
      <c r="AD313" s="13" t="s">
        <v>34</v>
      </c>
      <c r="AE313" s="13" t="s">
        <v>34</v>
      </c>
      <c r="AF313" s="13" t="s">
        <v>201</v>
      </c>
      <c r="AG313" s="13">
        <v>2020</v>
      </c>
      <c r="AH313" s="13" t="s">
        <v>202</v>
      </c>
      <c r="AI313" s="99">
        <f t="shared" si="8"/>
        <v>0.15082602785683033</v>
      </c>
    </row>
    <row r="314" spans="1:35" s="10" customFormat="1" x14ac:dyDescent="0.3">
      <c r="A314" s="11">
        <v>5.1649230769230803</v>
      </c>
      <c r="B314" s="45">
        <v>1.1533992069745901E-5</v>
      </c>
      <c r="C314" s="13" t="s">
        <v>33</v>
      </c>
      <c r="D314" s="13" t="s">
        <v>35</v>
      </c>
      <c r="E314" s="13" t="s">
        <v>170</v>
      </c>
      <c r="F314" s="13">
        <v>0.26</v>
      </c>
      <c r="G314" s="13">
        <v>0.36</v>
      </c>
      <c r="H314" s="13">
        <v>0.314</v>
      </c>
      <c r="I314" s="13">
        <v>0.39</v>
      </c>
      <c r="J314" s="13">
        <v>1.46</v>
      </c>
      <c r="K314" s="13">
        <v>0.97</v>
      </c>
      <c r="L314" s="13">
        <v>0</v>
      </c>
      <c r="M314" s="13">
        <v>64.400000000000006</v>
      </c>
      <c r="N314" s="13" t="s">
        <v>34</v>
      </c>
      <c r="O314" s="13">
        <v>0.87</v>
      </c>
      <c r="P314" s="13">
        <v>0.55000000000000004</v>
      </c>
      <c r="Q314" s="13" t="s">
        <v>34</v>
      </c>
      <c r="R314" s="13">
        <v>2.65</v>
      </c>
      <c r="S314" s="13">
        <v>3.2000000000000003E-4</v>
      </c>
      <c r="T314" s="10" t="s">
        <v>256</v>
      </c>
      <c r="U314" s="13" t="s">
        <v>199</v>
      </c>
      <c r="V314" s="13" t="s">
        <v>162</v>
      </c>
      <c r="W314" s="13" t="s">
        <v>34</v>
      </c>
      <c r="X314" s="13">
        <v>0.3</v>
      </c>
      <c r="Y314" s="13">
        <v>1</v>
      </c>
      <c r="Z314" s="13" t="s">
        <v>200</v>
      </c>
      <c r="AA314" s="12">
        <v>0.3</v>
      </c>
      <c r="AB314" s="13" t="s">
        <v>34</v>
      </c>
      <c r="AC314" s="13" t="s">
        <v>40</v>
      </c>
      <c r="AD314" s="13" t="s">
        <v>34</v>
      </c>
      <c r="AE314" s="13" t="s">
        <v>34</v>
      </c>
      <c r="AF314" s="13" t="s">
        <v>201</v>
      </c>
      <c r="AG314" s="13">
        <v>2020</v>
      </c>
      <c r="AH314" s="13" t="s">
        <v>202</v>
      </c>
      <c r="AI314" s="99">
        <f t="shared" si="8"/>
        <v>3.6043725217955937E-2</v>
      </c>
    </row>
    <row r="315" spans="1:35" s="10" customFormat="1" x14ac:dyDescent="0.3">
      <c r="A315" s="11">
        <v>6.0350769230769199</v>
      </c>
      <c r="B315" s="45">
        <v>3.1859411021925599E-6</v>
      </c>
      <c r="C315" s="13" t="s">
        <v>33</v>
      </c>
      <c r="D315" s="13" t="s">
        <v>35</v>
      </c>
      <c r="E315" s="13" t="s">
        <v>170</v>
      </c>
      <c r="F315" s="13">
        <v>0.26</v>
      </c>
      <c r="G315" s="13">
        <v>0.36</v>
      </c>
      <c r="H315" s="13">
        <v>0.314</v>
      </c>
      <c r="I315" s="13">
        <v>0.39</v>
      </c>
      <c r="J315" s="13">
        <v>1.46</v>
      </c>
      <c r="K315" s="13">
        <v>0.97</v>
      </c>
      <c r="L315" s="13">
        <v>0</v>
      </c>
      <c r="M315" s="13">
        <v>64.400000000000006</v>
      </c>
      <c r="N315" s="13" t="s">
        <v>34</v>
      </c>
      <c r="O315" s="13">
        <v>0.87</v>
      </c>
      <c r="P315" s="13">
        <v>0.55000000000000004</v>
      </c>
      <c r="Q315" s="13" t="s">
        <v>34</v>
      </c>
      <c r="R315" s="13">
        <v>2.65</v>
      </c>
      <c r="S315" s="13">
        <v>3.2000000000000003E-4</v>
      </c>
      <c r="T315" s="10" t="s">
        <v>256</v>
      </c>
      <c r="U315" s="13" t="s">
        <v>199</v>
      </c>
      <c r="V315" s="13" t="s">
        <v>162</v>
      </c>
      <c r="W315" s="13" t="s">
        <v>34</v>
      </c>
      <c r="X315" s="13">
        <v>0.3</v>
      </c>
      <c r="Y315" s="13">
        <v>1</v>
      </c>
      <c r="Z315" s="13" t="s">
        <v>200</v>
      </c>
      <c r="AA315" s="12">
        <v>0.3</v>
      </c>
      <c r="AB315" s="13" t="s">
        <v>34</v>
      </c>
      <c r="AC315" s="13" t="s">
        <v>40</v>
      </c>
      <c r="AD315" s="13" t="s">
        <v>34</v>
      </c>
      <c r="AE315" s="13" t="s">
        <v>34</v>
      </c>
      <c r="AF315" s="13" t="s">
        <v>201</v>
      </c>
      <c r="AG315" s="13">
        <v>2020</v>
      </c>
      <c r="AH315" s="13" t="s">
        <v>202</v>
      </c>
      <c r="AI315" s="99">
        <f t="shared" si="8"/>
        <v>9.9560659443517496E-3</v>
      </c>
    </row>
    <row r="316" spans="1:35" s="14" customFormat="1" ht="16.2" thickBot="1" x14ac:dyDescent="0.35">
      <c r="A316" s="17">
        <v>6.5003076923076897</v>
      </c>
      <c r="B316" s="38">
        <v>2.9257348686673803E-6</v>
      </c>
      <c r="C316" s="14" t="s">
        <v>33</v>
      </c>
      <c r="D316" s="14" t="s">
        <v>35</v>
      </c>
      <c r="E316" s="14" t="s">
        <v>170</v>
      </c>
      <c r="F316" s="14">
        <v>0.26</v>
      </c>
      <c r="G316" s="14">
        <v>0.36</v>
      </c>
      <c r="H316" s="14">
        <v>0.314</v>
      </c>
      <c r="I316" s="14">
        <v>0.39</v>
      </c>
      <c r="J316" s="14">
        <v>1.46</v>
      </c>
      <c r="K316" s="14">
        <v>0.97</v>
      </c>
      <c r="L316" s="14">
        <v>0</v>
      </c>
      <c r="M316" s="14">
        <v>64.400000000000006</v>
      </c>
      <c r="N316" s="14" t="s">
        <v>34</v>
      </c>
      <c r="O316" s="14">
        <v>0.87</v>
      </c>
      <c r="P316" s="14">
        <v>0.55000000000000004</v>
      </c>
      <c r="Q316" s="14" t="s">
        <v>34</v>
      </c>
      <c r="R316" s="14">
        <v>2.65</v>
      </c>
      <c r="S316" s="14">
        <v>3.2000000000000003E-4</v>
      </c>
      <c r="T316" s="14" t="s">
        <v>256</v>
      </c>
      <c r="U316" s="14" t="s">
        <v>199</v>
      </c>
      <c r="V316" s="14" t="s">
        <v>162</v>
      </c>
      <c r="W316" s="14" t="s">
        <v>34</v>
      </c>
      <c r="X316" s="14">
        <v>0.3</v>
      </c>
      <c r="Y316" s="14">
        <v>1</v>
      </c>
      <c r="Z316" s="14" t="s">
        <v>200</v>
      </c>
      <c r="AA316" s="17">
        <v>0.3</v>
      </c>
      <c r="AB316" s="14" t="s">
        <v>34</v>
      </c>
      <c r="AC316" s="14" t="s">
        <v>40</v>
      </c>
      <c r="AD316" s="14" t="s">
        <v>34</v>
      </c>
      <c r="AE316" s="14" t="s">
        <v>34</v>
      </c>
      <c r="AF316" s="14" t="s">
        <v>201</v>
      </c>
      <c r="AG316" s="14">
        <v>2020</v>
      </c>
      <c r="AH316" s="14" t="s">
        <v>202</v>
      </c>
      <c r="AI316" s="99">
        <f t="shared" si="8"/>
        <v>9.1429214645855628E-3</v>
      </c>
    </row>
    <row r="317" spans="1:35" s="13" customFormat="1" x14ac:dyDescent="0.3">
      <c r="A317" s="12">
        <v>7.48</v>
      </c>
      <c r="B317" s="36" t="s">
        <v>319</v>
      </c>
      <c r="C317" s="13" t="s">
        <v>311</v>
      </c>
      <c r="D317" s="13" t="s">
        <v>312</v>
      </c>
      <c r="E317" s="13" t="s">
        <v>170</v>
      </c>
      <c r="F317" s="13">
        <v>0.45</v>
      </c>
      <c r="G317" s="13">
        <v>5.65</v>
      </c>
      <c r="H317" s="13">
        <v>1.02</v>
      </c>
      <c r="I317" s="13">
        <v>6.29</v>
      </c>
      <c r="J317" s="13">
        <v>13.98</v>
      </c>
      <c r="K317" s="13">
        <v>0.42</v>
      </c>
      <c r="L317" s="13">
        <v>0.67</v>
      </c>
      <c r="M317" s="13" t="s">
        <v>34</v>
      </c>
      <c r="N317" s="13" t="s">
        <v>34</v>
      </c>
      <c r="O317" s="13" t="s">
        <v>34</v>
      </c>
      <c r="P317" s="13" t="s">
        <v>34</v>
      </c>
      <c r="Q317" s="13">
        <v>0</v>
      </c>
      <c r="R317" s="13" t="s">
        <v>34</v>
      </c>
      <c r="S317" s="13" t="s">
        <v>34</v>
      </c>
      <c r="T317" s="13" t="s">
        <v>49</v>
      </c>
      <c r="U317" s="13" t="s">
        <v>313</v>
      </c>
      <c r="V317" s="13" t="s">
        <v>162</v>
      </c>
      <c r="W317" s="13">
        <v>9</v>
      </c>
      <c r="X317" s="13">
        <v>1</v>
      </c>
      <c r="Y317" s="13">
        <v>1</v>
      </c>
      <c r="Z317" s="13" t="s">
        <v>314</v>
      </c>
      <c r="AA317" s="12">
        <v>0.106</v>
      </c>
      <c r="AB317" s="13" t="s">
        <v>34</v>
      </c>
      <c r="AC317" s="13" t="s">
        <v>40</v>
      </c>
      <c r="AD317" s="13" t="s">
        <v>34</v>
      </c>
      <c r="AE317" s="13" t="s">
        <v>34</v>
      </c>
      <c r="AF317" s="13" t="s">
        <v>315</v>
      </c>
      <c r="AG317" s="13">
        <v>2025</v>
      </c>
      <c r="AH317" s="13" t="s">
        <v>316</v>
      </c>
      <c r="AI317" s="99" t="e">
        <f t="shared" si="8"/>
        <v>#VALUE!</v>
      </c>
    </row>
    <row r="318" spans="1:35" s="10" customFormat="1" x14ac:dyDescent="0.3">
      <c r="A318" s="11">
        <v>9.8699999999999992</v>
      </c>
      <c r="B318" s="45" t="s">
        <v>320</v>
      </c>
      <c r="C318" s="10" t="s">
        <v>311</v>
      </c>
      <c r="D318" s="10" t="s">
        <v>312</v>
      </c>
      <c r="E318" s="10" t="s">
        <v>170</v>
      </c>
      <c r="F318" s="10">
        <v>0.45</v>
      </c>
      <c r="G318" s="10">
        <v>5.65</v>
      </c>
      <c r="H318" s="10">
        <v>1.02</v>
      </c>
      <c r="I318" s="10">
        <v>6.29</v>
      </c>
      <c r="J318" s="10">
        <v>13.98</v>
      </c>
      <c r="K318" s="10">
        <v>0.42</v>
      </c>
      <c r="L318" s="10">
        <v>0.67</v>
      </c>
      <c r="M318" s="10" t="s">
        <v>34</v>
      </c>
      <c r="N318" s="10" t="s">
        <v>34</v>
      </c>
      <c r="O318" s="10" t="s">
        <v>34</v>
      </c>
      <c r="P318" s="10" t="s">
        <v>34</v>
      </c>
      <c r="Q318" s="10">
        <v>0</v>
      </c>
      <c r="R318" s="10" t="s">
        <v>34</v>
      </c>
      <c r="S318" s="10" t="s">
        <v>34</v>
      </c>
      <c r="T318" s="10" t="s">
        <v>49</v>
      </c>
      <c r="U318" s="10" t="s">
        <v>313</v>
      </c>
      <c r="V318" s="10" t="s">
        <v>162</v>
      </c>
      <c r="W318" s="10">
        <v>12</v>
      </c>
      <c r="X318" s="10">
        <v>1</v>
      </c>
      <c r="Y318" s="10">
        <v>1</v>
      </c>
      <c r="Z318" s="10" t="s">
        <v>314</v>
      </c>
      <c r="AA318" s="11">
        <v>1.1060000000000001</v>
      </c>
      <c r="AB318" s="10" t="s">
        <v>34</v>
      </c>
      <c r="AC318" s="10" t="s">
        <v>40</v>
      </c>
      <c r="AD318" s="13" t="s">
        <v>34</v>
      </c>
      <c r="AE318" s="13" t="s">
        <v>34</v>
      </c>
      <c r="AF318" s="10" t="s">
        <v>315</v>
      </c>
      <c r="AG318" s="10">
        <v>2025</v>
      </c>
      <c r="AH318" s="10" t="s">
        <v>316</v>
      </c>
      <c r="AI318" s="99" t="e">
        <f t="shared" si="8"/>
        <v>#VALUE!</v>
      </c>
    </row>
    <row r="319" spans="1:35" s="10" customFormat="1" x14ac:dyDescent="0.3">
      <c r="A319" s="11">
        <v>12.06</v>
      </c>
      <c r="B319" s="45" t="s">
        <v>321</v>
      </c>
      <c r="C319" s="10" t="s">
        <v>311</v>
      </c>
      <c r="D319" s="10" t="s">
        <v>312</v>
      </c>
      <c r="E319" s="10" t="s">
        <v>170</v>
      </c>
      <c r="F319" s="10">
        <v>0.45</v>
      </c>
      <c r="G319" s="10">
        <v>5.65</v>
      </c>
      <c r="H319" s="10">
        <v>1.02</v>
      </c>
      <c r="I319" s="10">
        <v>6.29</v>
      </c>
      <c r="J319" s="10">
        <v>13.98</v>
      </c>
      <c r="K319" s="10">
        <v>0.42</v>
      </c>
      <c r="L319" s="10">
        <v>0.67</v>
      </c>
      <c r="M319" s="10" t="s">
        <v>34</v>
      </c>
      <c r="N319" s="10" t="s">
        <v>34</v>
      </c>
      <c r="O319" s="10" t="s">
        <v>34</v>
      </c>
      <c r="P319" s="10" t="s">
        <v>34</v>
      </c>
      <c r="Q319" s="10">
        <v>0</v>
      </c>
      <c r="R319" s="10" t="s">
        <v>34</v>
      </c>
      <c r="S319" s="10" t="s">
        <v>34</v>
      </c>
      <c r="T319" s="10" t="s">
        <v>49</v>
      </c>
      <c r="U319" s="10" t="s">
        <v>313</v>
      </c>
      <c r="V319" s="10" t="s">
        <v>162</v>
      </c>
      <c r="W319" s="10">
        <v>15</v>
      </c>
      <c r="X319" s="10">
        <v>1</v>
      </c>
      <c r="Y319" s="10">
        <v>1</v>
      </c>
      <c r="Z319" s="10" t="s">
        <v>314</v>
      </c>
      <c r="AA319" s="11">
        <v>2.1059999999999999</v>
      </c>
      <c r="AB319" s="10" t="s">
        <v>34</v>
      </c>
      <c r="AC319" s="10" t="s">
        <v>40</v>
      </c>
      <c r="AD319" s="13" t="s">
        <v>34</v>
      </c>
      <c r="AE319" s="13" t="s">
        <v>34</v>
      </c>
      <c r="AF319" s="10" t="s">
        <v>315</v>
      </c>
      <c r="AG319" s="10">
        <v>2025</v>
      </c>
      <c r="AH319" s="10" t="s">
        <v>316</v>
      </c>
      <c r="AI319" s="99" t="e">
        <f t="shared" si="8"/>
        <v>#VALUE!</v>
      </c>
    </row>
    <row r="320" spans="1:35" s="10" customFormat="1" x14ac:dyDescent="0.3">
      <c r="A320" s="11">
        <v>7.57</v>
      </c>
      <c r="B320" s="45" t="s">
        <v>322</v>
      </c>
      <c r="C320" s="10" t="s">
        <v>311</v>
      </c>
      <c r="D320" s="10" t="s">
        <v>312</v>
      </c>
      <c r="E320" s="10" t="s">
        <v>170</v>
      </c>
      <c r="F320" s="10">
        <v>0.41</v>
      </c>
      <c r="G320" s="10">
        <v>5.0999999999999996</v>
      </c>
      <c r="H320" s="10">
        <v>0.79</v>
      </c>
      <c r="I320" s="10">
        <v>5.84</v>
      </c>
      <c r="J320" s="10">
        <v>14.36</v>
      </c>
      <c r="K320" s="10">
        <v>0.26</v>
      </c>
      <c r="L320" s="10">
        <v>0.57999999999999996</v>
      </c>
      <c r="M320" s="10" t="s">
        <v>34</v>
      </c>
      <c r="N320" s="10" t="s">
        <v>34</v>
      </c>
      <c r="O320" s="10" t="s">
        <v>34</v>
      </c>
      <c r="P320" s="10" t="s">
        <v>34</v>
      </c>
      <c r="Q320" s="10">
        <v>0</v>
      </c>
      <c r="R320" s="10" t="s">
        <v>34</v>
      </c>
      <c r="S320" s="10" t="s">
        <v>34</v>
      </c>
      <c r="T320" s="10" t="s">
        <v>49</v>
      </c>
      <c r="U320" s="10" t="s">
        <v>313</v>
      </c>
      <c r="V320" s="10" t="s">
        <v>162</v>
      </c>
      <c r="W320" s="10">
        <v>9</v>
      </c>
      <c r="X320" s="10">
        <v>1</v>
      </c>
      <c r="Y320" s="10">
        <v>1</v>
      </c>
      <c r="Z320" s="10" t="s">
        <v>314</v>
      </c>
      <c r="AA320" s="11">
        <v>3.1059999999999999</v>
      </c>
      <c r="AB320" s="10" t="s">
        <v>34</v>
      </c>
      <c r="AC320" s="10" t="s">
        <v>40</v>
      </c>
      <c r="AD320" s="13" t="s">
        <v>34</v>
      </c>
      <c r="AE320" s="13" t="s">
        <v>34</v>
      </c>
      <c r="AF320" s="10" t="s">
        <v>315</v>
      </c>
      <c r="AG320" s="10">
        <v>2025</v>
      </c>
      <c r="AH320" s="10" t="s">
        <v>316</v>
      </c>
      <c r="AI320" s="99" t="e">
        <f t="shared" si="8"/>
        <v>#VALUE!</v>
      </c>
    </row>
    <row r="321" spans="1:35" s="10" customFormat="1" x14ac:dyDescent="0.3">
      <c r="A321" s="11">
        <v>9.94</v>
      </c>
      <c r="B321" s="45" t="s">
        <v>323</v>
      </c>
      <c r="C321" s="10" t="s">
        <v>311</v>
      </c>
      <c r="D321" s="10" t="s">
        <v>312</v>
      </c>
      <c r="E321" s="10" t="s">
        <v>170</v>
      </c>
      <c r="F321" s="10">
        <v>0.41</v>
      </c>
      <c r="G321" s="10">
        <v>5.0999999999999996</v>
      </c>
      <c r="H321" s="10">
        <v>0.79</v>
      </c>
      <c r="I321" s="10">
        <v>5.84</v>
      </c>
      <c r="J321" s="10">
        <v>14.36</v>
      </c>
      <c r="K321" s="10">
        <v>0.26</v>
      </c>
      <c r="L321" s="10">
        <v>0.57999999999999996</v>
      </c>
      <c r="M321" s="10" t="s">
        <v>34</v>
      </c>
      <c r="N321" s="10" t="s">
        <v>34</v>
      </c>
      <c r="O321" s="10" t="s">
        <v>34</v>
      </c>
      <c r="P321" s="10" t="s">
        <v>34</v>
      </c>
      <c r="Q321" s="10">
        <v>0</v>
      </c>
      <c r="R321" s="10" t="s">
        <v>34</v>
      </c>
      <c r="S321" s="10" t="s">
        <v>34</v>
      </c>
      <c r="T321" s="10" t="s">
        <v>49</v>
      </c>
      <c r="U321" s="10" t="s">
        <v>313</v>
      </c>
      <c r="V321" s="10" t="s">
        <v>162</v>
      </c>
      <c r="W321" s="10">
        <v>12</v>
      </c>
      <c r="X321" s="10">
        <v>1</v>
      </c>
      <c r="Y321" s="10">
        <v>1</v>
      </c>
      <c r="Z321" s="10" t="s">
        <v>314</v>
      </c>
      <c r="AA321" s="10">
        <v>4.1059999999999999</v>
      </c>
      <c r="AB321" s="10" t="s">
        <v>34</v>
      </c>
      <c r="AC321" s="10" t="s">
        <v>40</v>
      </c>
      <c r="AD321" s="13" t="s">
        <v>34</v>
      </c>
      <c r="AE321" s="13" t="s">
        <v>34</v>
      </c>
      <c r="AF321" s="10" t="s">
        <v>315</v>
      </c>
      <c r="AG321" s="10">
        <v>2025</v>
      </c>
      <c r="AH321" s="10" t="s">
        <v>316</v>
      </c>
      <c r="AI321" s="99" t="e">
        <f t="shared" si="8"/>
        <v>#VALUE!</v>
      </c>
    </row>
    <row r="322" spans="1:35" s="10" customFormat="1" x14ac:dyDescent="0.3">
      <c r="A322" s="11">
        <v>11.59</v>
      </c>
      <c r="B322" s="45" t="s">
        <v>324</v>
      </c>
      <c r="C322" s="10" t="s">
        <v>311</v>
      </c>
      <c r="D322" s="10" t="s">
        <v>312</v>
      </c>
      <c r="E322" s="10" t="s">
        <v>170</v>
      </c>
      <c r="F322" s="10">
        <v>0.41</v>
      </c>
      <c r="G322" s="10">
        <v>5.0999999999999996</v>
      </c>
      <c r="H322" s="10">
        <v>0.79</v>
      </c>
      <c r="I322" s="10">
        <v>5.84</v>
      </c>
      <c r="J322" s="10">
        <v>14.36</v>
      </c>
      <c r="K322" s="10">
        <v>0.26</v>
      </c>
      <c r="L322" s="10">
        <v>0.57999999999999996</v>
      </c>
      <c r="M322" s="10" t="s">
        <v>34</v>
      </c>
      <c r="N322" s="10" t="s">
        <v>34</v>
      </c>
      <c r="O322" s="10" t="s">
        <v>34</v>
      </c>
      <c r="P322" s="10" t="s">
        <v>34</v>
      </c>
      <c r="Q322" s="10">
        <v>0</v>
      </c>
      <c r="R322" s="10" t="s">
        <v>34</v>
      </c>
      <c r="S322" s="10" t="s">
        <v>34</v>
      </c>
      <c r="T322" s="10" t="s">
        <v>49</v>
      </c>
      <c r="U322" s="10" t="s">
        <v>313</v>
      </c>
      <c r="V322" s="10" t="s">
        <v>162</v>
      </c>
      <c r="W322" s="10">
        <v>15</v>
      </c>
      <c r="X322" s="10">
        <v>1</v>
      </c>
      <c r="Y322" s="10">
        <v>1</v>
      </c>
      <c r="Z322" s="10" t="s">
        <v>314</v>
      </c>
      <c r="AA322" s="10">
        <v>5.1059999999999999</v>
      </c>
      <c r="AB322" s="10" t="s">
        <v>34</v>
      </c>
      <c r="AC322" s="10" t="s">
        <v>40</v>
      </c>
      <c r="AD322" s="13" t="s">
        <v>34</v>
      </c>
      <c r="AE322" s="13" t="s">
        <v>34</v>
      </c>
      <c r="AF322" s="10" t="s">
        <v>315</v>
      </c>
      <c r="AG322" s="10">
        <v>2025</v>
      </c>
      <c r="AH322" s="10" t="s">
        <v>316</v>
      </c>
      <c r="AI322" s="99" t="e">
        <f t="shared" si="8"/>
        <v>#VALUE!</v>
      </c>
    </row>
    <row r="323" spans="1:35" s="10" customFormat="1" x14ac:dyDescent="0.3">
      <c r="A323" s="11">
        <v>7.53</v>
      </c>
      <c r="B323" s="45" t="s">
        <v>325</v>
      </c>
      <c r="C323" s="10" t="s">
        <v>33</v>
      </c>
      <c r="D323" s="10" t="s">
        <v>35</v>
      </c>
      <c r="E323" s="10" t="s">
        <v>170</v>
      </c>
      <c r="F323" s="10">
        <v>0.39</v>
      </c>
      <c r="G323" s="10">
        <v>1.2</v>
      </c>
      <c r="H323" s="10">
        <v>0.69</v>
      </c>
      <c r="I323" s="10">
        <v>5.43</v>
      </c>
      <c r="J323" s="10">
        <v>14.02</v>
      </c>
      <c r="K323" s="10">
        <v>0.23</v>
      </c>
      <c r="L323" s="10">
        <v>0.52</v>
      </c>
      <c r="M323" s="10" t="s">
        <v>34</v>
      </c>
      <c r="N323" s="10" t="s">
        <v>34</v>
      </c>
      <c r="O323" s="10" t="s">
        <v>34</v>
      </c>
      <c r="P323" s="10" t="s">
        <v>34</v>
      </c>
      <c r="Q323" s="10">
        <v>0</v>
      </c>
      <c r="R323" s="10" t="s">
        <v>34</v>
      </c>
      <c r="S323" s="10" t="s">
        <v>34</v>
      </c>
      <c r="T323" s="10" t="s">
        <v>49</v>
      </c>
      <c r="U323" s="10" t="s">
        <v>313</v>
      </c>
      <c r="V323" s="10" t="s">
        <v>162</v>
      </c>
      <c r="W323" s="10">
        <v>9</v>
      </c>
      <c r="X323" s="10">
        <v>1</v>
      </c>
      <c r="Y323" s="10">
        <v>1</v>
      </c>
      <c r="Z323" s="10" t="s">
        <v>314</v>
      </c>
      <c r="AA323" s="10">
        <v>6.1059999999999999</v>
      </c>
      <c r="AB323" s="10" t="s">
        <v>34</v>
      </c>
      <c r="AC323" s="10" t="s">
        <v>40</v>
      </c>
      <c r="AD323" s="13" t="s">
        <v>34</v>
      </c>
      <c r="AE323" s="13" t="s">
        <v>34</v>
      </c>
      <c r="AF323" s="10" t="s">
        <v>315</v>
      </c>
      <c r="AG323" s="10">
        <v>2025</v>
      </c>
      <c r="AH323" s="10" t="s">
        <v>316</v>
      </c>
      <c r="AI323" s="99" t="e">
        <f t="shared" ref="AI323:AI361" si="10">B323/S323</f>
        <v>#VALUE!</v>
      </c>
    </row>
    <row r="324" spans="1:35" s="10" customFormat="1" x14ac:dyDescent="0.3">
      <c r="A324" s="11">
        <v>9.83</v>
      </c>
      <c r="B324" s="45" t="s">
        <v>326</v>
      </c>
      <c r="C324" s="10" t="s">
        <v>33</v>
      </c>
      <c r="D324" s="10" t="s">
        <v>35</v>
      </c>
      <c r="E324" s="10" t="s">
        <v>170</v>
      </c>
      <c r="F324" s="10">
        <v>0.39</v>
      </c>
      <c r="G324" s="10">
        <v>1.2</v>
      </c>
      <c r="H324" s="10">
        <v>0.69</v>
      </c>
      <c r="I324" s="10">
        <v>5.43</v>
      </c>
      <c r="J324" s="10">
        <v>14.02</v>
      </c>
      <c r="K324" s="10">
        <v>0.23</v>
      </c>
      <c r="L324" s="10">
        <v>0.52</v>
      </c>
      <c r="M324" s="10" t="s">
        <v>34</v>
      </c>
      <c r="N324" s="10" t="s">
        <v>34</v>
      </c>
      <c r="O324" s="10" t="s">
        <v>34</v>
      </c>
      <c r="P324" s="10" t="s">
        <v>34</v>
      </c>
      <c r="Q324" s="10">
        <v>0</v>
      </c>
      <c r="R324" s="10" t="s">
        <v>34</v>
      </c>
      <c r="S324" s="10" t="s">
        <v>34</v>
      </c>
      <c r="T324" s="10" t="s">
        <v>49</v>
      </c>
      <c r="U324" s="10" t="s">
        <v>313</v>
      </c>
      <c r="V324" s="10" t="s">
        <v>162</v>
      </c>
      <c r="W324" s="10">
        <v>12</v>
      </c>
      <c r="X324" s="10">
        <v>1</v>
      </c>
      <c r="Y324" s="10">
        <v>1</v>
      </c>
      <c r="Z324" s="10" t="s">
        <v>314</v>
      </c>
      <c r="AA324" s="10">
        <v>7.1059999999999999</v>
      </c>
      <c r="AB324" s="10" t="s">
        <v>34</v>
      </c>
      <c r="AC324" s="10" t="s">
        <v>40</v>
      </c>
      <c r="AD324" s="13" t="s">
        <v>34</v>
      </c>
      <c r="AE324" s="13" t="s">
        <v>34</v>
      </c>
      <c r="AF324" s="10" t="s">
        <v>315</v>
      </c>
      <c r="AG324" s="10">
        <v>2025</v>
      </c>
      <c r="AH324" s="10" t="s">
        <v>316</v>
      </c>
      <c r="AI324" s="99" t="e">
        <f t="shared" si="10"/>
        <v>#VALUE!</v>
      </c>
    </row>
    <row r="325" spans="1:35" s="10" customFormat="1" x14ac:dyDescent="0.3">
      <c r="A325" s="11">
        <v>11.07</v>
      </c>
      <c r="B325" s="45" t="s">
        <v>327</v>
      </c>
      <c r="C325" s="10" t="s">
        <v>33</v>
      </c>
      <c r="D325" s="10" t="s">
        <v>35</v>
      </c>
      <c r="E325" s="10" t="s">
        <v>170</v>
      </c>
      <c r="F325" s="10">
        <v>0.39</v>
      </c>
      <c r="G325" s="10">
        <v>1.2</v>
      </c>
      <c r="H325" s="10">
        <v>0.69</v>
      </c>
      <c r="I325" s="10">
        <v>5.43</v>
      </c>
      <c r="J325" s="10">
        <v>14.02</v>
      </c>
      <c r="K325" s="10">
        <v>0.23</v>
      </c>
      <c r="L325" s="10">
        <v>0.52</v>
      </c>
      <c r="M325" s="10" t="s">
        <v>34</v>
      </c>
      <c r="N325" s="10" t="s">
        <v>34</v>
      </c>
      <c r="O325" s="10" t="s">
        <v>34</v>
      </c>
      <c r="P325" s="10" t="s">
        <v>34</v>
      </c>
      <c r="Q325" s="10">
        <v>0</v>
      </c>
      <c r="R325" s="10" t="s">
        <v>34</v>
      </c>
      <c r="S325" s="45" t="s">
        <v>34</v>
      </c>
      <c r="T325" s="10" t="s">
        <v>49</v>
      </c>
      <c r="U325" s="10" t="s">
        <v>313</v>
      </c>
      <c r="V325" s="10" t="s">
        <v>162</v>
      </c>
      <c r="W325" s="10">
        <v>15</v>
      </c>
      <c r="X325" s="10">
        <v>1</v>
      </c>
      <c r="Y325" s="10">
        <v>1</v>
      </c>
      <c r="Z325" s="10" t="s">
        <v>314</v>
      </c>
      <c r="AA325" s="10">
        <v>8.1059999999999999</v>
      </c>
      <c r="AB325" s="10" t="s">
        <v>34</v>
      </c>
      <c r="AC325" s="10" t="s">
        <v>40</v>
      </c>
      <c r="AD325" s="13" t="s">
        <v>34</v>
      </c>
      <c r="AE325" s="13" t="s">
        <v>34</v>
      </c>
      <c r="AF325" s="10" t="s">
        <v>315</v>
      </c>
      <c r="AG325" s="10">
        <v>2025</v>
      </c>
      <c r="AH325" s="10" t="s">
        <v>316</v>
      </c>
      <c r="AI325" s="99" t="e">
        <f t="shared" si="10"/>
        <v>#VALUE!</v>
      </c>
    </row>
    <row r="326" spans="1:35" s="10" customFormat="1" x14ac:dyDescent="0.3">
      <c r="A326" s="11">
        <v>7.56</v>
      </c>
      <c r="B326" s="45" t="s">
        <v>328</v>
      </c>
      <c r="C326" s="10" t="s">
        <v>33</v>
      </c>
      <c r="D326" s="10" t="s">
        <v>35</v>
      </c>
      <c r="E326" s="10" t="s">
        <v>170</v>
      </c>
      <c r="F326" s="10">
        <v>0.37</v>
      </c>
      <c r="G326" s="10">
        <v>1.08</v>
      </c>
      <c r="H326" s="10">
        <v>0.62</v>
      </c>
      <c r="I326" s="10">
        <v>2.88</v>
      </c>
      <c r="J326" s="10">
        <v>7.68</v>
      </c>
      <c r="K326" s="10">
        <v>0.36</v>
      </c>
      <c r="L326" s="10">
        <v>0.4</v>
      </c>
      <c r="M326" s="10" t="s">
        <v>34</v>
      </c>
      <c r="N326" s="10" t="s">
        <v>34</v>
      </c>
      <c r="O326" s="10" t="s">
        <v>34</v>
      </c>
      <c r="P326" s="10" t="s">
        <v>34</v>
      </c>
      <c r="Q326" s="10">
        <v>0</v>
      </c>
      <c r="R326" s="10" t="s">
        <v>34</v>
      </c>
      <c r="S326" s="45" t="s">
        <v>34</v>
      </c>
      <c r="T326" s="10" t="s">
        <v>49</v>
      </c>
      <c r="U326" s="10" t="s">
        <v>313</v>
      </c>
      <c r="V326" s="10" t="s">
        <v>162</v>
      </c>
      <c r="W326" s="10">
        <v>9</v>
      </c>
      <c r="X326" s="10">
        <v>1</v>
      </c>
      <c r="Y326" s="10">
        <v>1</v>
      </c>
      <c r="Z326" s="10" t="s">
        <v>314</v>
      </c>
      <c r="AA326" s="10">
        <v>9.1059999999999999</v>
      </c>
      <c r="AB326" s="10" t="s">
        <v>34</v>
      </c>
      <c r="AC326" s="10" t="s">
        <v>40</v>
      </c>
      <c r="AD326" s="13" t="s">
        <v>34</v>
      </c>
      <c r="AE326" s="13" t="s">
        <v>34</v>
      </c>
      <c r="AF326" s="10" t="s">
        <v>315</v>
      </c>
      <c r="AG326" s="10">
        <v>2025</v>
      </c>
      <c r="AH326" s="10" t="s">
        <v>316</v>
      </c>
      <c r="AI326" s="99" t="e">
        <f t="shared" si="10"/>
        <v>#VALUE!</v>
      </c>
    </row>
    <row r="327" spans="1:35" s="10" customFormat="1" x14ac:dyDescent="0.3">
      <c r="A327" s="11">
        <v>9.83</v>
      </c>
      <c r="B327" s="45" t="s">
        <v>329</v>
      </c>
      <c r="C327" s="10" t="s">
        <v>33</v>
      </c>
      <c r="D327" s="10" t="s">
        <v>35</v>
      </c>
      <c r="E327" s="10" t="s">
        <v>170</v>
      </c>
      <c r="F327" s="10">
        <v>0.37</v>
      </c>
      <c r="G327" s="10">
        <v>1.08</v>
      </c>
      <c r="H327" s="10">
        <v>0.62</v>
      </c>
      <c r="I327" s="10">
        <v>2.88</v>
      </c>
      <c r="J327" s="10">
        <v>7.68</v>
      </c>
      <c r="K327" s="10">
        <v>0.36</v>
      </c>
      <c r="L327" s="10">
        <v>0.4</v>
      </c>
      <c r="M327" s="10" t="s">
        <v>34</v>
      </c>
      <c r="N327" s="10" t="s">
        <v>34</v>
      </c>
      <c r="O327" s="10" t="s">
        <v>34</v>
      </c>
      <c r="P327" s="10" t="s">
        <v>34</v>
      </c>
      <c r="Q327" s="10">
        <v>0</v>
      </c>
      <c r="R327" s="10" t="s">
        <v>34</v>
      </c>
      <c r="S327" s="45" t="s">
        <v>34</v>
      </c>
      <c r="T327" s="10" t="s">
        <v>49</v>
      </c>
      <c r="U327" s="10" t="s">
        <v>313</v>
      </c>
      <c r="V327" s="10" t="s">
        <v>162</v>
      </c>
      <c r="W327" s="10">
        <v>12</v>
      </c>
      <c r="X327" s="10">
        <v>1</v>
      </c>
      <c r="Y327" s="10">
        <v>1</v>
      </c>
      <c r="Z327" s="10" t="s">
        <v>314</v>
      </c>
      <c r="AA327" s="10">
        <v>10.106</v>
      </c>
      <c r="AB327" s="10" t="s">
        <v>34</v>
      </c>
      <c r="AC327" s="10" t="s">
        <v>40</v>
      </c>
      <c r="AD327" s="13" t="s">
        <v>34</v>
      </c>
      <c r="AE327" s="13" t="s">
        <v>34</v>
      </c>
      <c r="AF327" s="10" t="s">
        <v>315</v>
      </c>
      <c r="AG327" s="10">
        <v>2025</v>
      </c>
      <c r="AH327" s="10" t="s">
        <v>316</v>
      </c>
      <c r="AI327" s="99" t="e">
        <f t="shared" si="10"/>
        <v>#VALUE!</v>
      </c>
    </row>
    <row r="328" spans="1:35" s="10" customFormat="1" x14ac:dyDescent="0.3">
      <c r="A328" s="11">
        <v>11.03</v>
      </c>
      <c r="B328" s="45" t="s">
        <v>330</v>
      </c>
      <c r="C328" s="10" t="s">
        <v>33</v>
      </c>
      <c r="D328" s="10" t="s">
        <v>35</v>
      </c>
      <c r="E328" s="10" t="s">
        <v>170</v>
      </c>
      <c r="F328" s="10">
        <v>0.37</v>
      </c>
      <c r="G328" s="10">
        <v>1.08</v>
      </c>
      <c r="H328" s="10">
        <v>0.62</v>
      </c>
      <c r="I328" s="10">
        <v>2.88</v>
      </c>
      <c r="J328" s="10">
        <v>7.68</v>
      </c>
      <c r="K328" s="10">
        <v>0.36</v>
      </c>
      <c r="L328" s="10">
        <v>0.4</v>
      </c>
      <c r="M328" s="10" t="s">
        <v>34</v>
      </c>
      <c r="N328" s="10" t="s">
        <v>34</v>
      </c>
      <c r="O328" s="10" t="s">
        <v>34</v>
      </c>
      <c r="P328" s="10" t="s">
        <v>34</v>
      </c>
      <c r="Q328" s="10">
        <v>0</v>
      </c>
      <c r="R328" s="10" t="s">
        <v>34</v>
      </c>
      <c r="S328" s="45" t="s">
        <v>34</v>
      </c>
      <c r="T328" s="10" t="s">
        <v>49</v>
      </c>
      <c r="U328" s="10" t="s">
        <v>313</v>
      </c>
      <c r="V328" s="10" t="s">
        <v>162</v>
      </c>
      <c r="W328" s="10">
        <v>15</v>
      </c>
      <c r="X328" s="10">
        <v>1</v>
      </c>
      <c r="Y328" s="10">
        <v>1</v>
      </c>
      <c r="Z328" s="10" t="s">
        <v>314</v>
      </c>
      <c r="AA328" s="10">
        <v>11.106</v>
      </c>
      <c r="AB328" s="10" t="s">
        <v>34</v>
      </c>
      <c r="AC328" s="10" t="s">
        <v>40</v>
      </c>
      <c r="AD328" s="13" t="s">
        <v>34</v>
      </c>
      <c r="AE328" s="13" t="s">
        <v>34</v>
      </c>
      <c r="AF328" s="10" t="s">
        <v>315</v>
      </c>
      <c r="AG328" s="10">
        <v>2025</v>
      </c>
      <c r="AH328" s="10" t="s">
        <v>316</v>
      </c>
      <c r="AI328" s="99" t="e">
        <f t="shared" si="10"/>
        <v>#VALUE!</v>
      </c>
    </row>
    <row r="329" spans="1:35" s="10" customFormat="1" x14ac:dyDescent="0.3">
      <c r="A329" s="11">
        <v>7.57</v>
      </c>
      <c r="B329" s="45" t="s">
        <v>331</v>
      </c>
      <c r="C329" s="10" t="s">
        <v>33</v>
      </c>
      <c r="D329" s="10" t="s">
        <v>35</v>
      </c>
      <c r="E329" s="10" t="s">
        <v>170</v>
      </c>
      <c r="F329" s="10">
        <v>0.37</v>
      </c>
      <c r="G329" s="10">
        <v>0.98</v>
      </c>
      <c r="H329" s="10">
        <v>0.59</v>
      </c>
      <c r="I329" s="10">
        <v>1.2</v>
      </c>
      <c r="J329" s="10">
        <v>3.27</v>
      </c>
      <c r="K329" s="10">
        <v>0.79</v>
      </c>
      <c r="L329" s="10">
        <v>0.43</v>
      </c>
      <c r="M329" s="10" t="s">
        <v>34</v>
      </c>
      <c r="N329" s="10" t="s">
        <v>34</v>
      </c>
      <c r="O329" s="10" t="s">
        <v>34</v>
      </c>
      <c r="P329" s="10" t="s">
        <v>34</v>
      </c>
      <c r="Q329" s="10">
        <v>0</v>
      </c>
      <c r="R329" s="10" t="s">
        <v>34</v>
      </c>
      <c r="S329" s="45" t="s">
        <v>34</v>
      </c>
      <c r="T329" s="10" t="s">
        <v>49</v>
      </c>
      <c r="U329" s="10" t="s">
        <v>313</v>
      </c>
      <c r="V329" s="10" t="s">
        <v>162</v>
      </c>
      <c r="W329" s="10">
        <v>9</v>
      </c>
      <c r="X329" s="10">
        <v>1</v>
      </c>
      <c r="Y329" s="10">
        <v>1</v>
      </c>
      <c r="Z329" s="10" t="s">
        <v>314</v>
      </c>
      <c r="AA329" s="10">
        <v>12.106</v>
      </c>
      <c r="AB329" s="10" t="s">
        <v>34</v>
      </c>
      <c r="AC329" s="10" t="s">
        <v>40</v>
      </c>
      <c r="AD329" s="13" t="s">
        <v>34</v>
      </c>
      <c r="AE329" s="13" t="s">
        <v>34</v>
      </c>
      <c r="AF329" s="10" t="s">
        <v>315</v>
      </c>
      <c r="AG329" s="10">
        <v>2025</v>
      </c>
      <c r="AH329" s="10" t="s">
        <v>316</v>
      </c>
      <c r="AI329" s="99" t="e">
        <f t="shared" si="10"/>
        <v>#VALUE!</v>
      </c>
    </row>
    <row r="330" spans="1:35" s="10" customFormat="1" x14ac:dyDescent="0.3">
      <c r="A330" s="11">
        <v>10.050000000000001</v>
      </c>
      <c r="B330" s="45" t="s">
        <v>332</v>
      </c>
      <c r="C330" s="10" t="s">
        <v>33</v>
      </c>
      <c r="D330" s="10" t="s">
        <v>35</v>
      </c>
      <c r="E330" s="10" t="s">
        <v>170</v>
      </c>
      <c r="F330" s="10">
        <v>0.37</v>
      </c>
      <c r="G330" s="10">
        <v>0.98</v>
      </c>
      <c r="H330" s="10">
        <v>0.59</v>
      </c>
      <c r="I330" s="10">
        <v>1.2</v>
      </c>
      <c r="J330" s="10">
        <v>3.27</v>
      </c>
      <c r="K330" s="10">
        <v>0.79</v>
      </c>
      <c r="L330" s="10">
        <v>0.43</v>
      </c>
      <c r="M330" s="10" t="s">
        <v>34</v>
      </c>
      <c r="N330" s="10" t="s">
        <v>34</v>
      </c>
      <c r="O330" s="10" t="s">
        <v>34</v>
      </c>
      <c r="P330" s="10" t="s">
        <v>34</v>
      </c>
      <c r="Q330" s="10">
        <v>0</v>
      </c>
      <c r="R330" s="10" t="s">
        <v>34</v>
      </c>
      <c r="S330" s="45" t="s">
        <v>34</v>
      </c>
      <c r="T330" s="10" t="s">
        <v>49</v>
      </c>
      <c r="U330" s="10" t="s">
        <v>313</v>
      </c>
      <c r="V330" s="10" t="s">
        <v>162</v>
      </c>
      <c r="W330" s="10">
        <v>12</v>
      </c>
      <c r="X330" s="10">
        <v>1</v>
      </c>
      <c r="Y330" s="10">
        <v>1</v>
      </c>
      <c r="Z330" s="10" t="s">
        <v>314</v>
      </c>
      <c r="AA330" s="10">
        <v>13.106</v>
      </c>
      <c r="AB330" s="10" t="s">
        <v>34</v>
      </c>
      <c r="AC330" s="10" t="s">
        <v>40</v>
      </c>
      <c r="AD330" s="13" t="s">
        <v>34</v>
      </c>
      <c r="AE330" s="13" t="s">
        <v>34</v>
      </c>
      <c r="AF330" s="10" t="s">
        <v>315</v>
      </c>
      <c r="AG330" s="10">
        <v>2025</v>
      </c>
      <c r="AH330" s="10" t="s">
        <v>316</v>
      </c>
      <c r="AI330" s="99" t="e">
        <f t="shared" si="10"/>
        <v>#VALUE!</v>
      </c>
    </row>
    <row r="331" spans="1:35" s="14" customFormat="1" ht="16.2" thickBot="1" x14ac:dyDescent="0.35">
      <c r="A331" s="17">
        <v>11.06</v>
      </c>
      <c r="B331" s="38" t="s">
        <v>333</v>
      </c>
      <c r="C331" s="14" t="s">
        <v>33</v>
      </c>
      <c r="D331" s="14" t="s">
        <v>35</v>
      </c>
      <c r="E331" s="14" t="s">
        <v>170</v>
      </c>
      <c r="F331" s="14">
        <v>0.37</v>
      </c>
      <c r="G331" s="14">
        <v>0.98</v>
      </c>
      <c r="H331" s="14">
        <v>0.59</v>
      </c>
      <c r="I331" s="14">
        <v>1.2</v>
      </c>
      <c r="J331" s="14">
        <v>3.27</v>
      </c>
      <c r="K331" s="14">
        <v>0.79</v>
      </c>
      <c r="L331" s="14">
        <v>0.43</v>
      </c>
      <c r="M331" s="14" t="s">
        <v>34</v>
      </c>
      <c r="N331" s="14" t="s">
        <v>34</v>
      </c>
      <c r="O331" s="14" t="s">
        <v>34</v>
      </c>
      <c r="P331" s="14" t="s">
        <v>34</v>
      </c>
      <c r="Q331" s="14">
        <v>0</v>
      </c>
      <c r="R331" s="14" t="s">
        <v>34</v>
      </c>
      <c r="S331" s="38" t="s">
        <v>34</v>
      </c>
      <c r="T331" s="14" t="s">
        <v>49</v>
      </c>
      <c r="U331" s="14" t="s">
        <v>313</v>
      </c>
      <c r="V331" s="14" t="s">
        <v>162</v>
      </c>
      <c r="W331" s="14">
        <v>15</v>
      </c>
      <c r="X331" s="14">
        <v>1</v>
      </c>
      <c r="Y331" s="14">
        <v>1</v>
      </c>
      <c r="Z331" s="14" t="s">
        <v>314</v>
      </c>
      <c r="AA331" s="14">
        <v>14.106</v>
      </c>
      <c r="AB331" s="14" t="s">
        <v>34</v>
      </c>
      <c r="AC331" s="14" t="s">
        <v>40</v>
      </c>
      <c r="AD331" s="13" t="s">
        <v>34</v>
      </c>
      <c r="AE331" s="13" t="s">
        <v>34</v>
      </c>
      <c r="AF331" s="14" t="s">
        <v>315</v>
      </c>
      <c r="AG331" s="14">
        <v>2025</v>
      </c>
      <c r="AH331" s="14" t="s">
        <v>316</v>
      </c>
      <c r="AI331" s="99" t="e">
        <f t="shared" si="10"/>
        <v>#VALUE!</v>
      </c>
    </row>
    <row r="332" spans="1:35" s="13" customFormat="1" x14ac:dyDescent="0.3">
      <c r="A332" s="12">
        <v>0</v>
      </c>
      <c r="B332" s="36">
        <v>4.6380523949291001E-4</v>
      </c>
      <c r="C332" s="13" t="s">
        <v>33</v>
      </c>
      <c r="D332" s="13" t="s">
        <v>386</v>
      </c>
      <c r="E332" s="13" t="s">
        <v>387</v>
      </c>
      <c r="F332" s="13">
        <v>0.13800000000000001</v>
      </c>
      <c r="G332" s="13">
        <v>0.30199999999999999</v>
      </c>
      <c r="H332" s="13">
        <v>0.215</v>
      </c>
      <c r="I332" s="13">
        <v>0.34399999999999997</v>
      </c>
      <c r="J332" s="13">
        <v>2.1800000000000002</v>
      </c>
      <c r="K332" s="13">
        <v>0.92</v>
      </c>
      <c r="L332" s="13">
        <v>0</v>
      </c>
      <c r="M332" s="13">
        <v>40</v>
      </c>
      <c r="N332" s="13">
        <v>1075.05</v>
      </c>
      <c r="O332" s="13">
        <v>1.75</v>
      </c>
      <c r="P332" s="13">
        <v>1.27</v>
      </c>
      <c r="Q332" s="13">
        <v>0</v>
      </c>
      <c r="R332" s="13">
        <v>2.75</v>
      </c>
      <c r="S332" s="36">
        <v>4.4500000000000003E-4</v>
      </c>
      <c r="T332" s="13" t="s">
        <v>36</v>
      </c>
      <c r="U332" s="13" t="s">
        <v>388</v>
      </c>
      <c r="V332" s="13" t="s">
        <v>38</v>
      </c>
      <c r="W332" s="13">
        <v>3</v>
      </c>
      <c r="X332" s="13">
        <v>1</v>
      </c>
      <c r="Y332" s="13">
        <v>1</v>
      </c>
      <c r="Z332" s="13" t="s">
        <v>33</v>
      </c>
      <c r="AA332" s="13">
        <v>9.6000000000000002E-2</v>
      </c>
      <c r="AB332" s="13" t="s">
        <v>34</v>
      </c>
      <c r="AC332" s="13" t="s">
        <v>40</v>
      </c>
      <c r="AD332" s="13" t="s">
        <v>277</v>
      </c>
      <c r="AE332" s="13">
        <v>0.96779999999999999</v>
      </c>
      <c r="AF332" s="13" t="s">
        <v>342</v>
      </c>
      <c r="AG332" s="13">
        <v>2017</v>
      </c>
      <c r="AH332" s="13" t="s">
        <v>389</v>
      </c>
      <c r="AI332" s="99">
        <f t="shared" si="10"/>
        <v>1.0422589651526066</v>
      </c>
    </row>
    <row r="333" spans="1:35" s="10" customFormat="1" x14ac:dyDescent="0.3">
      <c r="A333" s="11">
        <v>16.833523819846462</v>
      </c>
      <c r="B333" s="45">
        <v>1.4717201072740401E-4</v>
      </c>
      <c r="C333" s="10" t="s">
        <v>33</v>
      </c>
      <c r="D333" s="10" t="s">
        <v>386</v>
      </c>
      <c r="E333" s="10" t="s">
        <v>387</v>
      </c>
      <c r="F333" s="10">
        <v>0.13800000000000001</v>
      </c>
      <c r="G333" s="10">
        <v>0.30199999999999999</v>
      </c>
      <c r="H333" s="10">
        <v>0.215</v>
      </c>
      <c r="I333" s="10">
        <v>0.34399999999999997</v>
      </c>
      <c r="J333" s="10">
        <v>2.1800000000000002</v>
      </c>
      <c r="K333" s="10">
        <v>0.92</v>
      </c>
      <c r="L333" s="10">
        <v>0</v>
      </c>
      <c r="M333" s="10">
        <v>40</v>
      </c>
      <c r="N333" s="10">
        <v>1075.05</v>
      </c>
      <c r="O333" s="10">
        <v>1.75</v>
      </c>
      <c r="P333" s="10">
        <v>1.27</v>
      </c>
      <c r="Q333" s="10">
        <v>0</v>
      </c>
      <c r="R333" s="10">
        <v>2.75</v>
      </c>
      <c r="S333" s="45">
        <v>4.4500000000000003E-4</v>
      </c>
      <c r="T333" s="10" t="s">
        <v>36</v>
      </c>
      <c r="U333" s="10" t="s">
        <v>388</v>
      </c>
      <c r="V333" s="10" t="s">
        <v>38</v>
      </c>
      <c r="W333" s="10">
        <v>3</v>
      </c>
      <c r="X333" s="10">
        <v>1</v>
      </c>
      <c r="Y333" s="10">
        <v>1</v>
      </c>
      <c r="Z333" s="10" t="s">
        <v>33</v>
      </c>
      <c r="AA333" s="10">
        <v>9.6000000000000002E-2</v>
      </c>
      <c r="AB333" s="10" t="s">
        <v>34</v>
      </c>
      <c r="AC333" s="10" t="s">
        <v>40</v>
      </c>
      <c r="AD333" s="10" t="s">
        <v>277</v>
      </c>
      <c r="AE333" s="10">
        <v>0.96779999999999999</v>
      </c>
      <c r="AF333" s="10" t="s">
        <v>342</v>
      </c>
      <c r="AG333" s="13">
        <v>2017</v>
      </c>
      <c r="AH333" s="10" t="s">
        <v>389</v>
      </c>
      <c r="AI333" s="99">
        <f t="shared" si="10"/>
        <v>0.3307236196121438</v>
      </c>
    </row>
    <row r="334" spans="1:35" s="10" customFormat="1" x14ac:dyDescent="0.3">
      <c r="A334" s="11">
        <v>23.279131513301522</v>
      </c>
      <c r="B334" s="45">
        <v>9.4012951238824099E-5</v>
      </c>
      <c r="C334" s="10" t="s">
        <v>33</v>
      </c>
      <c r="D334" s="10" t="s">
        <v>386</v>
      </c>
      <c r="E334" s="10" t="s">
        <v>387</v>
      </c>
      <c r="F334" s="10">
        <v>0.13800000000000001</v>
      </c>
      <c r="G334" s="10">
        <v>0.30199999999999999</v>
      </c>
      <c r="H334" s="10">
        <v>0.215</v>
      </c>
      <c r="I334" s="10">
        <v>0.34399999999999997</v>
      </c>
      <c r="J334" s="10">
        <v>2.1800000000000002</v>
      </c>
      <c r="K334" s="10">
        <v>0.92</v>
      </c>
      <c r="L334" s="10">
        <v>0</v>
      </c>
      <c r="M334" s="10">
        <v>40</v>
      </c>
      <c r="N334" s="10">
        <v>1075.05</v>
      </c>
      <c r="O334" s="10">
        <v>1.75</v>
      </c>
      <c r="P334" s="10">
        <v>1.27</v>
      </c>
      <c r="Q334" s="10">
        <v>0</v>
      </c>
      <c r="R334" s="10">
        <v>2.75</v>
      </c>
      <c r="S334" s="45">
        <v>4.4500000000000003E-4</v>
      </c>
      <c r="T334" s="10" t="s">
        <v>36</v>
      </c>
      <c r="U334" s="10" t="s">
        <v>388</v>
      </c>
      <c r="V334" s="10" t="s">
        <v>38</v>
      </c>
      <c r="W334" s="10">
        <v>3</v>
      </c>
      <c r="X334" s="10">
        <v>1</v>
      </c>
      <c r="Y334" s="10">
        <v>1</v>
      </c>
      <c r="Z334" s="10" t="s">
        <v>33</v>
      </c>
      <c r="AA334" s="10">
        <v>9.6000000000000002E-2</v>
      </c>
      <c r="AB334" s="10" t="s">
        <v>34</v>
      </c>
      <c r="AC334" s="10" t="s">
        <v>40</v>
      </c>
      <c r="AD334" s="10" t="s">
        <v>277</v>
      </c>
      <c r="AE334" s="10">
        <v>0.96779999999999999</v>
      </c>
      <c r="AF334" s="10" t="s">
        <v>342</v>
      </c>
      <c r="AG334" s="13">
        <v>2017</v>
      </c>
      <c r="AH334" s="10" t="s">
        <v>389</v>
      </c>
      <c r="AI334" s="99">
        <f t="shared" si="10"/>
        <v>0.21126505896364964</v>
      </c>
    </row>
    <row r="335" spans="1:35" s="10" customFormat="1" x14ac:dyDescent="0.3">
      <c r="A335" s="11">
        <v>28.797501344583392</v>
      </c>
      <c r="B335" s="45">
        <v>6.5506741672385893E-5</v>
      </c>
      <c r="C335" s="10" t="s">
        <v>33</v>
      </c>
      <c r="D335" s="10" t="s">
        <v>386</v>
      </c>
      <c r="E335" s="10" t="s">
        <v>387</v>
      </c>
      <c r="F335" s="10">
        <v>0.13800000000000001</v>
      </c>
      <c r="G335" s="10">
        <v>0.30199999999999999</v>
      </c>
      <c r="H335" s="10">
        <v>0.215</v>
      </c>
      <c r="I335" s="10">
        <v>0.34399999999999997</v>
      </c>
      <c r="J335" s="10">
        <v>2.1800000000000002</v>
      </c>
      <c r="K335" s="10">
        <v>0.92</v>
      </c>
      <c r="L335" s="10">
        <v>0</v>
      </c>
      <c r="M335" s="10">
        <v>40</v>
      </c>
      <c r="N335" s="10">
        <v>1075.05</v>
      </c>
      <c r="O335" s="10">
        <v>1.75</v>
      </c>
      <c r="P335" s="10">
        <v>1.27</v>
      </c>
      <c r="Q335" s="10">
        <v>0</v>
      </c>
      <c r="R335" s="10">
        <v>2.75</v>
      </c>
      <c r="S335" s="45">
        <v>4.4500000000000003E-4</v>
      </c>
      <c r="T335" s="10" t="s">
        <v>36</v>
      </c>
      <c r="U335" s="10" t="s">
        <v>388</v>
      </c>
      <c r="V335" s="10" t="s">
        <v>38</v>
      </c>
      <c r="W335" s="10">
        <v>3</v>
      </c>
      <c r="X335" s="10">
        <v>1</v>
      </c>
      <c r="Y335" s="10">
        <v>1</v>
      </c>
      <c r="Z335" s="10" t="s">
        <v>33</v>
      </c>
      <c r="AA335" s="10">
        <v>9.6000000000000002E-2</v>
      </c>
      <c r="AB335" s="10" t="s">
        <v>34</v>
      </c>
      <c r="AC335" s="10" t="s">
        <v>40</v>
      </c>
      <c r="AD335" s="10" t="s">
        <v>277</v>
      </c>
      <c r="AE335" s="10">
        <v>0.96779999999999999</v>
      </c>
      <c r="AF335" s="10" t="s">
        <v>342</v>
      </c>
      <c r="AG335" s="13">
        <v>2017</v>
      </c>
      <c r="AH335" s="10" t="s">
        <v>389</v>
      </c>
      <c r="AI335" s="99">
        <f t="shared" si="10"/>
        <v>0.14720616106154133</v>
      </c>
    </row>
    <row r="336" spans="1:35" s="10" customFormat="1" x14ac:dyDescent="0.3">
      <c r="A336" s="11">
        <v>33.607927631482411</v>
      </c>
      <c r="B336" s="45">
        <v>4.50221279497895E-5</v>
      </c>
      <c r="C336" s="10" t="s">
        <v>33</v>
      </c>
      <c r="D336" s="10" t="s">
        <v>386</v>
      </c>
      <c r="E336" s="10" t="s">
        <v>387</v>
      </c>
      <c r="F336" s="10">
        <v>0.13800000000000001</v>
      </c>
      <c r="G336" s="10">
        <v>0.30199999999999999</v>
      </c>
      <c r="H336" s="10">
        <v>0.215</v>
      </c>
      <c r="I336" s="10">
        <v>0.34399999999999997</v>
      </c>
      <c r="J336" s="10">
        <v>2.1800000000000002</v>
      </c>
      <c r="K336" s="10">
        <v>0.92</v>
      </c>
      <c r="L336" s="10">
        <v>0</v>
      </c>
      <c r="M336" s="10">
        <v>40</v>
      </c>
      <c r="N336" s="10">
        <v>1075.05</v>
      </c>
      <c r="O336" s="10">
        <v>1.75</v>
      </c>
      <c r="P336" s="10">
        <v>1.27</v>
      </c>
      <c r="Q336" s="10">
        <v>0</v>
      </c>
      <c r="R336" s="10">
        <v>2.75</v>
      </c>
      <c r="S336" s="45">
        <v>4.4500000000000003E-4</v>
      </c>
      <c r="T336" s="10" t="s">
        <v>36</v>
      </c>
      <c r="U336" s="10" t="s">
        <v>388</v>
      </c>
      <c r="V336" s="10" t="s">
        <v>38</v>
      </c>
      <c r="W336" s="10">
        <v>3</v>
      </c>
      <c r="X336" s="10">
        <v>1</v>
      </c>
      <c r="Y336" s="10">
        <v>1</v>
      </c>
      <c r="Z336" s="10" t="s">
        <v>33</v>
      </c>
      <c r="AA336" s="10">
        <v>9.6000000000000002E-2</v>
      </c>
      <c r="AB336" s="10" t="s">
        <v>34</v>
      </c>
      <c r="AC336" s="10" t="s">
        <v>390</v>
      </c>
      <c r="AD336" s="10" t="s">
        <v>277</v>
      </c>
      <c r="AE336" s="10">
        <v>0.96779999999999999</v>
      </c>
      <c r="AF336" s="10" t="s">
        <v>342</v>
      </c>
      <c r="AG336" s="13">
        <v>2017</v>
      </c>
      <c r="AH336" s="10" t="s">
        <v>389</v>
      </c>
      <c r="AI336" s="99">
        <f t="shared" si="10"/>
        <v>0.10117332123548202</v>
      </c>
    </row>
    <row r="337" spans="1:35" s="10" customFormat="1" x14ac:dyDescent="0.3">
      <c r="A337" s="11">
        <v>0</v>
      </c>
      <c r="B337" s="45">
        <v>4.3305613015585497E-4</v>
      </c>
      <c r="C337" s="10" t="s">
        <v>33</v>
      </c>
      <c r="D337" s="10" t="s">
        <v>386</v>
      </c>
      <c r="E337" s="10" t="s">
        <v>387</v>
      </c>
      <c r="F337" s="10">
        <v>0.13800000000000001</v>
      </c>
      <c r="G337" s="10">
        <v>0.30199999999999999</v>
      </c>
      <c r="H337" s="10">
        <v>0.215</v>
      </c>
      <c r="I337" s="11">
        <v>0.34399999999999997</v>
      </c>
      <c r="J337" s="10">
        <v>2.1800000000000002</v>
      </c>
      <c r="K337" s="10">
        <v>0.92</v>
      </c>
      <c r="L337" s="10">
        <v>0</v>
      </c>
      <c r="M337" s="10">
        <v>40</v>
      </c>
      <c r="N337" s="10">
        <v>1075.05</v>
      </c>
      <c r="O337" s="10">
        <v>1.75</v>
      </c>
      <c r="P337" s="10">
        <v>1.27</v>
      </c>
      <c r="Q337" s="10">
        <v>0</v>
      </c>
      <c r="R337" s="10">
        <v>2.75</v>
      </c>
      <c r="S337" s="10">
        <v>4.4500000000000003E-4</v>
      </c>
      <c r="T337" s="10" t="s">
        <v>36</v>
      </c>
      <c r="U337" s="10" t="s">
        <v>388</v>
      </c>
      <c r="V337" s="10" t="s">
        <v>38</v>
      </c>
      <c r="W337" s="10">
        <v>3</v>
      </c>
      <c r="X337" s="10">
        <v>1</v>
      </c>
      <c r="Y337" s="42">
        <v>1</v>
      </c>
      <c r="Z337" s="10" t="s">
        <v>33</v>
      </c>
      <c r="AA337" s="11">
        <v>9.6000000000000002E-2</v>
      </c>
      <c r="AB337" s="10" t="s">
        <v>34</v>
      </c>
      <c r="AC337" s="10" t="s">
        <v>390</v>
      </c>
      <c r="AD337" s="10" t="s">
        <v>277</v>
      </c>
      <c r="AE337" s="10">
        <v>0.96779999999999999</v>
      </c>
      <c r="AF337" s="10" t="s">
        <v>342</v>
      </c>
      <c r="AG337" s="13">
        <v>2017</v>
      </c>
      <c r="AH337" s="10" t="s">
        <v>389</v>
      </c>
      <c r="AI337" s="99">
        <f t="shared" si="10"/>
        <v>0.97315984304686509</v>
      </c>
    </row>
    <row r="338" spans="1:35" s="10" customFormat="1" x14ac:dyDescent="0.3">
      <c r="A338" s="11">
        <v>17.19104721514633</v>
      </c>
      <c r="B338" s="45">
        <v>1.3247837278944599E-4</v>
      </c>
      <c r="C338" s="10" t="s">
        <v>33</v>
      </c>
      <c r="D338" s="10" t="s">
        <v>386</v>
      </c>
      <c r="E338" s="10" t="s">
        <v>387</v>
      </c>
      <c r="F338" s="10">
        <v>0.13800000000000001</v>
      </c>
      <c r="G338" s="10">
        <v>0.30199999999999999</v>
      </c>
      <c r="H338" s="10">
        <v>0.215</v>
      </c>
      <c r="I338" s="11">
        <v>0.34399999999999997</v>
      </c>
      <c r="J338" s="10">
        <v>2.1800000000000002</v>
      </c>
      <c r="K338" s="10">
        <v>0.92</v>
      </c>
      <c r="L338" s="10">
        <v>0</v>
      </c>
      <c r="M338" s="10">
        <v>40</v>
      </c>
      <c r="N338" s="10">
        <v>1075.05</v>
      </c>
      <c r="O338" s="10">
        <v>1.75</v>
      </c>
      <c r="P338" s="10">
        <v>1.27</v>
      </c>
      <c r="Q338" s="10">
        <v>0</v>
      </c>
      <c r="R338" s="10">
        <v>2.75</v>
      </c>
      <c r="S338" s="10">
        <v>4.4500000000000003E-4</v>
      </c>
      <c r="T338" s="10" t="s">
        <v>36</v>
      </c>
      <c r="U338" s="10" t="s">
        <v>388</v>
      </c>
      <c r="V338" s="10" t="s">
        <v>38</v>
      </c>
      <c r="W338" s="10">
        <v>3</v>
      </c>
      <c r="X338" s="10">
        <v>1</v>
      </c>
      <c r="Y338" s="42">
        <v>1</v>
      </c>
      <c r="Z338" s="10" t="s">
        <v>33</v>
      </c>
      <c r="AA338" s="11">
        <v>9.6000000000000002E-2</v>
      </c>
      <c r="AB338" s="10" t="s">
        <v>34</v>
      </c>
      <c r="AC338" s="10" t="s">
        <v>390</v>
      </c>
      <c r="AD338" s="10" t="s">
        <v>277</v>
      </c>
      <c r="AE338" s="10">
        <v>0.96779999999999999</v>
      </c>
      <c r="AF338" s="10" t="s">
        <v>342</v>
      </c>
      <c r="AG338" s="13">
        <v>2017</v>
      </c>
      <c r="AH338" s="10" t="s">
        <v>389</v>
      </c>
      <c r="AI338" s="99">
        <f t="shared" si="10"/>
        <v>0.29770420851560897</v>
      </c>
    </row>
    <row r="339" spans="1:35" s="10" customFormat="1" x14ac:dyDescent="0.3">
      <c r="A339" s="11">
        <v>23.778728545869377</v>
      </c>
      <c r="B339" s="45">
        <v>3.9071222581854998E-5</v>
      </c>
      <c r="C339" s="10" t="s">
        <v>33</v>
      </c>
      <c r="D339" s="10" t="s">
        <v>386</v>
      </c>
      <c r="E339" s="10" t="s">
        <v>387</v>
      </c>
      <c r="F339" s="10">
        <v>0.13800000000000001</v>
      </c>
      <c r="G339" s="10">
        <v>0.30199999999999999</v>
      </c>
      <c r="H339" s="10">
        <v>0.215</v>
      </c>
      <c r="I339" s="11">
        <v>0.34399999999999997</v>
      </c>
      <c r="J339" s="10">
        <v>2.1800000000000002</v>
      </c>
      <c r="K339" s="10">
        <v>0.92</v>
      </c>
      <c r="L339" s="10">
        <v>0</v>
      </c>
      <c r="M339" s="10">
        <v>40</v>
      </c>
      <c r="N339" s="10">
        <v>1075.05</v>
      </c>
      <c r="O339" s="10">
        <v>1.75</v>
      </c>
      <c r="P339" s="10">
        <v>1.27</v>
      </c>
      <c r="Q339" s="10">
        <v>0</v>
      </c>
      <c r="R339" s="10">
        <v>2.75</v>
      </c>
      <c r="S339" s="10">
        <v>4.4500000000000003E-4</v>
      </c>
      <c r="T339" s="10" t="s">
        <v>36</v>
      </c>
      <c r="U339" s="10" t="s">
        <v>388</v>
      </c>
      <c r="V339" s="10" t="s">
        <v>38</v>
      </c>
      <c r="W339" s="10">
        <v>3</v>
      </c>
      <c r="X339" s="10">
        <v>1</v>
      </c>
      <c r="Y339" s="42">
        <v>1</v>
      </c>
      <c r="Z339" s="10" t="s">
        <v>33</v>
      </c>
      <c r="AA339" s="11">
        <v>9.6000000000000002E-2</v>
      </c>
      <c r="AB339" s="10" t="s">
        <v>34</v>
      </c>
      <c r="AC339" s="10" t="s">
        <v>390</v>
      </c>
      <c r="AD339" s="10" t="s">
        <v>277</v>
      </c>
      <c r="AE339" s="10">
        <v>0.96779999999999999</v>
      </c>
      <c r="AF339" s="10" t="s">
        <v>342</v>
      </c>
      <c r="AG339" s="13">
        <v>2017</v>
      </c>
      <c r="AH339" s="10" t="s">
        <v>389</v>
      </c>
      <c r="AI339" s="99">
        <f t="shared" si="10"/>
        <v>8.7800500183943808E-2</v>
      </c>
    </row>
    <row r="340" spans="1:35" s="10" customFormat="1" x14ac:dyDescent="0.3">
      <c r="A340" s="11">
        <v>29.414494515377836</v>
      </c>
      <c r="B340" s="45">
        <v>3.13707086766787E-5</v>
      </c>
      <c r="C340" s="10" t="s">
        <v>33</v>
      </c>
      <c r="D340" s="10" t="s">
        <v>386</v>
      </c>
      <c r="E340" s="10" t="s">
        <v>387</v>
      </c>
      <c r="F340" s="10">
        <v>0.13800000000000001</v>
      </c>
      <c r="G340" s="10">
        <v>0.30199999999999999</v>
      </c>
      <c r="H340" s="10">
        <v>0.215</v>
      </c>
      <c r="I340" s="11">
        <v>0.34399999999999997</v>
      </c>
      <c r="J340" s="10">
        <v>2.1800000000000002</v>
      </c>
      <c r="K340" s="10">
        <v>0.92</v>
      </c>
      <c r="L340" s="10">
        <v>0</v>
      </c>
      <c r="M340" s="10">
        <v>40</v>
      </c>
      <c r="N340" s="10">
        <v>1075.05</v>
      </c>
      <c r="O340" s="10">
        <v>1.75</v>
      </c>
      <c r="P340" s="10">
        <v>1.27</v>
      </c>
      <c r="Q340" s="10">
        <v>0</v>
      </c>
      <c r="R340" s="10">
        <v>2.75</v>
      </c>
      <c r="S340" s="10">
        <v>4.4500000000000003E-4</v>
      </c>
      <c r="T340" s="10" t="s">
        <v>36</v>
      </c>
      <c r="U340" s="10" t="s">
        <v>388</v>
      </c>
      <c r="V340" s="10" t="s">
        <v>38</v>
      </c>
      <c r="W340" s="10">
        <v>3</v>
      </c>
      <c r="X340" s="10">
        <v>1</v>
      </c>
      <c r="Y340" s="42">
        <v>1</v>
      </c>
      <c r="Z340" s="10" t="s">
        <v>33</v>
      </c>
      <c r="AA340" s="11">
        <v>9.6000000000000002E-2</v>
      </c>
      <c r="AB340" s="10" t="s">
        <v>34</v>
      </c>
      <c r="AC340" s="10" t="s">
        <v>390</v>
      </c>
      <c r="AD340" s="10" t="s">
        <v>277</v>
      </c>
      <c r="AE340" s="10">
        <v>0.96779999999999999</v>
      </c>
      <c r="AF340" s="10" t="s">
        <v>342</v>
      </c>
      <c r="AG340" s="13">
        <v>2017</v>
      </c>
      <c r="AH340" s="10" t="s">
        <v>389</v>
      </c>
      <c r="AI340" s="99">
        <f t="shared" si="10"/>
        <v>7.0495974554334151E-2</v>
      </c>
    </row>
    <row r="341" spans="1:35" s="10" customFormat="1" ht="16.2" thickBot="1" x14ac:dyDescent="0.35">
      <c r="A341" s="17">
        <v>34.24130140743798</v>
      </c>
      <c r="B341" s="38">
        <v>2.2262146213369599E-5</v>
      </c>
      <c r="C341" s="14" t="s">
        <v>33</v>
      </c>
      <c r="D341" s="14" t="s">
        <v>386</v>
      </c>
      <c r="E341" s="14" t="s">
        <v>387</v>
      </c>
      <c r="F341" s="14">
        <v>0.13800000000000001</v>
      </c>
      <c r="G341" s="14">
        <v>0.30199999999999999</v>
      </c>
      <c r="H341" s="14">
        <v>0.215</v>
      </c>
      <c r="I341" s="17">
        <v>0.34399999999999997</v>
      </c>
      <c r="J341" s="14">
        <v>2.1800000000000002</v>
      </c>
      <c r="K341" s="14">
        <v>0.92</v>
      </c>
      <c r="L341" s="14">
        <v>0</v>
      </c>
      <c r="M341" s="14">
        <v>40</v>
      </c>
      <c r="N341" s="14">
        <v>1075.05</v>
      </c>
      <c r="O341" s="14">
        <v>1.75</v>
      </c>
      <c r="P341" s="14">
        <v>1.27</v>
      </c>
      <c r="Q341" s="14">
        <v>0</v>
      </c>
      <c r="R341" s="14">
        <v>2.75</v>
      </c>
      <c r="S341" s="14">
        <v>4.4500000000000003E-4</v>
      </c>
      <c r="T341" s="14" t="s">
        <v>36</v>
      </c>
      <c r="U341" s="14" t="s">
        <v>388</v>
      </c>
      <c r="V341" s="14" t="s">
        <v>38</v>
      </c>
      <c r="W341" s="14">
        <v>3</v>
      </c>
      <c r="X341" s="14">
        <v>1</v>
      </c>
      <c r="Y341" s="41">
        <v>1</v>
      </c>
      <c r="Z341" s="14" t="s">
        <v>33</v>
      </c>
      <c r="AA341" s="17">
        <v>9.6000000000000002E-2</v>
      </c>
      <c r="AB341" s="14" t="s">
        <v>34</v>
      </c>
      <c r="AC341" s="14" t="s">
        <v>390</v>
      </c>
      <c r="AD341" s="14" t="s">
        <v>277</v>
      </c>
      <c r="AE341" s="14">
        <v>0.96779999999999999</v>
      </c>
      <c r="AF341" s="14" t="s">
        <v>342</v>
      </c>
      <c r="AG341" s="14">
        <v>2017</v>
      </c>
      <c r="AH341" s="14" t="s">
        <v>389</v>
      </c>
      <c r="AI341" s="99">
        <f t="shared" si="10"/>
        <v>5.0027294861504715E-2</v>
      </c>
    </row>
    <row r="342" spans="1:35" s="10" customFormat="1" x14ac:dyDescent="0.3">
      <c r="A342" s="65">
        <v>11.386639676113299</v>
      </c>
      <c r="B342" s="69">
        <v>9.5364741641337392E-3</v>
      </c>
      <c r="C342" s="66" t="s">
        <v>33</v>
      </c>
      <c r="D342" s="66" t="s">
        <v>35</v>
      </c>
      <c r="E342" s="66" t="s">
        <v>387</v>
      </c>
      <c r="F342" s="66">
        <v>0.23</v>
      </c>
      <c r="G342" s="66">
        <v>0.4</v>
      </c>
      <c r="H342" s="72">
        <v>0.32</v>
      </c>
      <c r="I342" s="65">
        <v>0.42</v>
      </c>
      <c r="J342" s="66">
        <v>1.83</v>
      </c>
      <c r="K342" s="66">
        <v>1.06</v>
      </c>
      <c r="L342" s="66">
        <v>0</v>
      </c>
      <c r="M342" s="66">
        <v>30</v>
      </c>
      <c r="N342" s="66">
        <v>1311.1888111888113</v>
      </c>
      <c r="O342" s="66">
        <v>1.1599999999999999</v>
      </c>
      <c r="P342" s="66">
        <v>0.82399999999999995</v>
      </c>
      <c r="Q342" s="66">
        <v>39.229629629629628</v>
      </c>
      <c r="R342" s="66">
        <v>2.7</v>
      </c>
      <c r="S342" s="66" t="s">
        <v>34</v>
      </c>
      <c r="T342" s="66" t="s">
        <v>36</v>
      </c>
      <c r="U342" s="66" t="s">
        <v>388</v>
      </c>
      <c r="V342" s="66" t="s">
        <v>38</v>
      </c>
      <c r="W342" s="66">
        <v>6</v>
      </c>
      <c r="X342" s="66">
        <v>1</v>
      </c>
      <c r="Y342" s="70">
        <v>1</v>
      </c>
      <c r="Z342" s="66" t="s">
        <v>33</v>
      </c>
      <c r="AA342" s="65">
        <v>0.38219999999999998</v>
      </c>
      <c r="AB342" s="66" t="s">
        <v>34</v>
      </c>
      <c r="AC342" s="66" t="s">
        <v>40</v>
      </c>
      <c r="AD342" s="66" t="s">
        <v>277</v>
      </c>
      <c r="AE342" s="66">
        <v>0.67649999999999999</v>
      </c>
      <c r="AF342" s="66" t="s">
        <v>309</v>
      </c>
      <c r="AG342" s="66">
        <v>2023</v>
      </c>
      <c r="AH342" s="66" t="s">
        <v>393</v>
      </c>
      <c r="AI342" s="99" t="e">
        <f t="shared" si="10"/>
        <v>#VALUE!</v>
      </c>
    </row>
    <row r="343" spans="1:35" s="10" customFormat="1" x14ac:dyDescent="0.3">
      <c r="A343" s="11">
        <v>13.486842105263101</v>
      </c>
      <c r="B343" s="45">
        <v>8.8019250253292807E-3</v>
      </c>
      <c r="C343" s="10" t="s">
        <v>33</v>
      </c>
      <c r="D343" s="10" t="s">
        <v>35</v>
      </c>
      <c r="E343" s="10" t="s">
        <v>387</v>
      </c>
      <c r="F343" s="10">
        <v>0.23</v>
      </c>
      <c r="G343" s="11">
        <v>0.4</v>
      </c>
      <c r="H343" s="68">
        <v>0.32</v>
      </c>
      <c r="I343" s="10">
        <v>0.42</v>
      </c>
      <c r="J343" s="10">
        <v>1.83</v>
      </c>
      <c r="K343" s="10">
        <v>1.06</v>
      </c>
      <c r="L343" s="10">
        <v>0</v>
      </c>
      <c r="M343" s="10">
        <v>40</v>
      </c>
      <c r="N343" s="10">
        <v>1332.9383886255923</v>
      </c>
      <c r="O343" s="10">
        <v>1.1599999999999999</v>
      </c>
      <c r="P343" s="10">
        <v>0.82399999999999995</v>
      </c>
      <c r="Q343" s="10">
        <v>37.985185185185181</v>
      </c>
      <c r="R343" s="10">
        <v>2.7</v>
      </c>
      <c r="S343" s="10" t="s">
        <v>34</v>
      </c>
      <c r="T343" s="10" t="s">
        <v>36</v>
      </c>
      <c r="U343" s="10" t="s">
        <v>388</v>
      </c>
      <c r="V343" s="10" t="s">
        <v>38</v>
      </c>
      <c r="W343" s="10">
        <v>6</v>
      </c>
      <c r="X343" s="10">
        <v>1</v>
      </c>
      <c r="Y343" s="10">
        <v>1</v>
      </c>
      <c r="Z343" s="10" t="s">
        <v>33</v>
      </c>
      <c r="AA343" s="10">
        <v>0.38219999999999998</v>
      </c>
      <c r="AB343" s="10" t="s">
        <v>34</v>
      </c>
      <c r="AC343" s="10" t="s">
        <v>40</v>
      </c>
      <c r="AD343" s="10" t="s">
        <v>277</v>
      </c>
      <c r="AE343" s="10">
        <v>0.67649999999999999</v>
      </c>
      <c r="AF343" s="10" t="s">
        <v>309</v>
      </c>
      <c r="AG343" s="10">
        <v>2023</v>
      </c>
      <c r="AH343" s="10" t="s">
        <v>393</v>
      </c>
      <c r="AI343" s="99" t="e">
        <f t="shared" si="10"/>
        <v>#VALUE!</v>
      </c>
    </row>
    <row r="344" spans="1:35" s="10" customFormat="1" x14ac:dyDescent="0.3">
      <c r="A344" s="11">
        <v>16.523279352226702</v>
      </c>
      <c r="B344" s="45">
        <v>7.11752786220871E-3</v>
      </c>
      <c r="C344" s="10" t="s">
        <v>33</v>
      </c>
      <c r="D344" s="10" t="s">
        <v>35</v>
      </c>
      <c r="E344" s="10" t="s">
        <v>387</v>
      </c>
      <c r="F344" s="10">
        <v>0.23</v>
      </c>
      <c r="G344" s="11">
        <v>0.4</v>
      </c>
      <c r="H344" s="68">
        <v>0.32</v>
      </c>
      <c r="I344" s="10">
        <v>0.42</v>
      </c>
      <c r="J344" s="10">
        <v>1.83</v>
      </c>
      <c r="K344" s="10">
        <v>1.06</v>
      </c>
      <c r="L344" s="10">
        <v>0</v>
      </c>
      <c r="M344" s="10">
        <v>50</v>
      </c>
      <c r="N344" s="10">
        <v>1355.4216867469879</v>
      </c>
      <c r="O344" s="10">
        <v>1.1599999999999999</v>
      </c>
      <c r="P344" s="10">
        <v>0.82399999999999995</v>
      </c>
      <c r="Q344" s="10">
        <v>36.74074074074074</v>
      </c>
      <c r="R344" s="10">
        <v>2.7</v>
      </c>
      <c r="S344" s="10" t="s">
        <v>34</v>
      </c>
      <c r="T344" s="10" t="s">
        <v>36</v>
      </c>
      <c r="U344" s="10" t="s">
        <v>388</v>
      </c>
      <c r="V344" s="10" t="s">
        <v>38</v>
      </c>
      <c r="W344" s="10">
        <v>6</v>
      </c>
      <c r="X344" s="10">
        <v>1</v>
      </c>
      <c r="Y344" s="10">
        <v>1</v>
      </c>
      <c r="Z344" s="10" t="s">
        <v>33</v>
      </c>
      <c r="AA344" s="10">
        <v>0.38219999999999998</v>
      </c>
      <c r="AB344" s="10" t="s">
        <v>34</v>
      </c>
      <c r="AC344" s="10" t="s">
        <v>40</v>
      </c>
      <c r="AD344" s="10" t="s">
        <v>277</v>
      </c>
      <c r="AE344" s="10">
        <v>0.67649999999999999</v>
      </c>
      <c r="AF344" s="10" t="s">
        <v>309</v>
      </c>
      <c r="AG344" s="10">
        <v>2023</v>
      </c>
      <c r="AH344" s="10" t="s">
        <v>393</v>
      </c>
      <c r="AI344" s="99" t="e">
        <f t="shared" si="10"/>
        <v>#VALUE!</v>
      </c>
    </row>
    <row r="345" spans="1:35" s="10" customFormat="1" x14ac:dyDescent="0.3">
      <c r="A345" s="11">
        <v>17.484817813765101</v>
      </c>
      <c r="B345" s="45">
        <v>5.8130699088145901E-3</v>
      </c>
      <c r="C345" s="10" t="s">
        <v>33</v>
      </c>
      <c r="D345" s="10" t="s">
        <v>35</v>
      </c>
      <c r="E345" s="10" t="s">
        <v>387</v>
      </c>
      <c r="F345" s="10">
        <v>0.23</v>
      </c>
      <c r="G345" s="10">
        <v>0.4</v>
      </c>
      <c r="H345" s="68">
        <v>0.32</v>
      </c>
      <c r="I345" s="10">
        <v>0.42</v>
      </c>
      <c r="J345" s="10">
        <v>1.83</v>
      </c>
      <c r="K345" s="10">
        <v>1.06</v>
      </c>
      <c r="L345" s="10">
        <v>0</v>
      </c>
      <c r="M345" s="10">
        <v>60</v>
      </c>
      <c r="N345" s="10">
        <v>1378.6764705882354</v>
      </c>
      <c r="O345" s="10">
        <v>1.1599999999999999</v>
      </c>
      <c r="P345" s="10">
        <v>0.82399999999999995</v>
      </c>
      <c r="Q345" s="10">
        <v>35.496296296296293</v>
      </c>
      <c r="R345" s="10">
        <v>2.7</v>
      </c>
      <c r="S345" s="10" t="s">
        <v>34</v>
      </c>
      <c r="T345" s="10" t="s">
        <v>36</v>
      </c>
      <c r="U345" s="10" t="s">
        <v>388</v>
      </c>
      <c r="V345" s="10" t="s">
        <v>38</v>
      </c>
      <c r="W345" s="10">
        <v>6</v>
      </c>
      <c r="X345" s="10">
        <v>1</v>
      </c>
      <c r="Y345" s="10">
        <v>1</v>
      </c>
      <c r="Z345" s="10" t="s">
        <v>33</v>
      </c>
      <c r="AA345" s="10">
        <v>0.38219999999999998</v>
      </c>
      <c r="AB345" s="10" t="s">
        <v>34</v>
      </c>
      <c r="AC345" s="10" t="s">
        <v>40</v>
      </c>
      <c r="AD345" s="10" t="s">
        <v>277</v>
      </c>
      <c r="AE345" s="10">
        <v>0.67649999999999999</v>
      </c>
      <c r="AF345" s="10" t="s">
        <v>309</v>
      </c>
      <c r="AG345" s="10">
        <v>2023</v>
      </c>
      <c r="AH345" s="10" t="s">
        <v>393</v>
      </c>
      <c r="AI345" s="99" t="e">
        <f t="shared" si="10"/>
        <v>#VALUE!</v>
      </c>
    </row>
    <row r="346" spans="1:35" s="10" customFormat="1" x14ac:dyDescent="0.3">
      <c r="A346" s="11">
        <v>19.1295546558704</v>
      </c>
      <c r="B346" s="45">
        <v>3.2421479229989801E-3</v>
      </c>
      <c r="C346" s="10" t="s">
        <v>33</v>
      </c>
      <c r="D346" s="10" t="s">
        <v>35</v>
      </c>
      <c r="E346" s="10" t="s">
        <v>387</v>
      </c>
      <c r="F346" s="10">
        <v>0.23</v>
      </c>
      <c r="G346" s="10">
        <v>0.4</v>
      </c>
      <c r="H346" s="68">
        <v>0.32</v>
      </c>
      <c r="I346" s="10">
        <v>0.42</v>
      </c>
      <c r="J346" s="10">
        <v>1.83</v>
      </c>
      <c r="K346" s="10">
        <v>1.06</v>
      </c>
      <c r="L346" s="10">
        <v>0</v>
      </c>
      <c r="M346" s="10">
        <v>70</v>
      </c>
      <c r="N346" s="10">
        <v>1402.7431421446383</v>
      </c>
      <c r="O346" s="10">
        <v>1.1599999999999999</v>
      </c>
      <c r="P346" s="10">
        <v>0.82399999999999995</v>
      </c>
      <c r="Q346" s="10">
        <v>34.251851851851853</v>
      </c>
      <c r="R346" s="10">
        <v>2.7</v>
      </c>
      <c r="S346" s="10" t="s">
        <v>34</v>
      </c>
      <c r="T346" s="10" t="s">
        <v>36</v>
      </c>
      <c r="U346" s="10" t="s">
        <v>388</v>
      </c>
      <c r="V346" s="10" t="s">
        <v>38</v>
      </c>
      <c r="W346" s="10">
        <v>6</v>
      </c>
      <c r="X346" s="10">
        <v>1</v>
      </c>
      <c r="Y346" s="10">
        <v>1</v>
      </c>
      <c r="Z346" s="10" t="s">
        <v>33</v>
      </c>
      <c r="AA346" s="10">
        <v>0.38219999999999998</v>
      </c>
      <c r="AB346" s="10" t="s">
        <v>34</v>
      </c>
      <c r="AC346" s="10" t="s">
        <v>40</v>
      </c>
      <c r="AD346" s="10" t="s">
        <v>277</v>
      </c>
      <c r="AE346" s="10">
        <v>0.67649999999999999</v>
      </c>
      <c r="AF346" s="10" t="s">
        <v>309</v>
      </c>
      <c r="AG346" s="10">
        <v>2023</v>
      </c>
      <c r="AH346" s="10" t="s">
        <v>393</v>
      </c>
      <c r="AI346" s="99" t="e">
        <f t="shared" si="10"/>
        <v>#VALUE!</v>
      </c>
    </row>
    <row r="347" spans="1:35" s="10" customFormat="1" x14ac:dyDescent="0.3">
      <c r="A347" s="11">
        <v>20.799595141700401</v>
      </c>
      <c r="B347" s="45">
        <v>2.5075987841945298E-3</v>
      </c>
      <c r="C347" s="10" t="s">
        <v>33</v>
      </c>
      <c r="D347" s="10" t="s">
        <v>35</v>
      </c>
      <c r="E347" s="10" t="s">
        <v>387</v>
      </c>
      <c r="F347" s="10">
        <v>0.23</v>
      </c>
      <c r="G347" s="10">
        <v>0.4</v>
      </c>
      <c r="H347" s="68">
        <v>0.32</v>
      </c>
      <c r="I347" s="10">
        <v>0.42</v>
      </c>
      <c r="J347" s="10">
        <v>1.83</v>
      </c>
      <c r="K347" s="10">
        <v>1.06</v>
      </c>
      <c r="L347" s="10">
        <v>0</v>
      </c>
      <c r="M347" s="10">
        <v>80</v>
      </c>
      <c r="N347" s="10">
        <v>1427.6649746192893</v>
      </c>
      <c r="O347" s="10">
        <v>1.1599999999999999</v>
      </c>
      <c r="P347" s="10">
        <v>0.82399999999999995</v>
      </c>
      <c r="Q347" s="10">
        <v>33.007407407407406</v>
      </c>
      <c r="R347" s="10">
        <v>2.7</v>
      </c>
      <c r="S347" s="10" t="s">
        <v>34</v>
      </c>
      <c r="T347" s="10" t="s">
        <v>36</v>
      </c>
      <c r="U347" s="10" t="s">
        <v>388</v>
      </c>
      <c r="V347" s="10" t="s">
        <v>38</v>
      </c>
      <c r="W347" s="10">
        <v>6</v>
      </c>
      <c r="X347" s="10">
        <v>1</v>
      </c>
      <c r="Y347" s="10">
        <v>1</v>
      </c>
      <c r="Z347" s="10" t="s">
        <v>33</v>
      </c>
      <c r="AA347" s="10">
        <v>0.38219999999999998</v>
      </c>
      <c r="AB347" s="10" t="s">
        <v>34</v>
      </c>
      <c r="AC347" s="10" t="s">
        <v>40</v>
      </c>
      <c r="AD347" s="10" t="s">
        <v>277</v>
      </c>
      <c r="AE347" s="10">
        <v>0.67649999999999999</v>
      </c>
      <c r="AF347" s="10" t="s">
        <v>309</v>
      </c>
      <c r="AG347" s="10">
        <v>2023</v>
      </c>
      <c r="AH347" s="10" t="s">
        <v>393</v>
      </c>
      <c r="AI347" s="99" t="e">
        <f t="shared" si="10"/>
        <v>#VALUE!</v>
      </c>
    </row>
    <row r="348" spans="1:35" s="10" customFormat="1" x14ac:dyDescent="0.3">
      <c r="A348" s="11">
        <v>6.4832535885167397</v>
      </c>
      <c r="B348" s="45">
        <v>3.7045889101338401E-2</v>
      </c>
      <c r="C348" s="10" t="s">
        <v>33</v>
      </c>
      <c r="D348" s="10" t="s">
        <v>35</v>
      </c>
      <c r="E348" s="10" t="s">
        <v>387</v>
      </c>
      <c r="F348" s="10">
        <v>0.23</v>
      </c>
      <c r="G348" s="10">
        <v>0.4</v>
      </c>
      <c r="H348" s="68">
        <v>0.32</v>
      </c>
      <c r="I348" s="10">
        <v>0.42</v>
      </c>
      <c r="J348" s="10">
        <v>1.83</v>
      </c>
      <c r="K348" s="10">
        <v>1.06</v>
      </c>
      <c r="L348" s="10">
        <v>0</v>
      </c>
      <c r="M348" s="10">
        <v>50</v>
      </c>
      <c r="N348" s="10">
        <v>1355.4216867469879</v>
      </c>
      <c r="O348" s="10">
        <v>1.1599999999999999</v>
      </c>
      <c r="P348" s="10">
        <v>0.82399999999999995</v>
      </c>
      <c r="Q348" s="10">
        <v>36.74074074074074</v>
      </c>
      <c r="R348" s="10">
        <v>2.7</v>
      </c>
      <c r="S348" s="10" t="s">
        <v>34</v>
      </c>
      <c r="T348" s="10" t="s">
        <v>36</v>
      </c>
      <c r="U348" s="10" t="s">
        <v>388</v>
      </c>
      <c r="V348" s="10" t="s">
        <v>38</v>
      </c>
      <c r="W348" s="10">
        <v>6</v>
      </c>
      <c r="X348" s="10">
        <v>0.25</v>
      </c>
      <c r="Y348" s="10">
        <v>1</v>
      </c>
      <c r="Z348" s="10" t="s">
        <v>33</v>
      </c>
      <c r="AA348" s="10">
        <v>0.38219999999999998</v>
      </c>
      <c r="AB348" s="10" t="s">
        <v>34</v>
      </c>
      <c r="AC348" s="10" t="s">
        <v>40</v>
      </c>
      <c r="AD348" s="10" t="s">
        <v>277</v>
      </c>
      <c r="AE348" s="10">
        <v>0.67649999999999999</v>
      </c>
      <c r="AF348" s="10" t="s">
        <v>309</v>
      </c>
      <c r="AG348" s="10">
        <v>2023</v>
      </c>
      <c r="AH348" s="10" t="s">
        <v>393</v>
      </c>
      <c r="AI348" s="99" t="e">
        <f t="shared" si="10"/>
        <v>#VALUE!</v>
      </c>
    </row>
    <row r="349" spans="1:35" s="10" customFormat="1" x14ac:dyDescent="0.3">
      <c r="A349" s="11">
        <v>9.0909090909090899</v>
      </c>
      <c r="B349" s="45">
        <v>1.06118546845124E-2</v>
      </c>
      <c r="C349" s="10" t="s">
        <v>33</v>
      </c>
      <c r="D349" s="10" t="s">
        <v>35</v>
      </c>
      <c r="E349" s="10" t="s">
        <v>387</v>
      </c>
      <c r="F349" s="10">
        <v>0.23</v>
      </c>
      <c r="G349" s="10">
        <v>0.4</v>
      </c>
      <c r="H349" s="68">
        <v>0.32</v>
      </c>
      <c r="I349" s="10">
        <v>0.42</v>
      </c>
      <c r="J349" s="10">
        <v>1.83</v>
      </c>
      <c r="K349" s="10">
        <v>1.06</v>
      </c>
      <c r="L349" s="10">
        <v>0</v>
      </c>
      <c r="M349" s="10">
        <v>50</v>
      </c>
      <c r="N349" s="10">
        <v>1355.4216867469879</v>
      </c>
      <c r="O349" s="10">
        <v>1.1599999999999999</v>
      </c>
      <c r="P349" s="10">
        <v>0.82399999999999995</v>
      </c>
      <c r="Q349" s="10">
        <v>36.74074074074074</v>
      </c>
      <c r="R349" s="10">
        <v>2.7</v>
      </c>
      <c r="S349" s="10" t="s">
        <v>34</v>
      </c>
      <c r="T349" s="10" t="s">
        <v>36</v>
      </c>
      <c r="U349" s="10" t="s">
        <v>388</v>
      </c>
      <c r="V349" s="10" t="s">
        <v>38</v>
      </c>
      <c r="W349" s="10">
        <v>6</v>
      </c>
      <c r="X349" s="10">
        <v>0.5</v>
      </c>
      <c r="Y349" s="10">
        <v>1</v>
      </c>
      <c r="Z349" s="10" t="s">
        <v>33</v>
      </c>
      <c r="AA349" s="10">
        <v>0.38219999999999998</v>
      </c>
      <c r="AB349" s="10" t="s">
        <v>34</v>
      </c>
      <c r="AC349" s="10" t="s">
        <v>40</v>
      </c>
      <c r="AD349" s="10" t="s">
        <v>277</v>
      </c>
      <c r="AE349" s="10">
        <v>0.67649999999999999</v>
      </c>
      <c r="AF349" s="10" t="s">
        <v>309</v>
      </c>
      <c r="AG349" s="10">
        <v>2023</v>
      </c>
      <c r="AH349" s="10" t="s">
        <v>393</v>
      </c>
      <c r="AI349" s="99" t="e">
        <f t="shared" si="10"/>
        <v>#VALUE!</v>
      </c>
    </row>
    <row r="350" spans="1:35" s="10" customFormat="1" x14ac:dyDescent="0.3">
      <c r="A350" s="11">
        <v>12.511961722488</v>
      </c>
      <c r="B350" s="45">
        <v>9.0822179732313602E-3</v>
      </c>
      <c r="C350" s="10" t="s">
        <v>33</v>
      </c>
      <c r="D350" s="10" t="s">
        <v>35</v>
      </c>
      <c r="E350" s="10" t="s">
        <v>387</v>
      </c>
      <c r="F350" s="10">
        <v>0.23</v>
      </c>
      <c r="G350" s="10">
        <v>0.4</v>
      </c>
      <c r="H350" s="68">
        <v>0.32</v>
      </c>
      <c r="I350" s="10">
        <v>0.42</v>
      </c>
      <c r="J350" s="10">
        <v>1.83</v>
      </c>
      <c r="K350" s="10">
        <v>1.06</v>
      </c>
      <c r="L350" s="10">
        <v>0</v>
      </c>
      <c r="M350" s="10">
        <v>50</v>
      </c>
      <c r="N350" s="10">
        <v>1355.4216867469879</v>
      </c>
      <c r="O350" s="10">
        <v>1.1599999999999999</v>
      </c>
      <c r="P350" s="10">
        <v>0.82399999999999995</v>
      </c>
      <c r="Q350" s="10">
        <v>36.74074074074074</v>
      </c>
      <c r="R350" s="10">
        <v>2.7</v>
      </c>
      <c r="S350" s="10" t="s">
        <v>34</v>
      </c>
      <c r="T350" s="10" t="s">
        <v>36</v>
      </c>
      <c r="U350" s="10" t="s">
        <v>388</v>
      </c>
      <c r="V350" s="10" t="s">
        <v>38</v>
      </c>
      <c r="W350" s="10">
        <v>6</v>
      </c>
      <c r="X350" s="10">
        <v>0.75</v>
      </c>
      <c r="Y350" s="10">
        <v>1</v>
      </c>
      <c r="Z350" s="10" t="s">
        <v>33</v>
      </c>
      <c r="AA350" s="10">
        <v>0.38219999999999998</v>
      </c>
      <c r="AB350" s="10" t="s">
        <v>34</v>
      </c>
      <c r="AC350" s="10" t="s">
        <v>40</v>
      </c>
      <c r="AD350" s="10" t="s">
        <v>277</v>
      </c>
      <c r="AE350" s="10">
        <v>0.67649999999999999</v>
      </c>
      <c r="AF350" s="10" t="s">
        <v>309</v>
      </c>
      <c r="AG350" s="10">
        <v>2023</v>
      </c>
      <c r="AH350" s="10" t="s">
        <v>393</v>
      </c>
      <c r="AI350" s="99" t="e">
        <f t="shared" si="10"/>
        <v>#VALUE!</v>
      </c>
    </row>
    <row r="351" spans="1:35" s="10" customFormat="1" x14ac:dyDescent="0.3">
      <c r="A351" s="11">
        <v>16.507177033492798</v>
      </c>
      <c r="B351" s="45">
        <v>7.1223709369024803E-3</v>
      </c>
      <c r="C351" s="10" t="s">
        <v>33</v>
      </c>
      <c r="D351" s="10" t="s">
        <v>35</v>
      </c>
      <c r="E351" s="10" t="s">
        <v>387</v>
      </c>
      <c r="F351" s="10">
        <v>0.23</v>
      </c>
      <c r="G351" s="10">
        <v>0.4</v>
      </c>
      <c r="H351" s="68">
        <v>0.32</v>
      </c>
      <c r="I351" s="10">
        <v>0.42</v>
      </c>
      <c r="J351" s="10">
        <v>1.83</v>
      </c>
      <c r="K351" s="10">
        <v>1.06</v>
      </c>
      <c r="L351" s="10">
        <v>0</v>
      </c>
      <c r="M351" s="10">
        <v>50</v>
      </c>
      <c r="N351" s="10">
        <v>1355.4216867469879</v>
      </c>
      <c r="O351" s="10">
        <v>1.1599999999999999</v>
      </c>
      <c r="P351" s="10">
        <v>0.82399999999999995</v>
      </c>
      <c r="Q351" s="10">
        <v>36.74074074074074</v>
      </c>
      <c r="R351" s="10">
        <v>2.7</v>
      </c>
      <c r="S351" s="10" t="s">
        <v>34</v>
      </c>
      <c r="T351" s="10" t="s">
        <v>36</v>
      </c>
      <c r="U351" s="10" t="s">
        <v>388</v>
      </c>
      <c r="V351" s="10" t="s">
        <v>38</v>
      </c>
      <c r="W351" s="10">
        <v>6</v>
      </c>
      <c r="X351" s="10">
        <v>1</v>
      </c>
      <c r="Y351" s="10">
        <v>1</v>
      </c>
      <c r="Z351" s="10" t="s">
        <v>33</v>
      </c>
      <c r="AA351" s="10">
        <v>0.38219999999999998</v>
      </c>
      <c r="AB351" s="10" t="s">
        <v>34</v>
      </c>
      <c r="AC351" s="10" t="s">
        <v>40</v>
      </c>
      <c r="AD351" s="10" t="s">
        <v>277</v>
      </c>
      <c r="AE351" s="10">
        <v>0.67649999999999999</v>
      </c>
      <c r="AF351" s="10" t="s">
        <v>309</v>
      </c>
      <c r="AG351" s="10">
        <v>2023</v>
      </c>
      <c r="AH351" s="10" t="s">
        <v>393</v>
      </c>
      <c r="AI351" s="99" t="e">
        <f t="shared" si="10"/>
        <v>#VALUE!</v>
      </c>
    </row>
    <row r="352" spans="1:35" s="10" customFormat="1" x14ac:dyDescent="0.3">
      <c r="A352" s="11">
        <v>17.511961722488</v>
      </c>
      <c r="B352" s="45">
        <v>5.8317399617590698E-3</v>
      </c>
      <c r="C352" s="10" t="s">
        <v>33</v>
      </c>
      <c r="D352" s="10" t="s">
        <v>35</v>
      </c>
      <c r="E352" s="10" t="s">
        <v>387</v>
      </c>
      <c r="F352" s="10">
        <v>0.23</v>
      </c>
      <c r="G352" s="10">
        <v>0.4</v>
      </c>
      <c r="H352" s="68">
        <v>0.32</v>
      </c>
      <c r="I352" s="10">
        <v>0.42</v>
      </c>
      <c r="J352" s="10">
        <v>1.83</v>
      </c>
      <c r="K352" s="10">
        <v>1.06</v>
      </c>
      <c r="L352" s="10">
        <v>0</v>
      </c>
      <c r="M352" s="10">
        <v>50</v>
      </c>
      <c r="N352" s="10">
        <v>1355.4216867469879</v>
      </c>
      <c r="O352" s="10">
        <v>1.1599999999999999</v>
      </c>
      <c r="P352" s="10">
        <v>0.82399999999999995</v>
      </c>
      <c r="Q352" s="10">
        <v>36.74074074074074</v>
      </c>
      <c r="R352" s="10">
        <v>2.7</v>
      </c>
      <c r="S352" s="10" t="s">
        <v>34</v>
      </c>
      <c r="T352" s="10" t="s">
        <v>36</v>
      </c>
      <c r="U352" s="10" t="s">
        <v>388</v>
      </c>
      <c r="V352" s="10" t="s">
        <v>38</v>
      </c>
      <c r="W352" s="10">
        <v>6</v>
      </c>
      <c r="X352" s="10">
        <v>1.25</v>
      </c>
      <c r="Y352" s="10">
        <v>1</v>
      </c>
      <c r="Z352" s="10" t="s">
        <v>33</v>
      </c>
      <c r="AA352" s="10">
        <v>0.38219999999999998</v>
      </c>
      <c r="AB352" s="10" t="s">
        <v>34</v>
      </c>
      <c r="AC352" s="10" t="s">
        <v>40</v>
      </c>
      <c r="AD352" s="10" t="s">
        <v>277</v>
      </c>
      <c r="AE352" s="10">
        <v>0.67649999999999999</v>
      </c>
      <c r="AF352" s="10" t="s">
        <v>309</v>
      </c>
      <c r="AG352" s="10">
        <v>2023</v>
      </c>
      <c r="AH352" s="10" t="s">
        <v>393</v>
      </c>
      <c r="AI352" s="99" t="e">
        <f t="shared" si="10"/>
        <v>#VALUE!</v>
      </c>
    </row>
    <row r="353" spans="1:35" s="10" customFormat="1" x14ac:dyDescent="0.3">
      <c r="A353" s="11">
        <v>15.2392344497607</v>
      </c>
      <c r="B353" s="45">
        <v>5.1147227533460803E-3</v>
      </c>
      <c r="C353" s="10" t="s">
        <v>33</v>
      </c>
      <c r="D353" s="10" t="s">
        <v>35</v>
      </c>
      <c r="E353" s="10" t="s">
        <v>387</v>
      </c>
      <c r="F353" s="10">
        <v>0.23</v>
      </c>
      <c r="G353" s="10">
        <v>0.4</v>
      </c>
      <c r="H353" s="68">
        <v>0.32</v>
      </c>
      <c r="I353" s="10">
        <v>0.42</v>
      </c>
      <c r="J353" s="10">
        <v>1.83</v>
      </c>
      <c r="K353" s="10">
        <v>1.06</v>
      </c>
      <c r="L353" s="10">
        <v>0</v>
      </c>
      <c r="M353" s="10">
        <v>50</v>
      </c>
      <c r="N353" s="10">
        <v>1355.4216867469879</v>
      </c>
      <c r="O353" s="10">
        <v>1.1599999999999999</v>
      </c>
      <c r="P353" s="10">
        <v>0.82399999999999995</v>
      </c>
      <c r="Q353" s="10">
        <v>36.74074074074074</v>
      </c>
      <c r="R353" s="10">
        <v>2.7</v>
      </c>
      <c r="S353" s="10" t="s">
        <v>34</v>
      </c>
      <c r="T353" s="10" t="s">
        <v>36</v>
      </c>
      <c r="U353" s="10" t="s">
        <v>388</v>
      </c>
      <c r="V353" s="10" t="s">
        <v>38</v>
      </c>
      <c r="W353" s="10">
        <v>6</v>
      </c>
      <c r="X353" s="10">
        <v>1.5</v>
      </c>
      <c r="Y353" s="10">
        <v>1</v>
      </c>
      <c r="Z353" s="10" t="s">
        <v>33</v>
      </c>
      <c r="AA353" s="10">
        <v>0.38219999999999998</v>
      </c>
      <c r="AB353" s="10" t="s">
        <v>34</v>
      </c>
      <c r="AC353" s="10" t="s">
        <v>40</v>
      </c>
      <c r="AD353" s="10" t="s">
        <v>277</v>
      </c>
      <c r="AE353" s="10">
        <v>0.67649999999999999</v>
      </c>
      <c r="AF353" s="10" t="s">
        <v>309</v>
      </c>
      <c r="AG353" s="10">
        <v>2023</v>
      </c>
      <c r="AH353" s="10" t="s">
        <v>393</v>
      </c>
      <c r="AI353" s="99" t="e">
        <f t="shared" si="10"/>
        <v>#VALUE!</v>
      </c>
    </row>
    <row r="354" spans="1:35" s="10" customFormat="1" x14ac:dyDescent="0.3">
      <c r="A354" s="11">
        <v>13.1100478468899</v>
      </c>
      <c r="B354" s="45">
        <v>4.5889101338432003E-3</v>
      </c>
      <c r="C354" s="10" t="s">
        <v>33</v>
      </c>
      <c r="D354" s="10" t="s">
        <v>35</v>
      </c>
      <c r="E354" s="10" t="s">
        <v>387</v>
      </c>
      <c r="F354" s="10">
        <v>0.23</v>
      </c>
      <c r="G354" s="10">
        <v>0.4</v>
      </c>
      <c r="H354" s="68">
        <v>0.32</v>
      </c>
      <c r="I354" s="10">
        <v>0.42</v>
      </c>
      <c r="J354" s="10">
        <v>1.83</v>
      </c>
      <c r="K354" s="10">
        <v>1.06</v>
      </c>
      <c r="L354" s="10">
        <v>0</v>
      </c>
      <c r="M354" s="10">
        <v>50</v>
      </c>
      <c r="N354" s="10">
        <v>1355.4216867469879</v>
      </c>
      <c r="O354" s="10">
        <v>1.1599999999999999</v>
      </c>
      <c r="P354" s="10">
        <v>0.82399999999999995</v>
      </c>
      <c r="Q354" s="10">
        <v>36.74074074074074</v>
      </c>
      <c r="R354" s="10">
        <v>2.7</v>
      </c>
      <c r="S354" s="10" t="s">
        <v>34</v>
      </c>
      <c r="T354" s="10" t="s">
        <v>36</v>
      </c>
      <c r="U354" s="10" t="s">
        <v>388</v>
      </c>
      <c r="V354" s="10" t="s">
        <v>38</v>
      </c>
      <c r="W354" s="10">
        <v>6</v>
      </c>
      <c r="X354" s="10">
        <v>1.75</v>
      </c>
      <c r="Y354" s="10">
        <v>1</v>
      </c>
      <c r="Z354" s="10" t="s">
        <v>33</v>
      </c>
      <c r="AA354" s="10">
        <v>0.38219999999999998</v>
      </c>
      <c r="AB354" s="10" t="s">
        <v>34</v>
      </c>
      <c r="AC354" s="10" t="s">
        <v>40</v>
      </c>
      <c r="AD354" s="10" t="s">
        <v>277</v>
      </c>
      <c r="AE354" s="10">
        <v>0.67649999999999999</v>
      </c>
      <c r="AF354" s="10" t="s">
        <v>309</v>
      </c>
      <c r="AG354" s="10">
        <v>2023</v>
      </c>
      <c r="AH354" s="10" t="s">
        <v>393</v>
      </c>
      <c r="AI354" s="99" t="e">
        <f t="shared" si="10"/>
        <v>#VALUE!</v>
      </c>
    </row>
    <row r="355" spans="1:35" s="10" customFormat="1" x14ac:dyDescent="0.3">
      <c r="A355" s="11">
        <v>6.2862669245647904</v>
      </c>
      <c r="B355" s="45">
        <v>3.1655372700871202E-2</v>
      </c>
      <c r="C355" s="10" t="s">
        <v>33</v>
      </c>
      <c r="D355" s="10" t="s">
        <v>35</v>
      </c>
      <c r="E355" s="10" t="s">
        <v>387</v>
      </c>
      <c r="F355" s="10">
        <v>0.23</v>
      </c>
      <c r="G355" s="10">
        <v>0.4</v>
      </c>
      <c r="H355" s="68">
        <v>0.32</v>
      </c>
      <c r="I355" s="10">
        <v>0.42</v>
      </c>
      <c r="J355" s="10">
        <v>1.83</v>
      </c>
      <c r="K355" s="10">
        <v>1.06</v>
      </c>
      <c r="L355" s="10">
        <v>0</v>
      </c>
      <c r="M355" s="10">
        <v>50</v>
      </c>
      <c r="N355" s="10">
        <v>1355.4216867469879</v>
      </c>
      <c r="O355" s="10">
        <v>1.1599999999999999</v>
      </c>
      <c r="P355" s="10">
        <v>0.82399999999999995</v>
      </c>
      <c r="Q355" s="10">
        <v>36.74074074074074</v>
      </c>
      <c r="R355" s="10">
        <v>2.7</v>
      </c>
      <c r="S355" s="10" t="s">
        <v>34</v>
      </c>
      <c r="T355" s="10" t="s">
        <v>36</v>
      </c>
      <c r="U355" s="10" t="s">
        <v>388</v>
      </c>
      <c r="V355" s="10" t="s">
        <v>38</v>
      </c>
      <c r="W355" s="10">
        <v>3</v>
      </c>
      <c r="X355" s="10">
        <v>1</v>
      </c>
      <c r="Y355" s="10">
        <v>1</v>
      </c>
      <c r="Z355" s="10" t="s">
        <v>33</v>
      </c>
      <c r="AA355" s="10">
        <v>0.38219999999999998</v>
      </c>
      <c r="AB355" s="10" t="s">
        <v>34</v>
      </c>
      <c r="AC355" s="10" t="s">
        <v>40</v>
      </c>
      <c r="AD355" s="10" t="s">
        <v>277</v>
      </c>
      <c r="AE355" s="10">
        <v>0.67649999999999999</v>
      </c>
      <c r="AF355" s="10" t="s">
        <v>309</v>
      </c>
      <c r="AG355" s="10">
        <v>2023</v>
      </c>
      <c r="AH355" s="10" t="s">
        <v>393</v>
      </c>
      <c r="AI355" s="99" t="e">
        <f t="shared" si="10"/>
        <v>#VALUE!</v>
      </c>
    </row>
    <row r="356" spans="1:35" s="10" customFormat="1" x14ac:dyDescent="0.3">
      <c r="A356" s="11">
        <v>9.3810444874274594</v>
      </c>
      <c r="B356" s="45">
        <v>2.23620522749273E-2</v>
      </c>
      <c r="C356" s="10" t="s">
        <v>33</v>
      </c>
      <c r="D356" s="10" t="s">
        <v>35</v>
      </c>
      <c r="E356" s="10" t="s">
        <v>387</v>
      </c>
      <c r="F356" s="10">
        <v>0.23</v>
      </c>
      <c r="G356" s="10">
        <v>0.4</v>
      </c>
      <c r="H356" s="68">
        <v>0.32</v>
      </c>
      <c r="I356" s="10">
        <v>0.42</v>
      </c>
      <c r="J356" s="10">
        <v>1.83</v>
      </c>
      <c r="K356" s="10">
        <v>1.06</v>
      </c>
      <c r="L356" s="10">
        <v>0</v>
      </c>
      <c r="M356" s="10">
        <v>50</v>
      </c>
      <c r="N356" s="10">
        <v>1355.4216867469879</v>
      </c>
      <c r="O356" s="10">
        <v>1.1599999999999999</v>
      </c>
      <c r="P356" s="10">
        <v>0.82399999999999995</v>
      </c>
      <c r="Q356" s="10">
        <v>36.74074074074074</v>
      </c>
      <c r="R356" s="10">
        <v>2.7</v>
      </c>
      <c r="S356" s="10" t="s">
        <v>34</v>
      </c>
      <c r="T356" s="10" t="s">
        <v>36</v>
      </c>
      <c r="U356" s="10" t="s">
        <v>388</v>
      </c>
      <c r="V356" s="10" t="s">
        <v>38</v>
      </c>
      <c r="W356" s="10">
        <v>5</v>
      </c>
      <c r="X356" s="10">
        <v>1</v>
      </c>
      <c r="Y356" s="10">
        <v>1</v>
      </c>
      <c r="Z356" s="10" t="s">
        <v>33</v>
      </c>
      <c r="AA356" s="10">
        <v>0.38219999999999998</v>
      </c>
      <c r="AB356" s="10" t="s">
        <v>34</v>
      </c>
      <c r="AC356" s="10" t="s">
        <v>40</v>
      </c>
      <c r="AD356" s="10" t="s">
        <v>277</v>
      </c>
      <c r="AE356" s="10">
        <v>0.67649999999999999</v>
      </c>
      <c r="AF356" s="10" t="s">
        <v>309</v>
      </c>
      <c r="AG356" s="10">
        <v>2023</v>
      </c>
      <c r="AH356" s="10" t="s">
        <v>393</v>
      </c>
      <c r="AI356" s="99" t="e">
        <f t="shared" si="10"/>
        <v>#VALUE!</v>
      </c>
    </row>
    <row r="357" spans="1:35" s="10" customFormat="1" x14ac:dyDescent="0.3">
      <c r="A357" s="11">
        <v>12.693423597678899</v>
      </c>
      <c r="B357" s="45">
        <v>9.3901258470474296E-3</v>
      </c>
      <c r="C357" s="10" t="s">
        <v>33</v>
      </c>
      <c r="D357" s="10" t="s">
        <v>35</v>
      </c>
      <c r="E357" s="10" t="s">
        <v>387</v>
      </c>
      <c r="F357" s="10">
        <v>0.23</v>
      </c>
      <c r="G357" s="10">
        <v>0.4</v>
      </c>
      <c r="H357" s="68">
        <v>0.32</v>
      </c>
      <c r="I357" s="10">
        <v>0.42</v>
      </c>
      <c r="J357" s="10">
        <v>1.83</v>
      </c>
      <c r="K357" s="10">
        <v>1.06</v>
      </c>
      <c r="L357" s="10">
        <v>0</v>
      </c>
      <c r="M357" s="10">
        <v>50</v>
      </c>
      <c r="N357" s="10">
        <v>1355.4216867469879</v>
      </c>
      <c r="O357" s="10">
        <v>1.1599999999999999</v>
      </c>
      <c r="P357" s="10">
        <v>0.82399999999999995</v>
      </c>
      <c r="Q357" s="10">
        <v>36.74074074074074</v>
      </c>
      <c r="R357" s="10">
        <v>2.7</v>
      </c>
      <c r="S357" s="10" t="s">
        <v>34</v>
      </c>
      <c r="T357" s="10" t="s">
        <v>36</v>
      </c>
      <c r="U357" s="10" t="s">
        <v>388</v>
      </c>
      <c r="V357" s="10" t="s">
        <v>38</v>
      </c>
      <c r="W357" s="10">
        <v>7</v>
      </c>
      <c r="X357" s="10">
        <v>1</v>
      </c>
      <c r="Y357" s="10">
        <v>1</v>
      </c>
      <c r="Z357" s="10" t="s">
        <v>33</v>
      </c>
      <c r="AA357" s="10">
        <v>0.38219999999999998</v>
      </c>
      <c r="AB357" s="10" t="s">
        <v>34</v>
      </c>
      <c r="AC357" s="10" t="s">
        <v>40</v>
      </c>
      <c r="AD357" s="10" t="s">
        <v>277</v>
      </c>
      <c r="AE357" s="10">
        <v>0.67649999999999999</v>
      </c>
      <c r="AF357" s="10" t="s">
        <v>309</v>
      </c>
      <c r="AG357" s="10">
        <v>2023</v>
      </c>
      <c r="AH357" s="10" t="s">
        <v>393</v>
      </c>
      <c r="AI357" s="99" t="e">
        <f t="shared" si="10"/>
        <v>#VALUE!</v>
      </c>
    </row>
    <row r="358" spans="1:35" s="10" customFormat="1" x14ac:dyDescent="0.3">
      <c r="A358" s="11">
        <v>18.5203094777562</v>
      </c>
      <c r="B358" s="45">
        <v>4.0658276863504298E-3</v>
      </c>
      <c r="C358" s="10" t="s">
        <v>33</v>
      </c>
      <c r="D358" s="10" t="s">
        <v>35</v>
      </c>
      <c r="E358" s="10" t="s">
        <v>387</v>
      </c>
      <c r="F358" s="10">
        <v>0.23</v>
      </c>
      <c r="G358" s="10">
        <v>0.4</v>
      </c>
      <c r="H358" s="68">
        <v>0.32</v>
      </c>
      <c r="I358" s="10">
        <v>0.42</v>
      </c>
      <c r="J358" s="10">
        <v>1.83</v>
      </c>
      <c r="K358" s="10">
        <v>1.06</v>
      </c>
      <c r="L358" s="10">
        <v>0</v>
      </c>
      <c r="M358" s="10">
        <v>50</v>
      </c>
      <c r="N358" s="10">
        <v>1355.4216867469879</v>
      </c>
      <c r="O358" s="10">
        <v>1.1599999999999999</v>
      </c>
      <c r="P358" s="10">
        <v>0.82399999999999995</v>
      </c>
      <c r="Q358" s="10">
        <v>36.74074074074074</v>
      </c>
      <c r="R358" s="10">
        <v>2.7</v>
      </c>
      <c r="S358" s="10" t="s">
        <v>34</v>
      </c>
      <c r="T358" s="10" t="s">
        <v>36</v>
      </c>
      <c r="U358" s="10" t="s">
        <v>388</v>
      </c>
      <c r="V358" s="10" t="s">
        <v>38</v>
      </c>
      <c r="W358" s="10">
        <v>13</v>
      </c>
      <c r="X358" s="10">
        <v>1</v>
      </c>
      <c r="Y358" s="10">
        <v>1</v>
      </c>
      <c r="Z358" s="10" t="s">
        <v>33</v>
      </c>
      <c r="AA358" s="10">
        <v>0.38219999999999998</v>
      </c>
      <c r="AB358" s="10" t="s">
        <v>34</v>
      </c>
      <c r="AC358" s="10" t="s">
        <v>40</v>
      </c>
      <c r="AD358" s="10" t="s">
        <v>277</v>
      </c>
      <c r="AE358" s="10">
        <v>0.67649999999999999</v>
      </c>
      <c r="AF358" s="10" t="s">
        <v>309</v>
      </c>
      <c r="AG358" s="10">
        <v>2023</v>
      </c>
      <c r="AH358" s="10" t="s">
        <v>393</v>
      </c>
      <c r="AI358" s="99" t="e">
        <f t="shared" si="10"/>
        <v>#VALUE!</v>
      </c>
    </row>
    <row r="359" spans="1:35" s="10" customFormat="1" x14ac:dyDescent="0.3">
      <c r="A359" s="11">
        <v>20.382011605415801</v>
      </c>
      <c r="B359" s="45">
        <v>2.6621490803484999E-3</v>
      </c>
      <c r="C359" s="10" t="s">
        <v>33</v>
      </c>
      <c r="D359" s="10" t="s">
        <v>35</v>
      </c>
      <c r="E359" s="10" t="s">
        <v>387</v>
      </c>
      <c r="F359" s="10">
        <v>0.23</v>
      </c>
      <c r="G359" s="10">
        <v>0.4</v>
      </c>
      <c r="H359" s="68">
        <v>0.32</v>
      </c>
      <c r="I359" s="10">
        <v>0.42</v>
      </c>
      <c r="J359" s="10">
        <v>1.83</v>
      </c>
      <c r="K359" s="10">
        <v>1.06</v>
      </c>
      <c r="L359" s="10">
        <v>0</v>
      </c>
      <c r="M359" s="10">
        <v>50</v>
      </c>
      <c r="N359" s="10">
        <v>1355.4216867469879</v>
      </c>
      <c r="O359" s="10">
        <v>1.1599999999999999</v>
      </c>
      <c r="P359" s="10">
        <v>0.82399999999999995</v>
      </c>
      <c r="Q359" s="10">
        <v>36.74074074074074</v>
      </c>
      <c r="R359" s="10">
        <v>2.7</v>
      </c>
      <c r="S359" s="10" t="s">
        <v>34</v>
      </c>
      <c r="T359" s="10" t="s">
        <v>36</v>
      </c>
      <c r="U359" s="10" t="s">
        <v>388</v>
      </c>
      <c r="V359" s="10" t="s">
        <v>38</v>
      </c>
      <c r="W359" s="10">
        <v>15</v>
      </c>
      <c r="X359" s="10">
        <v>1</v>
      </c>
      <c r="Y359" s="10">
        <v>1</v>
      </c>
      <c r="Z359" s="10" t="s">
        <v>33</v>
      </c>
      <c r="AA359" s="10">
        <v>0.38219999999999998</v>
      </c>
      <c r="AB359" s="10" t="s">
        <v>34</v>
      </c>
      <c r="AC359" s="10" t="s">
        <v>40</v>
      </c>
      <c r="AD359" s="10" t="s">
        <v>277</v>
      </c>
      <c r="AE359" s="10">
        <v>0.67649999999999999</v>
      </c>
      <c r="AF359" s="10" t="s">
        <v>309</v>
      </c>
      <c r="AG359" s="10">
        <v>2023</v>
      </c>
      <c r="AH359" s="10" t="s">
        <v>393</v>
      </c>
      <c r="AI359" s="99" t="e">
        <f t="shared" si="10"/>
        <v>#VALUE!</v>
      </c>
    </row>
    <row r="360" spans="1:35" s="10" customFormat="1" x14ac:dyDescent="0.3">
      <c r="A360" s="11">
        <v>21.179883945841301</v>
      </c>
      <c r="B360" s="45">
        <v>1.4520813165537199E-3</v>
      </c>
      <c r="C360" s="10" t="s">
        <v>33</v>
      </c>
      <c r="D360" s="10" t="s">
        <v>35</v>
      </c>
      <c r="E360" s="10" t="s">
        <v>387</v>
      </c>
      <c r="F360" s="10">
        <v>0.23</v>
      </c>
      <c r="G360" s="10">
        <v>0.4</v>
      </c>
      <c r="H360" s="68">
        <v>0.32</v>
      </c>
      <c r="I360" s="10">
        <v>0.42</v>
      </c>
      <c r="J360" s="10">
        <v>1.83</v>
      </c>
      <c r="K360" s="10">
        <v>1.06</v>
      </c>
      <c r="L360" s="10">
        <v>0</v>
      </c>
      <c r="M360" s="10">
        <v>50</v>
      </c>
      <c r="N360" s="10">
        <v>1355.4216867469879</v>
      </c>
      <c r="O360" s="10">
        <v>1.1599999999999999</v>
      </c>
      <c r="P360" s="10">
        <v>0.82399999999999995</v>
      </c>
      <c r="Q360" s="10">
        <v>36.74074074074074</v>
      </c>
      <c r="R360" s="10">
        <v>2.7</v>
      </c>
      <c r="S360" s="10" t="s">
        <v>34</v>
      </c>
      <c r="T360" s="10" t="s">
        <v>36</v>
      </c>
      <c r="U360" s="10" t="s">
        <v>388</v>
      </c>
      <c r="V360" s="10" t="s">
        <v>38</v>
      </c>
      <c r="W360" s="10">
        <v>17</v>
      </c>
      <c r="X360" s="10">
        <v>1</v>
      </c>
      <c r="Y360" s="10">
        <v>1</v>
      </c>
      <c r="Z360" s="10" t="s">
        <v>33</v>
      </c>
      <c r="AA360" s="10">
        <v>0.38219999999999998</v>
      </c>
      <c r="AB360" s="10" t="s">
        <v>34</v>
      </c>
      <c r="AC360" s="10" t="s">
        <v>40</v>
      </c>
      <c r="AD360" s="10" t="s">
        <v>277</v>
      </c>
      <c r="AE360" s="10">
        <v>0.67649999999999999</v>
      </c>
      <c r="AF360" s="10" t="s">
        <v>309</v>
      </c>
      <c r="AG360" s="10">
        <v>2023</v>
      </c>
      <c r="AH360" s="10" t="s">
        <v>393</v>
      </c>
      <c r="AI360" s="99" t="e">
        <f t="shared" si="10"/>
        <v>#VALUE!</v>
      </c>
    </row>
    <row r="361" spans="1:35" s="10" customFormat="1" ht="16.2" thickBot="1" x14ac:dyDescent="0.35">
      <c r="A361" s="17">
        <v>21.784332688588002</v>
      </c>
      <c r="B361" s="38">
        <v>8.71248789932235E-4</v>
      </c>
      <c r="C361" s="14" t="s">
        <v>33</v>
      </c>
      <c r="D361" s="14" t="s">
        <v>35</v>
      </c>
      <c r="E361" s="14" t="s">
        <v>387</v>
      </c>
      <c r="F361" s="14">
        <v>0.23</v>
      </c>
      <c r="G361" s="14">
        <v>0.4</v>
      </c>
      <c r="H361" s="71">
        <v>0.32</v>
      </c>
      <c r="I361" s="14">
        <v>0.42</v>
      </c>
      <c r="J361" s="14">
        <v>1.83</v>
      </c>
      <c r="K361" s="14">
        <v>1.06</v>
      </c>
      <c r="L361" s="14">
        <v>0</v>
      </c>
      <c r="M361" s="14">
        <v>50</v>
      </c>
      <c r="N361" s="14">
        <v>1355.4216867469879</v>
      </c>
      <c r="O361" s="14">
        <v>1.1599999999999999</v>
      </c>
      <c r="P361" s="14">
        <v>0.82399999999999995</v>
      </c>
      <c r="Q361" s="14">
        <v>36.74074074074074</v>
      </c>
      <c r="R361" s="14">
        <v>2.7</v>
      </c>
      <c r="S361" s="14" t="s">
        <v>34</v>
      </c>
      <c r="T361" s="14" t="s">
        <v>36</v>
      </c>
      <c r="U361" s="14" t="s">
        <v>388</v>
      </c>
      <c r="V361" s="14" t="s">
        <v>38</v>
      </c>
      <c r="W361" s="14">
        <v>19</v>
      </c>
      <c r="X361" s="14">
        <v>1</v>
      </c>
      <c r="Y361" s="14">
        <v>1</v>
      </c>
      <c r="Z361" s="14" t="s">
        <v>33</v>
      </c>
      <c r="AA361" s="14">
        <v>0.38219999999999998</v>
      </c>
      <c r="AB361" s="14" t="s">
        <v>34</v>
      </c>
      <c r="AC361" s="14" t="s">
        <v>40</v>
      </c>
      <c r="AD361" s="14" t="s">
        <v>277</v>
      </c>
      <c r="AE361" s="14">
        <v>0.67649999999999999</v>
      </c>
      <c r="AF361" s="14" t="s">
        <v>309</v>
      </c>
      <c r="AG361" s="14">
        <v>2023</v>
      </c>
      <c r="AH361" s="14" t="s">
        <v>393</v>
      </c>
      <c r="AI361" s="99" t="e">
        <f t="shared" si="10"/>
        <v>#VALUE!</v>
      </c>
    </row>
    <row r="362" spans="1:35" s="10" customFormat="1" x14ac:dyDescent="0.3">
      <c r="A362" s="12"/>
      <c r="B362" s="36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</row>
    <row r="363" spans="1:35" s="10" customFormat="1" x14ac:dyDescent="0.3">
      <c r="A363" s="11"/>
      <c r="B363" s="45"/>
    </row>
    <row r="364" spans="1:35" s="10" customFormat="1" x14ac:dyDescent="0.3">
      <c r="A364" s="11"/>
      <c r="B364" s="45"/>
    </row>
    <row r="365" spans="1:35" s="10" customFormat="1" x14ac:dyDescent="0.3">
      <c r="A365" s="11"/>
      <c r="B365" s="45"/>
    </row>
    <row r="366" spans="1:35" s="10" customFormat="1" x14ac:dyDescent="0.3">
      <c r="A366" s="11"/>
      <c r="B366" s="45"/>
    </row>
    <row r="367" spans="1:35" s="10" customFormat="1" x14ac:dyDescent="0.3">
      <c r="A367" s="11"/>
      <c r="B367" s="45"/>
    </row>
    <row r="368" spans="1:35" s="10" customFormat="1" x14ac:dyDescent="0.3">
      <c r="A368" s="11"/>
      <c r="B368" s="45"/>
    </row>
    <row r="369" spans="1:2" s="10" customFormat="1" x14ac:dyDescent="0.3">
      <c r="A369" s="11"/>
      <c r="B369" s="45"/>
    </row>
    <row r="370" spans="1:2" s="10" customFormat="1" x14ac:dyDescent="0.3">
      <c r="A370" s="11"/>
      <c r="B370" s="45"/>
    </row>
    <row r="371" spans="1:2" s="10" customFormat="1" x14ac:dyDescent="0.3">
      <c r="A371" s="11"/>
      <c r="B371" s="45"/>
    </row>
    <row r="372" spans="1:2" s="10" customFormat="1" x14ac:dyDescent="0.3">
      <c r="A372" s="11"/>
      <c r="B372" s="45"/>
    </row>
    <row r="373" spans="1:2" s="10" customFormat="1" x14ac:dyDescent="0.3">
      <c r="A373" s="11"/>
      <c r="B373" s="45"/>
    </row>
    <row r="374" spans="1:2" s="10" customFormat="1" x14ac:dyDescent="0.3">
      <c r="A374" s="11"/>
      <c r="B374" s="45"/>
    </row>
    <row r="375" spans="1:2" s="10" customFormat="1" x14ac:dyDescent="0.3">
      <c r="A375" s="11"/>
      <c r="B375" s="45"/>
    </row>
    <row r="376" spans="1:2" s="10" customFormat="1" x14ac:dyDescent="0.3">
      <c r="A376" s="11"/>
      <c r="B376" s="45"/>
    </row>
    <row r="377" spans="1:2" s="10" customFormat="1" x14ac:dyDescent="0.3">
      <c r="A377" s="11"/>
      <c r="B377" s="45"/>
    </row>
    <row r="378" spans="1:2" s="10" customFormat="1" x14ac:dyDescent="0.3">
      <c r="A378" s="11"/>
      <c r="B378" s="45"/>
    </row>
    <row r="379" spans="1:2" s="10" customFormat="1" x14ac:dyDescent="0.3">
      <c r="A379" s="11"/>
      <c r="B379" s="45"/>
    </row>
    <row r="380" spans="1:2" s="10" customFormat="1" x14ac:dyDescent="0.3">
      <c r="A380" s="11"/>
      <c r="B380" s="45"/>
    </row>
    <row r="381" spans="1:2" s="10" customFormat="1" x14ac:dyDescent="0.3">
      <c r="A381" s="11"/>
      <c r="B381" s="45"/>
    </row>
    <row r="382" spans="1:2" s="10" customFormat="1" x14ac:dyDescent="0.3">
      <c r="A382" s="11"/>
      <c r="B382" s="45"/>
    </row>
    <row r="383" spans="1:2" s="10" customFormat="1" x14ac:dyDescent="0.3">
      <c r="A383" s="11"/>
      <c r="B383" s="45"/>
    </row>
    <row r="384" spans="1:2" s="10" customFormat="1" x14ac:dyDescent="0.3">
      <c r="A384" s="11"/>
      <c r="B384" s="45"/>
    </row>
    <row r="385" spans="1:2" s="10" customFormat="1" x14ac:dyDescent="0.3">
      <c r="A385" s="11"/>
      <c r="B385" s="45"/>
    </row>
    <row r="386" spans="1:2" s="10" customFormat="1" x14ac:dyDescent="0.3">
      <c r="A386" s="11"/>
      <c r="B386" s="45"/>
    </row>
    <row r="387" spans="1:2" s="10" customFormat="1" x14ac:dyDescent="0.3">
      <c r="A387" s="11"/>
      <c r="B387" s="45"/>
    </row>
    <row r="388" spans="1:2" s="10" customFormat="1" x14ac:dyDescent="0.3">
      <c r="A388" s="11"/>
      <c r="B388" s="45"/>
    </row>
    <row r="389" spans="1:2" s="10" customFormat="1" x14ac:dyDescent="0.3">
      <c r="A389" s="11"/>
      <c r="B389" s="45"/>
    </row>
    <row r="390" spans="1:2" s="10" customFormat="1" x14ac:dyDescent="0.3">
      <c r="A390" s="11"/>
      <c r="B390" s="45"/>
    </row>
    <row r="391" spans="1:2" s="10" customFormat="1" x14ac:dyDescent="0.3">
      <c r="A391" s="11"/>
      <c r="B391" s="45"/>
    </row>
    <row r="392" spans="1:2" s="10" customFormat="1" x14ac:dyDescent="0.3">
      <c r="A392" s="11"/>
      <c r="B392" s="45"/>
    </row>
    <row r="393" spans="1:2" s="10" customFormat="1" x14ac:dyDescent="0.3">
      <c r="A393" s="11"/>
      <c r="B393" s="45"/>
    </row>
    <row r="394" spans="1:2" s="10" customFormat="1" x14ac:dyDescent="0.3">
      <c r="A394" s="11"/>
      <c r="B394" s="45"/>
    </row>
    <row r="395" spans="1:2" s="10" customFormat="1" x14ac:dyDescent="0.3">
      <c r="A395" s="11"/>
      <c r="B395" s="45"/>
    </row>
    <row r="396" spans="1:2" s="10" customFormat="1" x14ac:dyDescent="0.3">
      <c r="A396" s="11"/>
      <c r="B396" s="45"/>
    </row>
    <row r="397" spans="1:2" s="10" customFormat="1" x14ac:dyDescent="0.3">
      <c r="A397" s="11"/>
      <c r="B397" s="45"/>
    </row>
    <row r="398" spans="1:2" s="10" customFormat="1" x14ac:dyDescent="0.3">
      <c r="A398" s="11"/>
      <c r="B398" s="45"/>
    </row>
    <row r="399" spans="1:2" s="10" customFormat="1" x14ac:dyDescent="0.3">
      <c r="A399" s="11"/>
      <c r="B399" s="45"/>
    </row>
    <row r="400" spans="1:2" s="10" customFormat="1" x14ac:dyDescent="0.3">
      <c r="A400" s="11"/>
      <c r="B400" s="45"/>
    </row>
    <row r="401" spans="1:2" s="10" customFormat="1" x14ac:dyDescent="0.3">
      <c r="A401" s="11"/>
      <c r="B401" s="45"/>
    </row>
    <row r="402" spans="1:2" s="10" customFormat="1" x14ac:dyDescent="0.3">
      <c r="A402" s="11"/>
      <c r="B402" s="45"/>
    </row>
    <row r="403" spans="1:2" s="10" customFormat="1" x14ac:dyDescent="0.3">
      <c r="A403" s="11"/>
      <c r="B403" s="45"/>
    </row>
    <row r="404" spans="1:2" s="10" customFormat="1" x14ac:dyDescent="0.3">
      <c r="A404" s="11"/>
      <c r="B404" s="45"/>
    </row>
    <row r="405" spans="1:2" s="10" customFormat="1" x14ac:dyDescent="0.3">
      <c r="A405" s="11"/>
      <c r="B405" s="45"/>
    </row>
    <row r="406" spans="1:2" s="10" customFormat="1" x14ac:dyDescent="0.3">
      <c r="A406" s="11"/>
      <c r="B406" s="45"/>
    </row>
    <row r="407" spans="1:2" s="10" customFormat="1" x14ac:dyDescent="0.3">
      <c r="A407" s="11"/>
      <c r="B407" s="45"/>
    </row>
    <row r="408" spans="1:2" s="10" customFormat="1" x14ac:dyDescent="0.3">
      <c r="A408" s="11"/>
      <c r="B408" s="45"/>
    </row>
    <row r="409" spans="1:2" s="10" customFormat="1" x14ac:dyDescent="0.3">
      <c r="A409" s="11"/>
      <c r="B409" s="45"/>
    </row>
    <row r="410" spans="1:2" s="10" customFormat="1" x14ac:dyDescent="0.3">
      <c r="A410" s="11"/>
      <c r="B410" s="45"/>
    </row>
    <row r="411" spans="1:2" s="10" customFormat="1" x14ac:dyDescent="0.3">
      <c r="A411" s="11"/>
      <c r="B411" s="45"/>
    </row>
    <row r="412" spans="1:2" s="10" customFormat="1" x14ac:dyDescent="0.3">
      <c r="A412" s="11"/>
      <c r="B412" s="45"/>
    </row>
    <row r="413" spans="1:2" s="10" customFormat="1" x14ac:dyDescent="0.3">
      <c r="A413" s="11"/>
      <c r="B413" s="45"/>
    </row>
    <row r="414" spans="1:2" s="10" customFormat="1" x14ac:dyDescent="0.3">
      <c r="A414" s="11"/>
      <c r="B414" s="45"/>
    </row>
    <row r="415" spans="1:2" s="10" customFormat="1" x14ac:dyDescent="0.3">
      <c r="A415" s="11"/>
      <c r="B415" s="45"/>
    </row>
    <row r="416" spans="1:2" s="10" customFormat="1" x14ac:dyDescent="0.3">
      <c r="A416" s="11"/>
      <c r="B416" s="45"/>
    </row>
    <row r="417" spans="1:2" s="10" customFormat="1" x14ac:dyDescent="0.3">
      <c r="A417" s="11"/>
      <c r="B417" s="45"/>
    </row>
    <row r="418" spans="1:2" s="10" customFormat="1" x14ac:dyDescent="0.3">
      <c r="A418" s="11"/>
      <c r="B418" s="45"/>
    </row>
    <row r="419" spans="1:2" s="10" customFormat="1" x14ac:dyDescent="0.3">
      <c r="A419" s="11"/>
      <c r="B419" s="45"/>
    </row>
    <row r="420" spans="1:2" s="10" customFormat="1" x14ac:dyDescent="0.3">
      <c r="A420" s="11"/>
      <c r="B420" s="45"/>
    </row>
    <row r="421" spans="1:2" s="10" customFormat="1" x14ac:dyDescent="0.3">
      <c r="A421" s="11"/>
      <c r="B421" s="45"/>
    </row>
    <row r="422" spans="1:2" s="10" customFormat="1" x14ac:dyDescent="0.3">
      <c r="A422" s="11"/>
      <c r="B422" s="45"/>
    </row>
    <row r="423" spans="1:2" s="10" customFormat="1" x14ac:dyDescent="0.3">
      <c r="A423" s="11"/>
      <c r="B423" s="45"/>
    </row>
    <row r="424" spans="1:2" s="10" customFormat="1" x14ac:dyDescent="0.3">
      <c r="A424" s="11"/>
      <c r="B424" s="45"/>
    </row>
    <row r="425" spans="1:2" s="10" customFormat="1" x14ac:dyDescent="0.3">
      <c r="A425" s="11"/>
      <c r="B425" s="45"/>
    </row>
    <row r="426" spans="1:2" s="10" customFormat="1" x14ac:dyDescent="0.3">
      <c r="A426" s="11"/>
      <c r="B426" s="45"/>
    </row>
    <row r="427" spans="1:2" s="10" customFormat="1" x14ac:dyDescent="0.3">
      <c r="A427" s="11"/>
      <c r="B427" s="45"/>
    </row>
    <row r="428" spans="1:2" s="10" customFormat="1" x14ac:dyDescent="0.3">
      <c r="A428" s="11"/>
      <c r="B428" s="45"/>
    </row>
    <row r="429" spans="1:2" s="10" customFormat="1" x14ac:dyDescent="0.3">
      <c r="A429" s="11"/>
      <c r="B429" s="45"/>
    </row>
    <row r="430" spans="1:2" s="10" customFormat="1" x14ac:dyDescent="0.3">
      <c r="A430" s="11"/>
      <c r="B430" s="45"/>
    </row>
    <row r="431" spans="1:2" s="10" customFormat="1" x14ac:dyDescent="0.3">
      <c r="A431" s="11"/>
      <c r="B431" s="45"/>
    </row>
    <row r="432" spans="1:2" s="10" customFormat="1" x14ac:dyDescent="0.3">
      <c r="A432" s="11"/>
      <c r="B432" s="45"/>
    </row>
    <row r="433" spans="1:34" s="10" customFormat="1" x14ac:dyDescent="0.3">
      <c r="A433" s="11"/>
      <c r="B433" s="45"/>
    </row>
    <row r="434" spans="1:34" s="10" customFormat="1" x14ac:dyDescent="0.3">
      <c r="A434" s="11"/>
      <c r="B434" s="45"/>
    </row>
    <row r="435" spans="1:34" s="10" customFormat="1" x14ac:dyDescent="0.3">
      <c r="A435" s="11"/>
      <c r="B435" s="45"/>
    </row>
    <row r="436" spans="1:34" s="10" customFormat="1" x14ac:dyDescent="0.3">
      <c r="A436" s="11"/>
      <c r="B436" s="45"/>
    </row>
    <row r="437" spans="1:34" s="10" customFormat="1" x14ac:dyDescent="0.3">
      <c r="A437" s="11"/>
      <c r="B437" s="45"/>
    </row>
    <row r="438" spans="1:34" s="10" customFormat="1" x14ac:dyDescent="0.3">
      <c r="A438" s="11"/>
      <c r="B438" s="45"/>
    </row>
    <row r="439" spans="1:34" s="10" customFormat="1" x14ac:dyDescent="0.3">
      <c r="A439" s="11"/>
      <c r="B439" s="45"/>
    </row>
    <row r="440" spans="1:34" s="10" customFormat="1" x14ac:dyDescent="0.3">
      <c r="A440" s="11"/>
      <c r="B440" s="45"/>
    </row>
    <row r="441" spans="1:34" s="10" customFormat="1" x14ac:dyDescent="0.3">
      <c r="A441" s="11"/>
      <c r="B441" s="45"/>
    </row>
    <row r="442" spans="1:34" s="10" customFormat="1" x14ac:dyDescent="0.3">
      <c r="A442" s="11"/>
      <c r="B442" s="45"/>
    </row>
    <row r="443" spans="1:34" s="10" customFormat="1" x14ac:dyDescent="0.3">
      <c r="A443" s="11"/>
      <c r="B443" s="45"/>
    </row>
    <row r="444" spans="1:34" s="10" customFormat="1" x14ac:dyDescent="0.3">
      <c r="A444" s="11"/>
      <c r="B444" s="45"/>
    </row>
    <row r="445" spans="1:34" s="10" customFormat="1" x14ac:dyDescent="0.3">
      <c r="A445" s="11"/>
      <c r="B445" s="45"/>
    </row>
    <row r="446" spans="1:34" x14ac:dyDescent="0.3"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199CB-8198-4A7C-830B-94F9CEF531A7}">
  <dimension ref="A1:AM211"/>
  <sheetViews>
    <sheetView topLeftCell="AA33" workbookViewId="0">
      <selection activeCell="AH27" sqref="AH27"/>
    </sheetView>
  </sheetViews>
  <sheetFormatPr defaultRowHeight="14.4" x14ac:dyDescent="0.3"/>
  <cols>
    <col min="1" max="2" width="8.88671875" style="48"/>
    <col min="3" max="3" width="10.88671875" style="48" customWidth="1"/>
    <col min="4" max="16384" width="8.88671875" style="48"/>
  </cols>
  <sheetData>
    <row r="1" spans="1:39" ht="78" x14ac:dyDescent="0.3">
      <c r="A1" s="16" t="s">
        <v>0</v>
      </c>
      <c r="B1" s="16" t="s">
        <v>439</v>
      </c>
      <c r="C1" s="16" t="s">
        <v>334</v>
      </c>
      <c r="D1" s="16" t="s">
        <v>335</v>
      </c>
      <c r="E1" s="16" t="s">
        <v>336</v>
      </c>
      <c r="F1" s="16" t="s">
        <v>337</v>
      </c>
      <c r="G1" s="55" t="s">
        <v>370</v>
      </c>
      <c r="H1" s="3" t="s">
        <v>2</v>
      </c>
      <c r="I1" s="3" t="s">
        <v>3</v>
      </c>
      <c r="J1" s="3" t="s">
        <v>4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9</v>
      </c>
      <c r="P1" s="3" t="s">
        <v>10</v>
      </c>
      <c r="Q1" s="3" t="s">
        <v>11</v>
      </c>
      <c r="R1" s="3" t="s">
        <v>12</v>
      </c>
      <c r="S1" s="3" t="s">
        <v>13</v>
      </c>
      <c r="T1" s="3" t="s">
        <v>14</v>
      </c>
      <c r="U1" s="3" t="s">
        <v>15</v>
      </c>
      <c r="V1" s="3" t="s">
        <v>44</v>
      </c>
      <c r="W1" s="3" t="s">
        <v>30</v>
      </c>
      <c r="X1" s="3" t="s">
        <v>16</v>
      </c>
      <c r="Y1" s="4" t="s">
        <v>17</v>
      </c>
      <c r="Z1" s="4" t="s">
        <v>18</v>
      </c>
      <c r="AA1" s="4" t="s">
        <v>19</v>
      </c>
      <c r="AB1" s="4" t="s">
        <v>20</v>
      </c>
      <c r="AC1" s="5" t="s">
        <v>21</v>
      </c>
      <c r="AD1" s="5" t="s">
        <v>22</v>
      </c>
      <c r="AE1" s="5" t="s">
        <v>23</v>
      </c>
      <c r="AF1" s="5" t="s">
        <v>24</v>
      </c>
      <c r="AG1" s="5" t="s">
        <v>52</v>
      </c>
      <c r="AH1" s="6" t="s">
        <v>26</v>
      </c>
      <c r="AI1" s="7" t="s">
        <v>31</v>
      </c>
      <c r="AJ1" s="8" t="s">
        <v>25</v>
      </c>
      <c r="AK1" s="9" t="s">
        <v>27</v>
      </c>
      <c r="AL1" s="9" t="s">
        <v>28</v>
      </c>
      <c r="AM1" s="9" t="s">
        <v>29</v>
      </c>
    </row>
    <row r="2" spans="1:39" x14ac:dyDescent="0.3">
      <c r="A2" s="49">
        <v>0</v>
      </c>
      <c r="B2" s="49">
        <v>100</v>
      </c>
      <c r="C2" s="49">
        <v>43741.071428572461</v>
      </c>
      <c r="D2" s="49">
        <v>642.85714285714198</v>
      </c>
      <c r="E2" s="49">
        <v>309.11854103343398</v>
      </c>
      <c r="F2" s="49">
        <v>5.0263319044702701</v>
      </c>
      <c r="G2" s="49" t="s">
        <v>350</v>
      </c>
      <c r="H2" s="50" t="s">
        <v>33</v>
      </c>
      <c r="I2" s="50" t="s">
        <v>35</v>
      </c>
      <c r="J2" s="50" t="s">
        <v>338</v>
      </c>
      <c r="K2" s="50">
        <v>0.1</v>
      </c>
      <c r="L2" s="50">
        <v>0.46</v>
      </c>
      <c r="M2" s="50">
        <v>0.27</v>
      </c>
      <c r="N2" s="50">
        <v>0.56000000000000005</v>
      </c>
      <c r="O2" s="50">
        <v>4.5</v>
      </c>
      <c r="P2" s="50">
        <v>1.05</v>
      </c>
      <c r="Q2" s="50">
        <v>0</v>
      </c>
      <c r="R2" s="50" t="s">
        <v>34</v>
      </c>
      <c r="S2" s="50">
        <v>1561.56</v>
      </c>
      <c r="T2" s="50">
        <v>0.92</v>
      </c>
      <c r="U2" s="50">
        <v>0.46</v>
      </c>
      <c r="V2" s="50">
        <v>26.58</v>
      </c>
      <c r="W2" s="50">
        <v>2.67</v>
      </c>
      <c r="X2" s="50" t="s">
        <v>34</v>
      </c>
      <c r="Y2" s="50" t="s">
        <v>49</v>
      </c>
      <c r="Z2" s="50" t="s">
        <v>313</v>
      </c>
      <c r="AA2" s="50" t="s">
        <v>38</v>
      </c>
      <c r="AB2" s="50">
        <v>0</v>
      </c>
      <c r="AC2" s="50">
        <v>0.75</v>
      </c>
      <c r="AD2" s="50">
        <v>1</v>
      </c>
      <c r="AE2" s="50" t="s">
        <v>339</v>
      </c>
      <c r="AF2" s="50" t="s">
        <v>34</v>
      </c>
      <c r="AG2" s="50" t="s">
        <v>34</v>
      </c>
      <c r="AH2" s="50" t="s">
        <v>40</v>
      </c>
      <c r="AI2" s="50" t="s">
        <v>34</v>
      </c>
      <c r="AJ2" s="50" t="s">
        <v>34</v>
      </c>
      <c r="AK2" s="50" t="s">
        <v>315</v>
      </c>
      <c r="AL2" s="50">
        <v>2025</v>
      </c>
      <c r="AM2" s="50" t="s">
        <v>340</v>
      </c>
    </row>
    <row r="3" spans="1:39" x14ac:dyDescent="0.3">
      <c r="A3" s="49">
        <v>1.48</v>
      </c>
      <c r="B3" s="49">
        <v>100</v>
      </c>
      <c r="C3" s="49">
        <v>29073.544927027342</v>
      </c>
      <c r="D3" s="49">
        <v>690.72948328267398</v>
      </c>
      <c r="E3" s="49">
        <v>333.738601823708</v>
      </c>
      <c r="F3" s="49">
        <v>3.9093692590324398</v>
      </c>
      <c r="G3" s="49" t="s">
        <v>350</v>
      </c>
      <c r="H3" s="50" t="s">
        <v>33</v>
      </c>
      <c r="I3" s="50" t="s">
        <v>35</v>
      </c>
      <c r="J3" s="50" t="s">
        <v>338</v>
      </c>
      <c r="K3" s="50">
        <v>0.1</v>
      </c>
      <c r="L3" s="50">
        <v>0.46</v>
      </c>
      <c r="M3" s="50">
        <v>0.27</v>
      </c>
      <c r="N3" s="50">
        <v>0.56000000000000005</v>
      </c>
      <c r="O3" s="50">
        <v>4.5</v>
      </c>
      <c r="P3" s="50">
        <v>1.05</v>
      </c>
      <c r="Q3" s="50">
        <v>0</v>
      </c>
      <c r="R3" s="50" t="s">
        <v>34</v>
      </c>
      <c r="S3" s="50">
        <v>1561.56</v>
      </c>
      <c r="T3" s="50">
        <v>0.92</v>
      </c>
      <c r="U3" s="50">
        <v>0.46</v>
      </c>
      <c r="V3" s="50">
        <v>26.58</v>
      </c>
      <c r="W3" s="50">
        <v>2.67</v>
      </c>
      <c r="X3" s="50" t="s">
        <v>34</v>
      </c>
      <c r="Y3" s="50" t="s">
        <v>49</v>
      </c>
      <c r="Z3" s="50" t="s">
        <v>313</v>
      </c>
      <c r="AA3" s="50" t="s">
        <v>38</v>
      </c>
      <c r="AB3" s="50">
        <v>1</v>
      </c>
      <c r="AC3" s="50">
        <v>0.75</v>
      </c>
      <c r="AD3" s="50">
        <v>1</v>
      </c>
      <c r="AE3" s="50" t="s">
        <v>339</v>
      </c>
      <c r="AF3" s="50" t="s">
        <v>34</v>
      </c>
      <c r="AG3" s="50" t="s">
        <v>34</v>
      </c>
      <c r="AH3" s="50" t="s">
        <v>40</v>
      </c>
      <c r="AI3" s="50" t="s">
        <v>34</v>
      </c>
      <c r="AJ3" s="50" t="s">
        <v>34</v>
      </c>
      <c r="AK3" s="50" t="s">
        <v>315</v>
      </c>
      <c r="AL3" s="50">
        <v>2025</v>
      </c>
      <c r="AM3" s="50" t="s">
        <v>340</v>
      </c>
    </row>
    <row r="4" spans="1:39" x14ac:dyDescent="0.3">
      <c r="A4" s="49">
        <v>2.58</v>
      </c>
      <c r="B4" s="49">
        <v>100</v>
      </c>
      <c r="C4" s="49">
        <v>45469.442032133345</v>
      </c>
      <c r="D4" s="49">
        <v>936.93009118540999</v>
      </c>
      <c r="E4" s="49">
        <v>335.10638297872299</v>
      </c>
      <c r="F4" s="49">
        <v>2.2927127985303102</v>
      </c>
      <c r="G4" s="49" t="s">
        <v>350</v>
      </c>
      <c r="H4" s="50" t="s">
        <v>33</v>
      </c>
      <c r="I4" s="50" t="s">
        <v>35</v>
      </c>
      <c r="J4" s="50" t="s">
        <v>338</v>
      </c>
      <c r="K4" s="50">
        <v>0.1</v>
      </c>
      <c r="L4" s="50">
        <v>0.46</v>
      </c>
      <c r="M4" s="50">
        <v>0.27</v>
      </c>
      <c r="N4" s="50">
        <v>0.56000000000000005</v>
      </c>
      <c r="O4" s="50">
        <v>4.5</v>
      </c>
      <c r="P4" s="50">
        <v>1.05</v>
      </c>
      <c r="Q4" s="50">
        <v>0</v>
      </c>
      <c r="R4" s="50" t="s">
        <v>34</v>
      </c>
      <c r="S4" s="50">
        <v>1561.56</v>
      </c>
      <c r="T4" s="50">
        <v>0.92</v>
      </c>
      <c r="U4" s="50">
        <v>0.46</v>
      </c>
      <c r="V4" s="50">
        <v>26.58</v>
      </c>
      <c r="W4" s="50">
        <v>2.67</v>
      </c>
      <c r="X4" s="50" t="s">
        <v>34</v>
      </c>
      <c r="Y4" s="50" t="s">
        <v>49</v>
      </c>
      <c r="Z4" s="50" t="s">
        <v>313</v>
      </c>
      <c r="AA4" s="50" t="s">
        <v>38</v>
      </c>
      <c r="AB4" s="50">
        <v>3</v>
      </c>
      <c r="AC4" s="50">
        <v>0.75</v>
      </c>
      <c r="AD4" s="50">
        <v>1</v>
      </c>
      <c r="AE4" s="50" t="s">
        <v>339</v>
      </c>
      <c r="AF4" s="50" t="s">
        <v>34</v>
      </c>
      <c r="AG4" s="50" t="s">
        <v>34</v>
      </c>
      <c r="AH4" s="50" t="s">
        <v>40</v>
      </c>
      <c r="AI4" s="50" t="s">
        <v>34</v>
      </c>
      <c r="AJ4" s="50" t="s">
        <v>34</v>
      </c>
      <c r="AK4" s="50" t="s">
        <v>315</v>
      </c>
      <c r="AL4" s="50">
        <v>2025</v>
      </c>
      <c r="AM4" s="50" t="s">
        <v>340</v>
      </c>
    </row>
    <row r="5" spans="1:39" x14ac:dyDescent="0.3">
      <c r="A5" s="49">
        <v>4.34</v>
      </c>
      <c r="B5" s="49">
        <v>100</v>
      </c>
      <c r="C5" s="49">
        <v>136415.32354823503</v>
      </c>
      <c r="D5" s="49">
        <v>1522.3404255319099</v>
      </c>
      <c r="E5" s="49">
        <v>439.05775075987799</v>
      </c>
      <c r="F5" s="49">
        <v>1.9497856705450001</v>
      </c>
      <c r="G5" s="49" t="s">
        <v>350</v>
      </c>
      <c r="H5" s="50" t="s">
        <v>33</v>
      </c>
      <c r="I5" s="50" t="s">
        <v>35</v>
      </c>
      <c r="J5" s="50" t="s">
        <v>338</v>
      </c>
      <c r="K5" s="50">
        <v>0.1</v>
      </c>
      <c r="L5" s="50">
        <v>0.46</v>
      </c>
      <c r="M5" s="50">
        <v>0.27</v>
      </c>
      <c r="N5" s="50">
        <v>0.56000000000000005</v>
      </c>
      <c r="O5" s="50">
        <v>4.5</v>
      </c>
      <c r="P5" s="50">
        <v>1.05</v>
      </c>
      <c r="Q5" s="50">
        <v>0</v>
      </c>
      <c r="R5" s="50" t="s">
        <v>34</v>
      </c>
      <c r="S5" s="50">
        <v>1561.56</v>
      </c>
      <c r="T5" s="50">
        <v>0.92</v>
      </c>
      <c r="U5" s="50">
        <v>0.46</v>
      </c>
      <c r="V5" s="50">
        <v>26.58</v>
      </c>
      <c r="W5" s="50">
        <v>2.67</v>
      </c>
      <c r="X5" s="50" t="s">
        <v>34</v>
      </c>
      <c r="Y5" s="50" t="s">
        <v>49</v>
      </c>
      <c r="Z5" s="50" t="s">
        <v>313</v>
      </c>
      <c r="AA5" s="50" t="s">
        <v>38</v>
      </c>
      <c r="AB5" s="50">
        <v>5</v>
      </c>
      <c r="AC5" s="50">
        <v>0.75</v>
      </c>
      <c r="AD5" s="50">
        <v>1</v>
      </c>
      <c r="AE5" s="50" t="s">
        <v>339</v>
      </c>
      <c r="AF5" s="50" t="s">
        <v>34</v>
      </c>
      <c r="AG5" s="50" t="s">
        <v>34</v>
      </c>
      <c r="AH5" s="50" t="s">
        <v>40</v>
      </c>
      <c r="AI5" s="50" t="s">
        <v>34</v>
      </c>
      <c r="AJ5" s="50" t="s">
        <v>34</v>
      </c>
      <c r="AK5" s="50" t="s">
        <v>315</v>
      </c>
      <c r="AL5" s="50">
        <v>2025</v>
      </c>
      <c r="AM5" s="50" t="s">
        <v>340</v>
      </c>
    </row>
    <row r="6" spans="1:39" x14ac:dyDescent="0.3">
      <c r="A6" s="49">
        <v>0</v>
      </c>
      <c r="B6" s="49">
        <v>200</v>
      </c>
      <c r="C6" s="49">
        <v>36778.263217318548</v>
      </c>
      <c r="D6" s="49">
        <v>1179.3235481812301</v>
      </c>
      <c r="E6" s="49">
        <v>612.635609444799</v>
      </c>
      <c r="F6" s="49">
        <v>7.5477903391572001</v>
      </c>
      <c r="G6" s="49" t="s">
        <v>350</v>
      </c>
      <c r="H6" s="50" t="s">
        <v>33</v>
      </c>
      <c r="I6" s="50" t="s">
        <v>35</v>
      </c>
      <c r="J6" s="50" t="s">
        <v>338</v>
      </c>
      <c r="K6" s="50">
        <v>0.1</v>
      </c>
      <c r="L6" s="50">
        <v>0.46</v>
      </c>
      <c r="M6" s="50">
        <v>0.27</v>
      </c>
      <c r="N6" s="50">
        <v>0.56000000000000005</v>
      </c>
      <c r="O6" s="50">
        <v>4.5</v>
      </c>
      <c r="P6" s="50">
        <v>1.05</v>
      </c>
      <c r="Q6" s="50">
        <v>0</v>
      </c>
      <c r="R6" s="50" t="s">
        <v>34</v>
      </c>
      <c r="S6" s="50">
        <v>1561.56</v>
      </c>
      <c r="T6" s="50">
        <v>0.92</v>
      </c>
      <c r="U6" s="50">
        <v>0.46</v>
      </c>
      <c r="V6" s="50">
        <v>26.58</v>
      </c>
      <c r="W6" s="50">
        <v>2.67</v>
      </c>
      <c r="X6" s="50" t="s">
        <v>34</v>
      </c>
      <c r="Y6" s="50" t="s">
        <v>49</v>
      </c>
      <c r="Z6" s="50" t="s">
        <v>313</v>
      </c>
      <c r="AA6" s="50" t="s">
        <v>38</v>
      </c>
      <c r="AB6" s="50">
        <v>0</v>
      </c>
      <c r="AC6" s="50">
        <v>0.75</v>
      </c>
      <c r="AD6" s="50">
        <v>1</v>
      </c>
      <c r="AE6" s="50" t="s">
        <v>339</v>
      </c>
      <c r="AF6" s="50" t="s">
        <v>34</v>
      </c>
      <c r="AG6" s="50" t="s">
        <v>34</v>
      </c>
      <c r="AH6" s="50" t="s">
        <v>40</v>
      </c>
      <c r="AI6" s="50" t="s">
        <v>34</v>
      </c>
      <c r="AJ6" s="50" t="s">
        <v>34</v>
      </c>
      <c r="AK6" s="50" t="s">
        <v>315</v>
      </c>
      <c r="AL6" s="50">
        <v>2025</v>
      </c>
      <c r="AM6" s="50" t="s">
        <v>340</v>
      </c>
    </row>
    <row r="7" spans="1:39" x14ac:dyDescent="0.3">
      <c r="A7" s="49">
        <v>1.48</v>
      </c>
      <c r="B7" s="49">
        <v>200</v>
      </c>
      <c r="C7" s="49">
        <v>34189.573534393516</v>
      </c>
      <c r="D7" s="49">
        <v>1367.7089980855101</v>
      </c>
      <c r="E7" s="49">
        <v>606.50925335035095</v>
      </c>
      <c r="F7" s="49">
        <v>4.1767728674203504</v>
      </c>
      <c r="G7" s="49" t="s">
        <v>350</v>
      </c>
      <c r="H7" s="50" t="s">
        <v>33</v>
      </c>
      <c r="I7" s="50" t="s">
        <v>35</v>
      </c>
      <c r="J7" s="50" t="s">
        <v>338</v>
      </c>
      <c r="K7" s="50">
        <v>0.1</v>
      </c>
      <c r="L7" s="50">
        <v>0.46</v>
      </c>
      <c r="M7" s="50">
        <v>0.27</v>
      </c>
      <c r="N7" s="50">
        <v>0.56000000000000005</v>
      </c>
      <c r="O7" s="50">
        <v>4.5</v>
      </c>
      <c r="P7" s="50">
        <v>1.05</v>
      </c>
      <c r="Q7" s="50">
        <v>0</v>
      </c>
      <c r="R7" s="50" t="s">
        <v>34</v>
      </c>
      <c r="S7" s="50">
        <v>1561.56</v>
      </c>
      <c r="T7" s="50">
        <v>0.92</v>
      </c>
      <c r="U7" s="50">
        <v>0.46</v>
      </c>
      <c r="V7" s="50">
        <v>26.58</v>
      </c>
      <c r="W7" s="50">
        <v>2.67</v>
      </c>
      <c r="X7" s="50" t="s">
        <v>34</v>
      </c>
      <c r="Y7" s="50" t="s">
        <v>49</v>
      </c>
      <c r="Z7" s="50" t="s">
        <v>313</v>
      </c>
      <c r="AA7" s="50" t="s">
        <v>38</v>
      </c>
      <c r="AB7" s="50">
        <v>1</v>
      </c>
      <c r="AC7" s="50">
        <v>0.75</v>
      </c>
      <c r="AD7" s="50">
        <v>1</v>
      </c>
      <c r="AE7" s="50" t="s">
        <v>339</v>
      </c>
      <c r="AF7" s="50" t="s">
        <v>34</v>
      </c>
      <c r="AG7" s="50" t="s">
        <v>34</v>
      </c>
      <c r="AH7" s="50" t="s">
        <v>40</v>
      </c>
      <c r="AI7" s="50" t="s">
        <v>34</v>
      </c>
      <c r="AJ7" s="50" t="s">
        <v>34</v>
      </c>
      <c r="AK7" s="50" t="s">
        <v>315</v>
      </c>
      <c r="AL7" s="50">
        <v>2025</v>
      </c>
      <c r="AM7" s="50" t="s">
        <v>340</v>
      </c>
    </row>
    <row r="8" spans="1:39" x14ac:dyDescent="0.3">
      <c r="A8" s="49">
        <v>2.58</v>
      </c>
      <c r="B8" s="49">
        <v>200</v>
      </c>
      <c r="C8" s="49">
        <v>49126.656406021015</v>
      </c>
      <c r="D8" s="49">
        <v>1646.45820038289</v>
      </c>
      <c r="E8" s="49">
        <v>646.33056796426297</v>
      </c>
      <c r="F8" s="49">
        <v>3.4450154162384399</v>
      </c>
      <c r="G8" s="49" t="s">
        <v>350</v>
      </c>
      <c r="H8" s="50" t="s">
        <v>33</v>
      </c>
      <c r="I8" s="50" t="s">
        <v>35</v>
      </c>
      <c r="J8" s="50" t="s">
        <v>338</v>
      </c>
      <c r="K8" s="50">
        <v>0.1</v>
      </c>
      <c r="L8" s="50">
        <v>0.46</v>
      </c>
      <c r="M8" s="50">
        <v>0.27</v>
      </c>
      <c r="N8" s="50">
        <v>0.56000000000000005</v>
      </c>
      <c r="O8" s="50">
        <v>4.5</v>
      </c>
      <c r="P8" s="50">
        <v>1.05</v>
      </c>
      <c r="Q8" s="50">
        <v>0</v>
      </c>
      <c r="R8" s="50" t="s">
        <v>34</v>
      </c>
      <c r="S8" s="50">
        <v>1561.56</v>
      </c>
      <c r="T8" s="50">
        <v>0.92</v>
      </c>
      <c r="U8" s="50">
        <v>0.46</v>
      </c>
      <c r="V8" s="50">
        <v>26.58</v>
      </c>
      <c r="W8" s="50">
        <v>2.67</v>
      </c>
      <c r="X8" s="50" t="s">
        <v>34</v>
      </c>
      <c r="Y8" s="50" t="s">
        <v>49</v>
      </c>
      <c r="Z8" s="50" t="s">
        <v>313</v>
      </c>
      <c r="AA8" s="50" t="s">
        <v>38</v>
      </c>
      <c r="AB8" s="50">
        <v>3</v>
      </c>
      <c r="AC8" s="50">
        <v>0.75</v>
      </c>
      <c r="AD8" s="50">
        <v>1</v>
      </c>
      <c r="AE8" s="50" t="s">
        <v>339</v>
      </c>
      <c r="AF8" s="50" t="s">
        <v>34</v>
      </c>
      <c r="AG8" s="50" t="s">
        <v>34</v>
      </c>
      <c r="AH8" s="50" t="s">
        <v>40</v>
      </c>
      <c r="AI8" s="50" t="s">
        <v>34</v>
      </c>
      <c r="AJ8" s="50" t="s">
        <v>34</v>
      </c>
      <c r="AK8" s="50" t="s">
        <v>315</v>
      </c>
      <c r="AL8" s="50">
        <v>2025</v>
      </c>
      <c r="AM8" s="50" t="s">
        <v>340</v>
      </c>
    </row>
    <row r="9" spans="1:39" x14ac:dyDescent="0.3">
      <c r="A9" s="49">
        <v>4.34</v>
      </c>
      <c r="B9" s="49">
        <v>200</v>
      </c>
      <c r="C9" s="49">
        <v>153853.08090476986</v>
      </c>
      <c r="D9" s="49">
        <v>2059.9872367581302</v>
      </c>
      <c r="E9" s="49">
        <v>736.694320357371</v>
      </c>
      <c r="F9" s="49">
        <v>2.5077081192189099</v>
      </c>
      <c r="G9" s="49" t="s">
        <v>350</v>
      </c>
      <c r="H9" s="50" t="s">
        <v>33</v>
      </c>
      <c r="I9" s="50" t="s">
        <v>35</v>
      </c>
      <c r="J9" s="50" t="s">
        <v>338</v>
      </c>
      <c r="K9" s="50">
        <v>0.1</v>
      </c>
      <c r="L9" s="50">
        <v>0.46</v>
      </c>
      <c r="M9" s="50">
        <v>0.27</v>
      </c>
      <c r="N9" s="50">
        <v>0.56000000000000005</v>
      </c>
      <c r="O9" s="50">
        <v>4.5</v>
      </c>
      <c r="P9" s="50">
        <v>1.05</v>
      </c>
      <c r="Q9" s="50">
        <v>0</v>
      </c>
      <c r="R9" s="50" t="s">
        <v>34</v>
      </c>
      <c r="S9" s="50">
        <v>1561.56</v>
      </c>
      <c r="T9" s="50">
        <v>0.92</v>
      </c>
      <c r="U9" s="50">
        <v>0.46</v>
      </c>
      <c r="V9" s="50">
        <v>26.58</v>
      </c>
      <c r="W9" s="50">
        <v>2.67</v>
      </c>
      <c r="X9" s="50" t="s">
        <v>34</v>
      </c>
      <c r="Y9" s="50" t="s">
        <v>49</v>
      </c>
      <c r="Z9" s="50" t="s">
        <v>313</v>
      </c>
      <c r="AA9" s="50" t="s">
        <v>38</v>
      </c>
      <c r="AB9" s="50">
        <v>5</v>
      </c>
      <c r="AC9" s="50">
        <v>0.75</v>
      </c>
      <c r="AD9" s="50">
        <v>1</v>
      </c>
      <c r="AE9" s="50" t="s">
        <v>339</v>
      </c>
      <c r="AF9" s="50" t="s">
        <v>34</v>
      </c>
      <c r="AG9" s="50" t="s">
        <v>34</v>
      </c>
      <c r="AH9" s="50" t="s">
        <v>40</v>
      </c>
      <c r="AI9" s="50" t="s">
        <v>34</v>
      </c>
      <c r="AJ9" s="50" t="s">
        <v>34</v>
      </c>
      <c r="AK9" s="50" t="s">
        <v>315</v>
      </c>
      <c r="AL9" s="50">
        <v>2025</v>
      </c>
      <c r="AM9" s="50" t="s">
        <v>340</v>
      </c>
    </row>
    <row r="10" spans="1:39" x14ac:dyDescent="0.3">
      <c r="A10" s="49">
        <v>0</v>
      </c>
      <c r="B10" s="49">
        <v>300</v>
      </c>
      <c r="C10" s="49">
        <v>38582.186330725599</v>
      </c>
      <c r="D10" s="49">
        <v>1635.50221099178</v>
      </c>
      <c r="E10" s="49">
        <v>1201.5161086544499</v>
      </c>
      <c r="F10" s="49">
        <v>9.5185750636132305</v>
      </c>
      <c r="G10" s="49" t="s">
        <v>350</v>
      </c>
      <c r="H10" s="50" t="s">
        <v>33</v>
      </c>
      <c r="I10" s="50" t="s">
        <v>35</v>
      </c>
      <c r="J10" s="50" t="s">
        <v>338</v>
      </c>
      <c r="K10" s="50">
        <v>0.1</v>
      </c>
      <c r="L10" s="50">
        <v>0.46</v>
      </c>
      <c r="M10" s="50">
        <v>0.27</v>
      </c>
      <c r="N10" s="50">
        <v>0.56000000000000005</v>
      </c>
      <c r="O10" s="50">
        <v>4.5</v>
      </c>
      <c r="P10" s="50">
        <v>1.05</v>
      </c>
      <c r="Q10" s="50">
        <v>0</v>
      </c>
      <c r="R10" s="50" t="s">
        <v>34</v>
      </c>
      <c r="S10" s="50">
        <v>1561.56</v>
      </c>
      <c r="T10" s="50">
        <v>0.92</v>
      </c>
      <c r="U10" s="50">
        <v>0.46</v>
      </c>
      <c r="V10" s="50">
        <v>26.58</v>
      </c>
      <c r="W10" s="50">
        <v>2.67</v>
      </c>
      <c r="X10" s="50" t="s">
        <v>34</v>
      </c>
      <c r="Y10" s="50" t="s">
        <v>49</v>
      </c>
      <c r="Z10" s="50" t="s">
        <v>313</v>
      </c>
      <c r="AA10" s="50" t="s">
        <v>38</v>
      </c>
      <c r="AB10" s="50">
        <v>0</v>
      </c>
      <c r="AC10" s="50">
        <v>0.75</v>
      </c>
      <c r="AD10" s="50">
        <v>1</v>
      </c>
      <c r="AE10" s="50" t="s">
        <v>339</v>
      </c>
      <c r="AF10" s="50" t="s">
        <v>34</v>
      </c>
      <c r="AG10" s="50" t="s">
        <v>34</v>
      </c>
      <c r="AH10" s="50" t="s">
        <v>40</v>
      </c>
      <c r="AI10" s="50" t="s">
        <v>34</v>
      </c>
      <c r="AJ10" s="50" t="s">
        <v>34</v>
      </c>
      <c r="AK10" s="50" t="s">
        <v>315</v>
      </c>
      <c r="AL10" s="50">
        <v>2025</v>
      </c>
      <c r="AM10" s="50" t="s">
        <v>340</v>
      </c>
    </row>
    <row r="11" spans="1:39" x14ac:dyDescent="0.3">
      <c r="A11" s="49">
        <v>1.48</v>
      </c>
      <c r="B11" s="49">
        <v>300</v>
      </c>
      <c r="C11" s="49">
        <v>38187.644767319529</v>
      </c>
      <c r="D11" s="49">
        <v>1679.09033480732</v>
      </c>
      <c r="E11" s="49">
        <v>1273.53126974099</v>
      </c>
      <c r="F11" s="49">
        <v>5.0157760814249297</v>
      </c>
      <c r="G11" s="49" t="s">
        <v>350</v>
      </c>
      <c r="H11" s="50" t="s">
        <v>33</v>
      </c>
      <c r="I11" s="50" t="s">
        <v>35</v>
      </c>
      <c r="J11" s="50" t="s">
        <v>338</v>
      </c>
      <c r="K11" s="50">
        <v>0.1</v>
      </c>
      <c r="L11" s="50">
        <v>0.46</v>
      </c>
      <c r="M11" s="50">
        <v>0.27</v>
      </c>
      <c r="N11" s="50">
        <v>0.56000000000000005</v>
      </c>
      <c r="O11" s="50">
        <v>4.5</v>
      </c>
      <c r="P11" s="50">
        <v>1.05</v>
      </c>
      <c r="Q11" s="50">
        <v>0</v>
      </c>
      <c r="R11" s="50" t="s">
        <v>34</v>
      </c>
      <c r="S11" s="50">
        <v>1561.56</v>
      </c>
      <c r="T11" s="50">
        <v>0.92</v>
      </c>
      <c r="U11" s="50">
        <v>0.46</v>
      </c>
      <c r="V11" s="50">
        <v>26.58</v>
      </c>
      <c r="W11" s="50">
        <v>2.67</v>
      </c>
      <c r="X11" s="50" t="s">
        <v>34</v>
      </c>
      <c r="Y11" s="50" t="s">
        <v>49</v>
      </c>
      <c r="Z11" s="50" t="s">
        <v>313</v>
      </c>
      <c r="AA11" s="50" t="s">
        <v>38</v>
      </c>
      <c r="AB11" s="50">
        <v>1</v>
      </c>
      <c r="AC11" s="50">
        <v>0.75</v>
      </c>
      <c r="AD11" s="50">
        <v>1</v>
      </c>
      <c r="AE11" s="50" t="s">
        <v>339</v>
      </c>
      <c r="AF11" s="50" t="s">
        <v>34</v>
      </c>
      <c r="AG11" s="50" t="s">
        <v>34</v>
      </c>
      <c r="AH11" s="50" t="s">
        <v>40</v>
      </c>
      <c r="AI11" s="50" t="s">
        <v>34</v>
      </c>
      <c r="AJ11" s="50" t="s">
        <v>34</v>
      </c>
      <c r="AK11" s="50" t="s">
        <v>315</v>
      </c>
      <c r="AL11" s="50">
        <v>2025</v>
      </c>
      <c r="AM11" s="50" t="s">
        <v>340</v>
      </c>
    </row>
    <row r="12" spans="1:39" x14ac:dyDescent="0.3">
      <c r="A12" s="49">
        <v>2.58</v>
      </c>
      <c r="B12" s="49">
        <v>300</v>
      </c>
      <c r="C12" s="49">
        <v>63030.232538287091</v>
      </c>
      <c r="D12" s="49">
        <v>1898.9260897030899</v>
      </c>
      <c r="E12" s="49">
        <v>968.414403032216</v>
      </c>
      <c r="F12" s="49">
        <v>4.1282442748091501</v>
      </c>
      <c r="G12" s="49" t="s">
        <v>350</v>
      </c>
      <c r="H12" s="50" t="s">
        <v>33</v>
      </c>
      <c r="I12" s="50" t="s">
        <v>35</v>
      </c>
      <c r="J12" s="50" t="s">
        <v>338</v>
      </c>
      <c r="K12" s="50">
        <v>0.1</v>
      </c>
      <c r="L12" s="50">
        <v>0.46</v>
      </c>
      <c r="M12" s="50">
        <v>0.27</v>
      </c>
      <c r="N12" s="50">
        <v>0.56000000000000005</v>
      </c>
      <c r="O12" s="50">
        <v>4.5</v>
      </c>
      <c r="P12" s="50">
        <v>1.05</v>
      </c>
      <c r="Q12" s="50">
        <v>0</v>
      </c>
      <c r="R12" s="50" t="s">
        <v>34</v>
      </c>
      <c r="S12" s="50">
        <v>1561.56</v>
      </c>
      <c r="T12" s="50">
        <v>0.92</v>
      </c>
      <c r="U12" s="50">
        <v>0.46</v>
      </c>
      <c r="V12" s="50">
        <v>26.58</v>
      </c>
      <c r="W12" s="50">
        <v>2.67</v>
      </c>
      <c r="X12" s="50" t="s">
        <v>34</v>
      </c>
      <c r="Y12" s="50" t="s">
        <v>49</v>
      </c>
      <c r="Z12" s="50" t="s">
        <v>313</v>
      </c>
      <c r="AA12" s="50" t="s">
        <v>38</v>
      </c>
      <c r="AB12" s="50">
        <v>3</v>
      </c>
      <c r="AC12" s="50">
        <v>0.75</v>
      </c>
      <c r="AD12" s="50">
        <v>1</v>
      </c>
      <c r="AE12" s="50" t="s">
        <v>339</v>
      </c>
      <c r="AF12" s="50" t="s">
        <v>34</v>
      </c>
      <c r="AG12" s="50" t="s">
        <v>34</v>
      </c>
      <c r="AH12" s="50" t="s">
        <v>40</v>
      </c>
      <c r="AI12" s="50" t="s">
        <v>34</v>
      </c>
      <c r="AJ12" s="50" t="s">
        <v>34</v>
      </c>
      <c r="AK12" s="50" t="s">
        <v>315</v>
      </c>
      <c r="AL12" s="50">
        <v>2025</v>
      </c>
      <c r="AM12" s="50" t="s">
        <v>340</v>
      </c>
    </row>
    <row r="13" spans="1:39" s="53" customFormat="1" ht="15" thickBot="1" x14ac:dyDescent="0.35">
      <c r="A13" s="51">
        <v>4.34</v>
      </c>
      <c r="B13" s="51">
        <v>300</v>
      </c>
      <c r="C13" s="51">
        <v>87311.340082976501</v>
      </c>
      <c r="D13" s="51">
        <v>2630.44851547694</v>
      </c>
      <c r="E13" s="51">
        <v>1489.5767530006301</v>
      </c>
      <c r="F13" s="51">
        <v>3.6315521628498701</v>
      </c>
      <c r="G13" s="51" t="s">
        <v>350</v>
      </c>
      <c r="H13" s="52" t="s">
        <v>33</v>
      </c>
      <c r="I13" s="52" t="s">
        <v>35</v>
      </c>
      <c r="J13" s="52" t="s">
        <v>338</v>
      </c>
      <c r="K13" s="52">
        <v>0.1</v>
      </c>
      <c r="L13" s="52">
        <v>0.46</v>
      </c>
      <c r="M13" s="52">
        <v>0.27</v>
      </c>
      <c r="N13" s="52">
        <v>0.56000000000000005</v>
      </c>
      <c r="O13" s="52">
        <v>4.5</v>
      </c>
      <c r="P13" s="52">
        <v>1.05</v>
      </c>
      <c r="Q13" s="52">
        <v>0</v>
      </c>
      <c r="R13" s="52" t="s">
        <v>34</v>
      </c>
      <c r="S13" s="52">
        <v>1561.56</v>
      </c>
      <c r="T13" s="52">
        <v>0.92</v>
      </c>
      <c r="U13" s="52">
        <v>0.46</v>
      </c>
      <c r="V13" s="52">
        <v>26.58</v>
      </c>
      <c r="W13" s="52">
        <v>2.67</v>
      </c>
      <c r="X13" s="52" t="s">
        <v>34</v>
      </c>
      <c r="Y13" s="52" t="s">
        <v>49</v>
      </c>
      <c r="Z13" s="52" t="s">
        <v>313</v>
      </c>
      <c r="AA13" s="52" t="s">
        <v>38</v>
      </c>
      <c r="AB13" s="52">
        <v>5</v>
      </c>
      <c r="AC13" s="52">
        <v>0.75</v>
      </c>
      <c r="AD13" s="52">
        <v>1</v>
      </c>
      <c r="AE13" s="52" t="s">
        <v>339</v>
      </c>
      <c r="AF13" s="52" t="s">
        <v>34</v>
      </c>
      <c r="AG13" s="52" t="s">
        <v>34</v>
      </c>
      <c r="AH13" s="52" t="s">
        <v>40</v>
      </c>
      <c r="AI13" s="52" t="s">
        <v>34</v>
      </c>
      <c r="AJ13" s="52" t="s">
        <v>34</v>
      </c>
      <c r="AK13" s="52" t="s">
        <v>315</v>
      </c>
      <c r="AL13" s="52">
        <v>2025</v>
      </c>
      <c r="AM13" s="52" t="s">
        <v>340</v>
      </c>
    </row>
    <row r="14" spans="1:39" x14ac:dyDescent="0.3">
      <c r="A14" s="54">
        <v>2</v>
      </c>
      <c r="B14" s="54">
        <v>60</v>
      </c>
      <c r="C14" s="54" t="s">
        <v>34</v>
      </c>
      <c r="D14" s="54">
        <v>210.16</v>
      </c>
      <c r="E14" s="54" t="s">
        <v>34</v>
      </c>
      <c r="F14" s="54" t="s">
        <v>34</v>
      </c>
      <c r="G14" s="54" t="s">
        <v>350</v>
      </c>
      <c r="H14" s="54" t="s">
        <v>33</v>
      </c>
      <c r="I14" s="54" t="s">
        <v>226</v>
      </c>
      <c r="J14" s="54" t="s">
        <v>170</v>
      </c>
      <c r="K14" s="54" t="s">
        <v>34</v>
      </c>
      <c r="L14" s="54">
        <v>0.6</v>
      </c>
      <c r="M14" s="54" t="s">
        <v>34</v>
      </c>
      <c r="N14" s="54" t="s">
        <v>34</v>
      </c>
      <c r="O14" s="54">
        <v>1.1000000000000001</v>
      </c>
      <c r="P14" s="54" t="s">
        <v>34</v>
      </c>
      <c r="Q14" s="54">
        <v>0</v>
      </c>
      <c r="R14" s="54">
        <v>60</v>
      </c>
      <c r="S14" s="54" t="s">
        <v>34</v>
      </c>
      <c r="T14" s="54" t="s">
        <v>34</v>
      </c>
      <c r="U14" s="54" t="s">
        <v>34</v>
      </c>
      <c r="V14" s="54">
        <v>0</v>
      </c>
      <c r="W14" s="54">
        <v>2.65</v>
      </c>
      <c r="X14" s="54" t="s">
        <v>34</v>
      </c>
      <c r="Y14" s="54" t="s">
        <v>49</v>
      </c>
      <c r="Z14" s="54" t="s">
        <v>50</v>
      </c>
      <c r="AA14" s="54" t="s">
        <v>162</v>
      </c>
      <c r="AB14" s="54">
        <v>2</v>
      </c>
      <c r="AC14" s="54">
        <v>0.39900000000000002</v>
      </c>
      <c r="AD14" s="54">
        <v>1.4239999999999999</v>
      </c>
      <c r="AE14" s="54" t="s">
        <v>50</v>
      </c>
      <c r="AF14" s="54">
        <v>8.3999999999999995E-3</v>
      </c>
      <c r="AG14" s="54">
        <v>7.7</v>
      </c>
      <c r="AH14" s="54" t="s">
        <v>203</v>
      </c>
      <c r="AI14" s="54" t="s">
        <v>34</v>
      </c>
      <c r="AJ14" s="54" t="s">
        <v>34</v>
      </c>
      <c r="AK14" s="54" t="s">
        <v>351</v>
      </c>
      <c r="AL14" s="54">
        <v>2015</v>
      </c>
      <c r="AM14" s="54" t="s">
        <v>352</v>
      </c>
    </row>
    <row r="15" spans="1:39" x14ac:dyDescent="0.3">
      <c r="A15" s="50">
        <v>0</v>
      </c>
      <c r="B15" s="50">
        <v>60</v>
      </c>
      <c r="C15" s="50" t="s">
        <v>34</v>
      </c>
      <c r="D15" s="50">
        <v>178.54</v>
      </c>
      <c r="E15" s="50" t="s">
        <v>34</v>
      </c>
      <c r="F15" s="50" t="s">
        <v>34</v>
      </c>
      <c r="G15" s="50" t="s">
        <v>350</v>
      </c>
      <c r="H15" s="50" t="s">
        <v>33</v>
      </c>
      <c r="I15" s="50" t="s">
        <v>230</v>
      </c>
      <c r="J15" s="50" t="s">
        <v>170</v>
      </c>
      <c r="K15" s="50" t="s">
        <v>34</v>
      </c>
      <c r="L15" s="50">
        <v>0.6</v>
      </c>
      <c r="M15" s="50" t="s">
        <v>34</v>
      </c>
      <c r="N15" s="50" t="s">
        <v>34</v>
      </c>
      <c r="O15" s="50">
        <v>1.1000000000000001</v>
      </c>
      <c r="P15" s="50" t="s">
        <v>34</v>
      </c>
      <c r="Q15" s="50">
        <v>0</v>
      </c>
      <c r="R15" s="50">
        <v>60</v>
      </c>
      <c r="S15" s="50" t="s">
        <v>34</v>
      </c>
      <c r="T15" s="50" t="s">
        <v>34</v>
      </c>
      <c r="U15" s="50" t="s">
        <v>34</v>
      </c>
      <c r="V15" s="50">
        <v>0</v>
      </c>
      <c r="W15" s="50">
        <v>2.65</v>
      </c>
      <c r="X15" s="50" t="s">
        <v>34</v>
      </c>
      <c r="Y15" s="50" t="s">
        <v>49</v>
      </c>
      <c r="Z15" s="50" t="s">
        <v>50</v>
      </c>
      <c r="AA15" s="50" t="s">
        <v>162</v>
      </c>
      <c r="AB15" s="50">
        <v>2</v>
      </c>
      <c r="AC15" s="50">
        <v>0</v>
      </c>
      <c r="AD15" s="50" t="s">
        <v>34</v>
      </c>
      <c r="AE15" s="50" t="s">
        <v>50</v>
      </c>
      <c r="AF15" s="50">
        <v>0</v>
      </c>
      <c r="AG15" s="50" t="s">
        <v>34</v>
      </c>
      <c r="AH15" s="50" t="s">
        <v>34</v>
      </c>
      <c r="AI15" s="50" t="s">
        <v>34</v>
      </c>
      <c r="AJ15" s="50" t="s">
        <v>34</v>
      </c>
      <c r="AK15" s="50" t="s">
        <v>351</v>
      </c>
      <c r="AL15" s="50">
        <v>2015</v>
      </c>
      <c r="AM15" s="50" t="s">
        <v>352</v>
      </c>
    </row>
    <row r="16" spans="1:39" x14ac:dyDescent="0.3">
      <c r="A16" s="50">
        <v>0</v>
      </c>
      <c r="B16" s="50">
        <v>60</v>
      </c>
      <c r="C16" s="50" t="s">
        <v>34</v>
      </c>
      <c r="D16" s="50">
        <v>164.54</v>
      </c>
      <c r="E16" s="50" t="s">
        <v>34</v>
      </c>
      <c r="F16" s="50" t="s">
        <v>34</v>
      </c>
      <c r="G16" s="50" t="s">
        <v>350</v>
      </c>
      <c r="H16" s="50" t="s">
        <v>33</v>
      </c>
      <c r="I16" s="50" t="s">
        <v>231</v>
      </c>
      <c r="J16" s="50" t="s">
        <v>170</v>
      </c>
      <c r="K16" s="50" t="s">
        <v>34</v>
      </c>
      <c r="L16" s="50">
        <v>0.6</v>
      </c>
      <c r="M16" s="50" t="s">
        <v>34</v>
      </c>
      <c r="N16" s="50" t="s">
        <v>34</v>
      </c>
      <c r="O16" s="50">
        <v>1.1000000000000001</v>
      </c>
      <c r="P16" s="50" t="s">
        <v>34</v>
      </c>
      <c r="Q16" s="50">
        <v>0</v>
      </c>
      <c r="R16" s="50">
        <v>60</v>
      </c>
      <c r="S16" s="50" t="s">
        <v>34</v>
      </c>
      <c r="T16" s="50" t="s">
        <v>34</v>
      </c>
      <c r="U16" s="50" t="s">
        <v>34</v>
      </c>
      <c r="V16" s="50">
        <v>0</v>
      </c>
      <c r="W16" s="50">
        <v>2.65</v>
      </c>
      <c r="X16" s="50" t="s">
        <v>34</v>
      </c>
      <c r="Y16" s="50" t="s">
        <v>49</v>
      </c>
      <c r="Z16" s="50" t="s">
        <v>50</v>
      </c>
      <c r="AA16" s="50" t="s">
        <v>162</v>
      </c>
      <c r="AB16" s="50">
        <v>2</v>
      </c>
      <c r="AC16" s="50">
        <v>0</v>
      </c>
      <c r="AD16" s="50" t="s">
        <v>34</v>
      </c>
      <c r="AE16" s="50" t="s">
        <v>50</v>
      </c>
      <c r="AF16" s="50">
        <v>0</v>
      </c>
      <c r="AG16" s="50" t="s">
        <v>34</v>
      </c>
      <c r="AH16" s="50" t="s">
        <v>34</v>
      </c>
      <c r="AI16" s="50" t="s">
        <v>34</v>
      </c>
      <c r="AJ16" s="50" t="s">
        <v>34</v>
      </c>
      <c r="AK16" s="50" t="s">
        <v>351</v>
      </c>
      <c r="AL16" s="50">
        <v>2015</v>
      </c>
      <c r="AM16" s="50" t="s">
        <v>352</v>
      </c>
    </row>
    <row r="17" spans="1:39" x14ac:dyDescent="0.3">
      <c r="A17" s="50">
        <v>0</v>
      </c>
      <c r="B17" s="50">
        <v>60</v>
      </c>
      <c r="C17" s="50" t="s">
        <v>34</v>
      </c>
      <c r="D17" s="50">
        <v>159.5</v>
      </c>
      <c r="E17" s="50" t="s">
        <v>34</v>
      </c>
      <c r="F17" s="50" t="s">
        <v>34</v>
      </c>
      <c r="G17" s="50" t="s">
        <v>350</v>
      </c>
      <c r="H17" s="50" t="s">
        <v>33</v>
      </c>
      <c r="I17" s="50" t="s">
        <v>232</v>
      </c>
      <c r="J17" s="50" t="s">
        <v>170</v>
      </c>
      <c r="K17" s="50" t="s">
        <v>34</v>
      </c>
      <c r="L17" s="50">
        <v>0.6</v>
      </c>
      <c r="M17" s="50" t="s">
        <v>34</v>
      </c>
      <c r="N17" s="50" t="s">
        <v>34</v>
      </c>
      <c r="O17" s="50">
        <v>1.1000000000000001</v>
      </c>
      <c r="P17" s="50" t="s">
        <v>34</v>
      </c>
      <c r="Q17" s="50">
        <v>0</v>
      </c>
      <c r="R17" s="50">
        <v>60</v>
      </c>
      <c r="S17" s="50" t="s">
        <v>34</v>
      </c>
      <c r="T17" s="50" t="s">
        <v>34</v>
      </c>
      <c r="U17" s="50" t="s">
        <v>34</v>
      </c>
      <c r="V17" s="50">
        <v>0</v>
      </c>
      <c r="W17" s="50">
        <v>2.65</v>
      </c>
      <c r="X17" s="50" t="s">
        <v>34</v>
      </c>
      <c r="Y17" s="50" t="s">
        <v>49</v>
      </c>
      <c r="Z17" s="50" t="s">
        <v>50</v>
      </c>
      <c r="AA17" s="50" t="s">
        <v>162</v>
      </c>
      <c r="AB17" s="50">
        <v>2</v>
      </c>
      <c r="AC17" s="50">
        <v>0</v>
      </c>
      <c r="AD17" s="50" t="s">
        <v>34</v>
      </c>
      <c r="AE17" s="50" t="s">
        <v>50</v>
      </c>
      <c r="AF17" s="50">
        <v>0</v>
      </c>
      <c r="AG17" s="50" t="s">
        <v>34</v>
      </c>
      <c r="AH17" s="50" t="s">
        <v>34</v>
      </c>
      <c r="AI17" s="50" t="s">
        <v>34</v>
      </c>
      <c r="AJ17" s="50" t="s">
        <v>34</v>
      </c>
      <c r="AK17" s="50" t="s">
        <v>351</v>
      </c>
      <c r="AL17" s="50">
        <v>2015</v>
      </c>
      <c r="AM17" s="50" t="s">
        <v>352</v>
      </c>
    </row>
    <row r="18" spans="1:39" x14ac:dyDescent="0.3">
      <c r="A18" s="50">
        <v>1.6</v>
      </c>
      <c r="B18" s="50">
        <v>60</v>
      </c>
      <c r="C18" s="50" t="s">
        <v>34</v>
      </c>
      <c r="D18" s="50">
        <v>258.77999999999997</v>
      </c>
      <c r="E18" s="50" t="s">
        <v>34</v>
      </c>
      <c r="F18" s="50" t="s">
        <v>34</v>
      </c>
      <c r="G18" s="50" t="s">
        <v>350</v>
      </c>
      <c r="H18" s="50" t="s">
        <v>33</v>
      </c>
      <c r="I18" s="50" t="s">
        <v>265</v>
      </c>
      <c r="J18" s="50" t="s">
        <v>170</v>
      </c>
      <c r="K18" s="50" t="s">
        <v>34</v>
      </c>
      <c r="L18" s="50">
        <v>0.27500000000000002</v>
      </c>
      <c r="M18" s="50" t="s">
        <v>34</v>
      </c>
      <c r="N18" s="50" t="s">
        <v>34</v>
      </c>
      <c r="O18" s="50">
        <v>1.74</v>
      </c>
      <c r="P18" s="50" t="s">
        <v>34</v>
      </c>
      <c r="Q18" s="50" t="s">
        <v>34</v>
      </c>
      <c r="R18" s="50">
        <v>35</v>
      </c>
      <c r="S18" s="50" t="s">
        <v>34</v>
      </c>
      <c r="T18" s="50" t="s">
        <v>34</v>
      </c>
      <c r="U18" s="50" t="s">
        <v>34</v>
      </c>
      <c r="V18" s="50">
        <v>0</v>
      </c>
      <c r="W18" s="50">
        <v>2.65</v>
      </c>
      <c r="X18" s="50" t="s">
        <v>34</v>
      </c>
      <c r="Y18" s="50" t="s">
        <v>49</v>
      </c>
      <c r="Z18" s="50" t="s">
        <v>50</v>
      </c>
      <c r="AA18" s="50" t="s">
        <v>162</v>
      </c>
      <c r="AB18" s="50">
        <v>2</v>
      </c>
      <c r="AC18" s="50">
        <v>0.7</v>
      </c>
      <c r="AD18" s="50">
        <v>1.07</v>
      </c>
      <c r="AE18" s="50" t="s">
        <v>50</v>
      </c>
      <c r="AF18" s="50">
        <v>1.2E-2</v>
      </c>
      <c r="AG18" s="50">
        <v>7.75</v>
      </c>
      <c r="AH18" s="50" t="s">
        <v>40</v>
      </c>
      <c r="AI18" s="50" t="s">
        <v>34</v>
      </c>
      <c r="AJ18" s="50" t="s">
        <v>34</v>
      </c>
      <c r="AK18" s="50" t="s">
        <v>351</v>
      </c>
      <c r="AL18" s="50">
        <v>2015</v>
      </c>
      <c r="AM18" s="50" t="s">
        <v>352</v>
      </c>
    </row>
    <row r="19" spans="1:39" s="53" customFormat="1" ht="15" thickBot="1" x14ac:dyDescent="0.35">
      <c r="A19" s="52">
        <v>0</v>
      </c>
      <c r="B19" s="52">
        <v>60</v>
      </c>
      <c r="C19" s="52" t="s">
        <v>34</v>
      </c>
      <c r="D19" s="52">
        <v>192.64</v>
      </c>
      <c r="E19" s="52" t="s">
        <v>34</v>
      </c>
      <c r="F19" s="52" t="s">
        <v>34</v>
      </c>
      <c r="G19" s="52" t="s">
        <v>350</v>
      </c>
      <c r="H19" s="52" t="s">
        <v>33</v>
      </c>
      <c r="I19" s="52" t="s">
        <v>353</v>
      </c>
      <c r="J19" s="52" t="s">
        <v>170</v>
      </c>
      <c r="K19" s="52" t="s">
        <v>34</v>
      </c>
      <c r="L19" s="52">
        <v>0.27500000000000002</v>
      </c>
      <c r="M19" s="52" t="s">
        <v>34</v>
      </c>
      <c r="N19" s="52" t="s">
        <v>34</v>
      </c>
      <c r="O19" s="52">
        <v>1.74</v>
      </c>
      <c r="P19" s="52" t="s">
        <v>34</v>
      </c>
      <c r="Q19" s="52" t="s">
        <v>34</v>
      </c>
      <c r="R19" s="52">
        <v>37</v>
      </c>
      <c r="S19" s="52" t="s">
        <v>34</v>
      </c>
      <c r="T19" s="52" t="s">
        <v>34</v>
      </c>
      <c r="U19" s="52" t="s">
        <v>34</v>
      </c>
      <c r="V19" s="52">
        <v>0</v>
      </c>
      <c r="W19" s="52">
        <v>2.65</v>
      </c>
      <c r="X19" s="52" t="s">
        <v>34</v>
      </c>
      <c r="Y19" s="52" t="s">
        <v>49</v>
      </c>
      <c r="Z19" s="52" t="s">
        <v>50</v>
      </c>
      <c r="AA19" s="52" t="s">
        <v>162</v>
      </c>
      <c r="AB19" s="52">
        <v>2</v>
      </c>
      <c r="AC19" s="52">
        <v>0</v>
      </c>
      <c r="AD19" s="52" t="s">
        <v>34</v>
      </c>
      <c r="AE19" s="52" t="s">
        <v>50</v>
      </c>
      <c r="AF19" s="52">
        <v>0</v>
      </c>
      <c r="AG19" s="52" t="s">
        <v>34</v>
      </c>
      <c r="AH19" s="52" t="s">
        <v>34</v>
      </c>
      <c r="AI19" s="52" t="s">
        <v>34</v>
      </c>
      <c r="AJ19" s="52" t="s">
        <v>34</v>
      </c>
      <c r="AK19" s="52" t="s">
        <v>351</v>
      </c>
      <c r="AL19" s="52">
        <v>2015</v>
      </c>
      <c r="AM19" s="52" t="s">
        <v>352</v>
      </c>
    </row>
    <row r="20" spans="1:39" x14ac:dyDescent="0.3">
      <c r="A20" s="54">
        <v>0</v>
      </c>
      <c r="B20" s="54">
        <v>100</v>
      </c>
      <c r="C20" s="54">
        <v>545.26028359220743</v>
      </c>
      <c r="D20" s="54">
        <v>71.324341891452292</v>
      </c>
      <c r="E20" s="54">
        <v>49.197270068248102</v>
      </c>
      <c r="F20" s="54">
        <v>11</v>
      </c>
      <c r="G20" s="54" t="s">
        <v>354</v>
      </c>
      <c r="H20" s="54" t="s">
        <v>355</v>
      </c>
      <c r="I20" s="54" t="s">
        <v>356</v>
      </c>
      <c r="J20" s="54" t="s">
        <v>170</v>
      </c>
      <c r="K20" s="56">
        <v>4.6168451378056884E-3</v>
      </c>
      <c r="L20" s="56">
        <v>2.4226596591897642E-2</v>
      </c>
      <c r="M20" s="56">
        <v>1.2651100662068735E-2</v>
      </c>
      <c r="N20" s="56">
        <v>0.14225447138611003</v>
      </c>
      <c r="O20" s="56">
        <v>30.812051766960774</v>
      </c>
      <c r="P20" s="56">
        <v>0.24369431011328319</v>
      </c>
      <c r="Q20" s="54">
        <v>60</v>
      </c>
      <c r="R20" s="54" t="s">
        <v>34</v>
      </c>
      <c r="S20" s="54">
        <v>1620</v>
      </c>
      <c r="T20" s="54" t="s">
        <v>34</v>
      </c>
      <c r="U20" s="54" t="s">
        <v>34</v>
      </c>
      <c r="V20" s="54">
        <v>23.39</v>
      </c>
      <c r="W20" s="54" t="s">
        <v>34</v>
      </c>
      <c r="X20" s="54" t="s">
        <v>34</v>
      </c>
      <c r="Y20" s="54" t="s">
        <v>49</v>
      </c>
      <c r="Z20" s="54" t="s">
        <v>339</v>
      </c>
      <c r="AA20" s="54" t="s">
        <v>162</v>
      </c>
      <c r="AB20" s="54">
        <v>0</v>
      </c>
      <c r="AC20" s="54">
        <v>0.5</v>
      </c>
      <c r="AD20" s="54">
        <v>1</v>
      </c>
      <c r="AE20" s="54" t="s">
        <v>339</v>
      </c>
      <c r="AF20" s="54">
        <v>0.37259999999999999</v>
      </c>
      <c r="AG20" s="54" t="s">
        <v>34</v>
      </c>
      <c r="AH20" s="54" t="s">
        <v>40</v>
      </c>
      <c r="AI20" s="54" t="s">
        <v>34</v>
      </c>
      <c r="AJ20" s="54" t="s">
        <v>34</v>
      </c>
      <c r="AK20" s="54" t="s">
        <v>357</v>
      </c>
      <c r="AL20" s="54">
        <v>2019</v>
      </c>
      <c r="AM20" s="54" t="s">
        <v>358</v>
      </c>
    </row>
    <row r="21" spans="1:39" x14ac:dyDescent="0.3">
      <c r="A21" s="50">
        <v>3.42</v>
      </c>
      <c r="B21" s="50">
        <v>100</v>
      </c>
      <c r="C21" s="50">
        <v>1180.2354323951954</v>
      </c>
      <c r="D21" s="50">
        <v>171.34302892427559</v>
      </c>
      <c r="E21" s="50">
        <v>171.34302892427559</v>
      </c>
      <c r="F21" s="50">
        <v>17</v>
      </c>
      <c r="G21" s="50" t="s">
        <v>354</v>
      </c>
      <c r="H21" s="50" t="s">
        <v>355</v>
      </c>
      <c r="I21" s="50" t="s">
        <v>356</v>
      </c>
      <c r="J21" s="50" t="s">
        <v>170</v>
      </c>
      <c r="K21" s="49">
        <v>4.6168451378056884E-3</v>
      </c>
      <c r="L21" s="49">
        <v>2.4226596591897642E-2</v>
      </c>
      <c r="M21" s="49">
        <v>1.2651100662068735E-2</v>
      </c>
      <c r="N21" s="49">
        <v>0.14225447138611003</v>
      </c>
      <c r="O21" s="49">
        <v>30.812051766960774</v>
      </c>
      <c r="P21" s="49">
        <v>0.24369431011328319</v>
      </c>
      <c r="Q21" s="50">
        <v>60</v>
      </c>
      <c r="R21" s="50" t="s">
        <v>34</v>
      </c>
      <c r="S21" s="50">
        <v>1620</v>
      </c>
      <c r="T21" s="50" t="s">
        <v>34</v>
      </c>
      <c r="U21" s="50" t="s">
        <v>34</v>
      </c>
      <c r="V21" s="50">
        <v>23.39</v>
      </c>
      <c r="W21" s="50" t="s">
        <v>34</v>
      </c>
      <c r="X21" s="50" t="s">
        <v>34</v>
      </c>
      <c r="Y21" s="50" t="s">
        <v>49</v>
      </c>
      <c r="Z21" s="50" t="s">
        <v>339</v>
      </c>
      <c r="AA21" s="50" t="s">
        <v>162</v>
      </c>
      <c r="AB21" s="50">
        <v>5</v>
      </c>
      <c r="AC21" s="50">
        <v>0.5</v>
      </c>
      <c r="AD21" s="50">
        <v>1</v>
      </c>
      <c r="AE21" s="50" t="s">
        <v>339</v>
      </c>
      <c r="AF21" s="50">
        <v>0.37259999999999999</v>
      </c>
      <c r="AG21" s="50" t="s">
        <v>34</v>
      </c>
      <c r="AH21" s="50" t="s">
        <v>40</v>
      </c>
      <c r="AI21" s="50" t="s">
        <v>34</v>
      </c>
      <c r="AJ21" s="50" t="s">
        <v>34</v>
      </c>
      <c r="AK21" s="50" t="s">
        <v>357</v>
      </c>
      <c r="AL21" s="50">
        <v>2019</v>
      </c>
      <c r="AM21" s="50" t="s">
        <v>358</v>
      </c>
    </row>
    <row r="22" spans="1:39" x14ac:dyDescent="0.3">
      <c r="A22" s="50">
        <v>4.22</v>
      </c>
      <c r="B22" s="50">
        <v>100</v>
      </c>
      <c r="C22" s="50">
        <v>1831.7624673012272</v>
      </c>
      <c r="D22" s="50">
        <v>193.72440688982618</v>
      </c>
      <c r="E22" s="50">
        <v>181.35115372115541</v>
      </c>
      <c r="F22" s="50">
        <v>16</v>
      </c>
      <c r="G22" s="50" t="s">
        <v>354</v>
      </c>
      <c r="H22" s="50" t="s">
        <v>355</v>
      </c>
      <c r="I22" s="50" t="s">
        <v>356</v>
      </c>
      <c r="J22" s="50" t="s">
        <v>170</v>
      </c>
      <c r="K22" s="49">
        <v>4.6168451378056884E-3</v>
      </c>
      <c r="L22" s="49">
        <v>2.4226596591897642E-2</v>
      </c>
      <c r="M22" s="49">
        <v>1.2651100662068735E-2</v>
      </c>
      <c r="N22" s="49">
        <v>0.14225447138611003</v>
      </c>
      <c r="O22" s="49">
        <v>30.812051766960774</v>
      </c>
      <c r="P22" s="49">
        <v>0.24369431011328319</v>
      </c>
      <c r="Q22" s="50">
        <v>60</v>
      </c>
      <c r="R22" s="50" t="s">
        <v>34</v>
      </c>
      <c r="S22" s="50">
        <v>1620</v>
      </c>
      <c r="T22" s="50" t="s">
        <v>34</v>
      </c>
      <c r="U22" s="50" t="s">
        <v>34</v>
      </c>
      <c r="V22" s="50">
        <v>23.39</v>
      </c>
      <c r="W22" s="50" t="s">
        <v>34</v>
      </c>
      <c r="X22" s="50" t="s">
        <v>34</v>
      </c>
      <c r="Y22" s="50" t="s">
        <v>49</v>
      </c>
      <c r="Z22" s="50" t="s">
        <v>339</v>
      </c>
      <c r="AA22" s="50" t="s">
        <v>162</v>
      </c>
      <c r="AB22" s="50">
        <v>10</v>
      </c>
      <c r="AC22" s="50">
        <v>0.5</v>
      </c>
      <c r="AD22" s="50">
        <v>1</v>
      </c>
      <c r="AE22" s="50" t="s">
        <v>339</v>
      </c>
      <c r="AF22" s="50">
        <v>0.37259999999999999</v>
      </c>
      <c r="AG22" s="50" t="s">
        <v>34</v>
      </c>
      <c r="AH22" s="50" t="s">
        <v>40</v>
      </c>
      <c r="AI22" s="50" t="s">
        <v>34</v>
      </c>
      <c r="AJ22" s="50" t="s">
        <v>34</v>
      </c>
      <c r="AK22" s="50" t="s">
        <v>357</v>
      </c>
      <c r="AL22" s="50">
        <v>2019</v>
      </c>
      <c r="AM22" s="50" t="s">
        <v>358</v>
      </c>
    </row>
    <row r="23" spans="1:39" s="53" customFormat="1" ht="15" thickBot="1" x14ac:dyDescent="0.35">
      <c r="A23" s="52">
        <v>7.33</v>
      </c>
      <c r="B23" s="52">
        <v>100</v>
      </c>
      <c r="C23" s="52">
        <v>3336.2921033924699</v>
      </c>
      <c r="D23" s="52">
        <v>210.6776080597968</v>
      </c>
      <c r="E23" s="52">
        <v>204.6197595060105</v>
      </c>
      <c r="F23" s="52">
        <v>15</v>
      </c>
      <c r="G23" s="52" t="s">
        <v>354</v>
      </c>
      <c r="H23" s="52" t="s">
        <v>355</v>
      </c>
      <c r="I23" s="52" t="s">
        <v>356</v>
      </c>
      <c r="J23" s="52" t="s">
        <v>170</v>
      </c>
      <c r="K23" s="51">
        <v>4.6168451378056884E-3</v>
      </c>
      <c r="L23" s="51">
        <v>2.4226596591897642E-2</v>
      </c>
      <c r="M23" s="51">
        <v>1.2651100662068735E-2</v>
      </c>
      <c r="N23" s="51">
        <v>0.14225447138611003</v>
      </c>
      <c r="O23" s="51">
        <v>30.812051766960774</v>
      </c>
      <c r="P23" s="51">
        <v>0.24369431011328319</v>
      </c>
      <c r="Q23" s="52">
        <v>60</v>
      </c>
      <c r="R23" s="52" t="s">
        <v>34</v>
      </c>
      <c r="S23" s="52">
        <v>1620</v>
      </c>
      <c r="T23" s="52" t="s">
        <v>34</v>
      </c>
      <c r="U23" s="52" t="s">
        <v>34</v>
      </c>
      <c r="V23" s="52">
        <v>23.39</v>
      </c>
      <c r="W23" s="52" t="s">
        <v>34</v>
      </c>
      <c r="X23" s="52" t="s">
        <v>34</v>
      </c>
      <c r="Y23" s="52" t="s">
        <v>49</v>
      </c>
      <c r="Z23" s="52" t="s">
        <v>339</v>
      </c>
      <c r="AA23" s="52" t="s">
        <v>162</v>
      </c>
      <c r="AB23" s="52">
        <v>15</v>
      </c>
      <c r="AC23" s="52">
        <v>0.5</v>
      </c>
      <c r="AD23" s="52">
        <v>1</v>
      </c>
      <c r="AE23" s="52" t="s">
        <v>339</v>
      </c>
      <c r="AF23" s="52">
        <v>0.37259999999999999</v>
      </c>
      <c r="AG23" s="52" t="s">
        <v>34</v>
      </c>
      <c r="AH23" s="52" t="s">
        <v>40</v>
      </c>
      <c r="AI23" s="52" t="s">
        <v>34</v>
      </c>
      <c r="AJ23" s="52" t="s">
        <v>34</v>
      </c>
      <c r="AK23" s="52" t="s">
        <v>357</v>
      </c>
      <c r="AL23" s="52">
        <v>2019</v>
      </c>
      <c r="AM23" s="52" t="s">
        <v>358</v>
      </c>
    </row>
    <row r="24" spans="1:39" x14ac:dyDescent="0.3">
      <c r="A24" s="54">
        <v>0</v>
      </c>
      <c r="B24" s="54">
        <v>100</v>
      </c>
      <c r="C24" s="54">
        <v>40189.080772623121</v>
      </c>
      <c r="D24" s="54">
        <v>355.85506627533101</v>
      </c>
      <c r="E24" s="54">
        <v>263.51340436928598</v>
      </c>
      <c r="F24" s="54">
        <v>3.8062019890121999</v>
      </c>
      <c r="G24" s="54" t="s">
        <v>350</v>
      </c>
      <c r="H24" s="54" t="s">
        <v>33</v>
      </c>
      <c r="I24" s="54" t="s">
        <v>35</v>
      </c>
      <c r="J24" s="54" t="s">
        <v>170</v>
      </c>
      <c r="K24" s="54">
        <v>0.14599999999999999</v>
      </c>
      <c r="L24" s="54">
        <v>0.17100000000000001</v>
      </c>
      <c r="M24" s="54">
        <v>0.17100000000000001</v>
      </c>
      <c r="N24" s="54">
        <v>0.20499999999999999</v>
      </c>
      <c r="O24" s="54">
        <v>1.403</v>
      </c>
      <c r="P24" s="54">
        <v>0.97699999999999998</v>
      </c>
      <c r="Q24" s="54">
        <v>0</v>
      </c>
      <c r="R24" s="54">
        <v>50</v>
      </c>
      <c r="S24" s="54">
        <v>1527</v>
      </c>
      <c r="T24" s="54">
        <v>0.91100000000000003</v>
      </c>
      <c r="U24" s="54">
        <v>0.57399999999999995</v>
      </c>
      <c r="V24" s="54">
        <v>27.91</v>
      </c>
      <c r="W24" s="54">
        <v>2.66</v>
      </c>
      <c r="X24" s="54" t="s">
        <v>34</v>
      </c>
      <c r="Y24" s="54" t="s">
        <v>49</v>
      </c>
      <c r="Z24" s="54" t="s">
        <v>50</v>
      </c>
      <c r="AA24" s="54" t="s">
        <v>162</v>
      </c>
      <c r="AB24" s="54">
        <v>1</v>
      </c>
      <c r="AC24" s="54">
        <v>1</v>
      </c>
      <c r="AD24" s="54">
        <v>1.5</v>
      </c>
      <c r="AE24" s="54" t="s">
        <v>204</v>
      </c>
      <c r="AF24" s="54">
        <v>0.3</v>
      </c>
      <c r="AG24" s="54" t="s">
        <v>34</v>
      </c>
      <c r="AH24" s="54" t="s">
        <v>40</v>
      </c>
      <c r="AI24" s="54" t="s">
        <v>34</v>
      </c>
      <c r="AJ24" s="54" t="s">
        <v>34</v>
      </c>
      <c r="AK24" s="54" t="s">
        <v>359</v>
      </c>
      <c r="AL24" s="54">
        <v>2024</v>
      </c>
      <c r="AM24" s="54" t="s">
        <v>360</v>
      </c>
    </row>
    <row r="25" spans="1:39" x14ac:dyDescent="0.3">
      <c r="A25" s="50">
        <v>2.94</v>
      </c>
      <c r="B25" s="50">
        <v>100</v>
      </c>
      <c r="C25" s="50">
        <v>31343.248924676656</v>
      </c>
      <c r="D25" s="50">
        <v>293.93360760331598</v>
      </c>
      <c r="E25" s="50">
        <v>224.10456302481899</v>
      </c>
      <c r="F25" s="50">
        <v>4.46800191983088</v>
      </c>
      <c r="G25" s="50" t="s">
        <v>350</v>
      </c>
      <c r="H25" s="50" t="s">
        <v>33</v>
      </c>
      <c r="I25" s="50" t="s">
        <v>35</v>
      </c>
      <c r="J25" s="50" t="s">
        <v>170</v>
      </c>
      <c r="K25" s="50">
        <v>0.14599999999999999</v>
      </c>
      <c r="L25" s="50">
        <v>0.17100000000000001</v>
      </c>
      <c r="M25" s="50">
        <v>0.17100000000000001</v>
      </c>
      <c r="N25" s="50">
        <v>0.20499999999999999</v>
      </c>
      <c r="O25" s="50">
        <v>1.403</v>
      </c>
      <c r="P25" s="50">
        <v>0.97699999999999998</v>
      </c>
      <c r="Q25" s="50">
        <v>0</v>
      </c>
      <c r="R25" s="50">
        <v>50</v>
      </c>
      <c r="S25" s="50">
        <v>1527</v>
      </c>
      <c r="T25" s="50">
        <v>0.91100000000000003</v>
      </c>
      <c r="U25" s="50">
        <v>0.57399999999999995</v>
      </c>
      <c r="V25" s="50">
        <v>27.91</v>
      </c>
      <c r="W25" s="50">
        <v>2.66</v>
      </c>
      <c r="X25" s="50" t="s">
        <v>34</v>
      </c>
      <c r="Y25" s="50" t="s">
        <v>49</v>
      </c>
      <c r="Z25" s="50" t="s">
        <v>50</v>
      </c>
      <c r="AA25" s="50" t="s">
        <v>162</v>
      </c>
      <c r="AB25" s="50">
        <v>1</v>
      </c>
      <c r="AC25" s="50">
        <v>1</v>
      </c>
      <c r="AD25" s="50">
        <v>1.5</v>
      </c>
      <c r="AE25" s="50" t="s">
        <v>204</v>
      </c>
      <c r="AF25" s="50">
        <v>0.3</v>
      </c>
      <c r="AG25" s="50" t="s">
        <v>34</v>
      </c>
      <c r="AH25" s="50" t="s">
        <v>40</v>
      </c>
      <c r="AI25" s="50" t="s">
        <v>34</v>
      </c>
      <c r="AJ25" s="50" t="s">
        <v>34</v>
      </c>
      <c r="AK25" s="50" t="s">
        <v>359</v>
      </c>
      <c r="AL25" s="50">
        <v>2024</v>
      </c>
      <c r="AM25" s="50" t="s">
        <v>360</v>
      </c>
    </row>
    <row r="26" spans="1:39" x14ac:dyDescent="0.3">
      <c r="A26" s="50">
        <v>3.06</v>
      </c>
      <c r="B26" s="50">
        <v>100</v>
      </c>
      <c r="C26" s="50">
        <v>13522.278776849154</v>
      </c>
      <c r="D26" s="50">
        <v>309.336594069738</v>
      </c>
      <c r="E26" s="50">
        <v>236.407020720746</v>
      </c>
      <c r="F26" s="50">
        <v>6.2066631246510697</v>
      </c>
      <c r="G26" s="50" t="s">
        <v>350</v>
      </c>
      <c r="H26" s="50" t="s">
        <v>33</v>
      </c>
      <c r="I26" s="50" t="s">
        <v>35</v>
      </c>
      <c r="J26" s="50" t="s">
        <v>170</v>
      </c>
      <c r="K26" s="50">
        <v>0.14599999999999999</v>
      </c>
      <c r="L26" s="50">
        <v>0.17100000000000001</v>
      </c>
      <c r="M26" s="50">
        <v>0.17100000000000001</v>
      </c>
      <c r="N26" s="50">
        <v>0.20499999999999999</v>
      </c>
      <c r="O26" s="50">
        <v>1.403</v>
      </c>
      <c r="P26" s="50">
        <v>0.97699999999999998</v>
      </c>
      <c r="Q26" s="50">
        <v>0</v>
      </c>
      <c r="R26" s="50">
        <v>50</v>
      </c>
      <c r="S26" s="50">
        <v>1527</v>
      </c>
      <c r="T26" s="50">
        <v>0.91100000000000003</v>
      </c>
      <c r="U26" s="50">
        <v>0.57399999999999995</v>
      </c>
      <c r="V26" s="50">
        <v>27.91</v>
      </c>
      <c r="W26" s="50">
        <v>2.66</v>
      </c>
      <c r="X26" s="50" t="s">
        <v>34</v>
      </c>
      <c r="Y26" s="50" t="s">
        <v>49</v>
      </c>
      <c r="Z26" s="50" t="s">
        <v>50</v>
      </c>
      <c r="AA26" s="50" t="s">
        <v>162</v>
      </c>
      <c r="AB26" s="50">
        <v>1</v>
      </c>
      <c r="AC26" s="50">
        <v>1</v>
      </c>
      <c r="AD26" s="50">
        <v>1.5</v>
      </c>
      <c r="AE26" s="50" t="s">
        <v>204</v>
      </c>
      <c r="AF26" s="50">
        <v>0.3</v>
      </c>
      <c r="AG26" s="50" t="s">
        <v>34</v>
      </c>
      <c r="AH26" s="50" t="s">
        <v>40</v>
      </c>
      <c r="AI26" s="50" t="s">
        <v>34</v>
      </c>
      <c r="AJ26" s="50" t="s">
        <v>34</v>
      </c>
      <c r="AK26" s="50" t="s">
        <v>359</v>
      </c>
      <c r="AL26" s="50">
        <v>2024</v>
      </c>
      <c r="AM26" s="50" t="s">
        <v>360</v>
      </c>
    </row>
    <row r="27" spans="1:39" s="53" customFormat="1" ht="15" thickBot="1" x14ac:dyDescent="0.35">
      <c r="A27" s="52">
        <v>3</v>
      </c>
      <c r="B27" s="52">
        <v>100</v>
      </c>
      <c r="C27" s="52">
        <v>26372.853521307428</v>
      </c>
      <c r="D27" s="52">
        <v>339.01120180872698</v>
      </c>
      <c r="E27" s="52">
        <v>251.152431659928</v>
      </c>
      <c r="F27" s="52">
        <v>5.6534614212472301</v>
      </c>
      <c r="G27" s="52" t="s">
        <v>350</v>
      </c>
      <c r="H27" s="52" t="s">
        <v>33</v>
      </c>
      <c r="I27" s="52" t="s">
        <v>35</v>
      </c>
      <c r="J27" s="52" t="s">
        <v>170</v>
      </c>
      <c r="K27" s="52">
        <v>0.14599999999999999</v>
      </c>
      <c r="L27" s="52">
        <v>0.17100000000000001</v>
      </c>
      <c r="M27" s="52">
        <v>0.17100000000000001</v>
      </c>
      <c r="N27" s="52">
        <v>0.20499999999999999</v>
      </c>
      <c r="O27" s="52">
        <v>1.403</v>
      </c>
      <c r="P27" s="52">
        <v>0.97699999999999998</v>
      </c>
      <c r="Q27" s="52">
        <v>0</v>
      </c>
      <c r="R27" s="52">
        <v>50</v>
      </c>
      <c r="S27" s="52">
        <v>1527</v>
      </c>
      <c r="T27" s="52">
        <v>0.91100000000000003</v>
      </c>
      <c r="U27" s="52">
        <v>0.57399999999999995</v>
      </c>
      <c r="V27" s="52">
        <v>27.91</v>
      </c>
      <c r="W27" s="52">
        <v>2.66</v>
      </c>
      <c r="X27" s="52" t="s">
        <v>34</v>
      </c>
      <c r="Y27" s="52" t="s">
        <v>49</v>
      </c>
      <c r="Z27" s="52" t="s">
        <v>50</v>
      </c>
      <c r="AA27" s="52" t="s">
        <v>162</v>
      </c>
      <c r="AB27" s="52">
        <v>1</v>
      </c>
      <c r="AC27" s="52">
        <v>1</v>
      </c>
      <c r="AD27" s="52">
        <v>1.5</v>
      </c>
      <c r="AE27" s="52" t="s">
        <v>204</v>
      </c>
      <c r="AF27" s="52">
        <v>0.3</v>
      </c>
      <c r="AG27" s="52" t="s">
        <v>34</v>
      </c>
      <c r="AH27" s="52" t="s">
        <v>40</v>
      </c>
      <c r="AI27" s="52" t="s">
        <v>34</v>
      </c>
      <c r="AJ27" s="52" t="s">
        <v>34</v>
      </c>
      <c r="AK27" s="52" t="s">
        <v>359</v>
      </c>
      <c r="AL27" s="52">
        <v>2024</v>
      </c>
      <c r="AM27" s="52" t="s">
        <v>360</v>
      </c>
    </row>
    <row r="28" spans="1:39" x14ac:dyDescent="0.3">
      <c r="A28" s="54">
        <v>0</v>
      </c>
      <c r="B28" s="54">
        <v>800</v>
      </c>
      <c r="C28" s="54">
        <v>77102.132439281762</v>
      </c>
      <c r="D28" s="54">
        <v>3551.76285829069</v>
      </c>
      <c r="E28" s="54">
        <v>3425.5900819092399</v>
      </c>
      <c r="F28" s="54">
        <v>10.1335006024677</v>
      </c>
      <c r="G28" s="54" t="s">
        <v>350</v>
      </c>
      <c r="H28" s="54" t="s">
        <v>33</v>
      </c>
      <c r="I28" s="54" t="s">
        <v>361</v>
      </c>
      <c r="J28" s="54" t="s">
        <v>261</v>
      </c>
      <c r="K28" s="56">
        <v>7.8700000000000006E-2</v>
      </c>
      <c r="L28" s="54">
        <v>0.36199999999999999</v>
      </c>
      <c r="M28" s="54">
        <v>0.2</v>
      </c>
      <c r="N28" s="54">
        <v>0.46700000000000003</v>
      </c>
      <c r="O28" s="56">
        <v>5.933926302414231</v>
      </c>
      <c r="P28" s="56">
        <v>1.0883494907884821</v>
      </c>
      <c r="Q28" s="54">
        <v>9</v>
      </c>
      <c r="R28" s="54" t="s">
        <v>34</v>
      </c>
      <c r="S28" s="54">
        <v>1700</v>
      </c>
      <c r="T28" s="54" t="s">
        <v>34</v>
      </c>
      <c r="U28" s="54" t="s">
        <v>34</v>
      </c>
      <c r="V28" s="54">
        <v>0</v>
      </c>
      <c r="W28" s="54">
        <v>2.8</v>
      </c>
      <c r="X28" s="54" t="s">
        <v>34</v>
      </c>
      <c r="Y28" s="54" t="s">
        <v>49</v>
      </c>
      <c r="Z28" s="54" t="s">
        <v>362</v>
      </c>
      <c r="AA28" s="54" t="s">
        <v>38</v>
      </c>
      <c r="AB28" s="54">
        <v>0</v>
      </c>
      <c r="AC28" s="54">
        <v>1</v>
      </c>
      <c r="AD28" s="54">
        <v>1</v>
      </c>
      <c r="AE28" s="54" t="s">
        <v>339</v>
      </c>
      <c r="AF28" s="54" t="s">
        <v>34</v>
      </c>
      <c r="AG28" s="54" t="s">
        <v>34</v>
      </c>
      <c r="AH28" s="54" t="s">
        <v>40</v>
      </c>
      <c r="AI28" s="54" t="s">
        <v>34</v>
      </c>
      <c r="AJ28" s="54" t="s">
        <v>34</v>
      </c>
      <c r="AK28" s="54" t="s">
        <v>363</v>
      </c>
      <c r="AL28" s="54">
        <v>2025</v>
      </c>
      <c r="AM28" s="54" t="s">
        <v>364</v>
      </c>
    </row>
    <row r="29" spans="1:39" x14ac:dyDescent="0.3">
      <c r="A29" s="50">
        <v>6.57</v>
      </c>
      <c r="B29" s="50">
        <v>800</v>
      </c>
      <c r="C29" s="50">
        <v>200882.79660700975</v>
      </c>
      <c r="D29" s="50">
        <v>3730.80113019486</v>
      </c>
      <c r="E29" s="50">
        <v>2667.4657272724198</v>
      </c>
      <c r="F29" s="50">
        <v>7.4746637523619803</v>
      </c>
      <c r="G29" s="50" t="s">
        <v>350</v>
      </c>
      <c r="H29" s="50" t="s">
        <v>33</v>
      </c>
      <c r="I29" s="50" t="s">
        <v>361</v>
      </c>
      <c r="J29" s="50" t="s">
        <v>261</v>
      </c>
      <c r="K29" s="49">
        <v>7.8700000000000006E-2</v>
      </c>
      <c r="L29" s="50">
        <v>0.36199999999999999</v>
      </c>
      <c r="M29" s="50">
        <v>0.2</v>
      </c>
      <c r="N29" s="50">
        <v>0.46700000000000003</v>
      </c>
      <c r="O29" s="49">
        <v>5.933926302414231</v>
      </c>
      <c r="P29" s="49">
        <v>1.0883494907884821</v>
      </c>
      <c r="Q29" s="50">
        <v>9</v>
      </c>
      <c r="R29" s="50" t="s">
        <v>34</v>
      </c>
      <c r="S29" s="50">
        <v>1701</v>
      </c>
      <c r="T29" s="50" t="s">
        <v>34</v>
      </c>
      <c r="U29" s="50" t="s">
        <v>34</v>
      </c>
      <c r="V29" s="50">
        <v>0</v>
      </c>
      <c r="W29" s="50">
        <v>2.8</v>
      </c>
      <c r="X29" s="50" t="s">
        <v>34</v>
      </c>
      <c r="Y29" s="50" t="s">
        <v>49</v>
      </c>
      <c r="Z29" s="50" t="s">
        <v>362</v>
      </c>
      <c r="AA29" s="50" t="s">
        <v>38</v>
      </c>
      <c r="AB29" s="50">
        <v>8</v>
      </c>
      <c r="AC29" s="50">
        <v>1</v>
      </c>
      <c r="AD29" s="50">
        <v>1</v>
      </c>
      <c r="AE29" s="50" t="s">
        <v>339</v>
      </c>
      <c r="AF29" s="50" t="s">
        <v>34</v>
      </c>
      <c r="AG29" s="50" t="s">
        <v>34</v>
      </c>
      <c r="AH29" s="50" t="s">
        <v>40</v>
      </c>
      <c r="AI29" s="50" t="s">
        <v>34</v>
      </c>
      <c r="AJ29" s="50" t="s">
        <v>34</v>
      </c>
      <c r="AK29" s="50" t="s">
        <v>363</v>
      </c>
      <c r="AL29" s="50">
        <v>2025</v>
      </c>
      <c r="AM29" s="50" t="s">
        <v>364</v>
      </c>
    </row>
    <row r="30" spans="1:39" x14ac:dyDescent="0.3">
      <c r="A30" s="50">
        <v>9.1</v>
      </c>
      <c r="B30" s="50">
        <v>800</v>
      </c>
      <c r="C30" s="50">
        <v>361088.95650785527</v>
      </c>
      <c r="D30" s="50">
        <v>4930.3685387845699</v>
      </c>
      <c r="E30" s="50">
        <v>2573.4576857566899</v>
      </c>
      <c r="F30" s="50">
        <v>1.7531301832941799</v>
      </c>
      <c r="G30" s="50" t="s">
        <v>350</v>
      </c>
      <c r="H30" s="50" t="s">
        <v>33</v>
      </c>
      <c r="I30" s="50" t="s">
        <v>361</v>
      </c>
      <c r="J30" s="50" t="s">
        <v>261</v>
      </c>
      <c r="K30" s="49">
        <v>7.8700000000000006E-2</v>
      </c>
      <c r="L30" s="50">
        <v>0.36199999999999999</v>
      </c>
      <c r="M30" s="50">
        <v>0.2</v>
      </c>
      <c r="N30" s="50">
        <v>0.46700000000000003</v>
      </c>
      <c r="O30" s="49">
        <v>5.933926302414231</v>
      </c>
      <c r="P30" s="49">
        <v>1.0883494907884821</v>
      </c>
      <c r="Q30" s="50">
        <v>9</v>
      </c>
      <c r="R30" s="50" t="s">
        <v>34</v>
      </c>
      <c r="S30" s="50">
        <v>1702</v>
      </c>
      <c r="T30" s="50" t="s">
        <v>34</v>
      </c>
      <c r="U30" s="50" t="s">
        <v>34</v>
      </c>
      <c r="V30" s="50">
        <v>0</v>
      </c>
      <c r="W30" s="50">
        <v>2.8</v>
      </c>
      <c r="X30" s="50" t="s">
        <v>34</v>
      </c>
      <c r="Y30" s="50" t="s">
        <v>49</v>
      </c>
      <c r="Z30" s="50" t="s">
        <v>362</v>
      </c>
      <c r="AA30" s="50" t="s">
        <v>38</v>
      </c>
      <c r="AB30" s="50">
        <v>12</v>
      </c>
      <c r="AC30" s="50">
        <v>1</v>
      </c>
      <c r="AD30" s="50">
        <v>1</v>
      </c>
      <c r="AE30" s="50" t="s">
        <v>339</v>
      </c>
      <c r="AF30" s="50" t="s">
        <v>34</v>
      </c>
      <c r="AG30" s="50" t="s">
        <v>34</v>
      </c>
      <c r="AH30" s="50" t="s">
        <v>40</v>
      </c>
      <c r="AI30" s="50" t="s">
        <v>34</v>
      </c>
      <c r="AJ30" s="50" t="s">
        <v>34</v>
      </c>
      <c r="AK30" s="50" t="s">
        <v>363</v>
      </c>
      <c r="AL30" s="50">
        <v>2025</v>
      </c>
      <c r="AM30" s="50" t="s">
        <v>364</v>
      </c>
    </row>
    <row r="31" spans="1:39" x14ac:dyDescent="0.3">
      <c r="A31" s="50">
        <v>11.28</v>
      </c>
      <c r="B31" s="50">
        <v>800</v>
      </c>
      <c r="C31" s="50">
        <v>429990.89673231076</v>
      </c>
      <c r="D31" s="50">
        <v>7610.6218516614699</v>
      </c>
      <c r="E31" s="50">
        <v>3216.7523830709802</v>
      </c>
      <c r="F31" s="50">
        <v>1.79763264818193</v>
      </c>
      <c r="G31" s="50" t="s">
        <v>350</v>
      </c>
      <c r="H31" s="50" t="s">
        <v>33</v>
      </c>
      <c r="I31" s="50" t="s">
        <v>361</v>
      </c>
      <c r="J31" s="50" t="s">
        <v>261</v>
      </c>
      <c r="K31" s="49">
        <v>7.8700000000000006E-2</v>
      </c>
      <c r="L31" s="50">
        <v>0.36199999999999999</v>
      </c>
      <c r="M31" s="50">
        <v>0.2</v>
      </c>
      <c r="N31" s="50">
        <v>0.46700000000000003</v>
      </c>
      <c r="O31" s="49">
        <v>5.933926302414231</v>
      </c>
      <c r="P31" s="49">
        <v>1.0883494907884821</v>
      </c>
      <c r="Q31" s="50">
        <v>9</v>
      </c>
      <c r="R31" s="50" t="s">
        <v>34</v>
      </c>
      <c r="S31" s="50">
        <v>1703</v>
      </c>
      <c r="T31" s="50" t="s">
        <v>34</v>
      </c>
      <c r="U31" s="50" t="s">
        <v>34</v>
      </c>
      <c r="V31" s="50">
        <v>0</v>
      </c>
      <c r="W31" s="50">
        <v>2.8</v>
      </c>
      <c r="X31" s="50" t="s">
        <v>34</v>
      </c>
      <c r="Y31" s="50" t="s">
        <v>49</v>
      </c>
      <c r="Z31" s="50" t="s">
        <v>362</v>
      </c>
      <c r="AA31" s="50" t="s">
        <v>38</v>
      </c>
      <c r="AB31" s="50">
        <v>16</v>
      </c>
      <c r="AC31" s="50">
        <v>1</v>
      </c>
      <c r="AD31" s="50">
        <v>1</v>
      </c>
      <c r="AE31" s="50" t="s">
        <v>339</v>
      </c>
      <c r="AF31" s="50" t="s">
        <v>34</v>
      </c>
      <c r="AG31" s="50" t="s">
        <v>34</v>
      </c>
      <c r="AH31" s="50" t="s">
        <v>40</v>
      </c>
      <c r="AI31" s="50" t="s">
        <v>34</v>
      </c>
      <c r="AJ31" s="50" t="s">
        <v>34</v>
      </c>
      <c r="AK31" s="50" t="s">
        <v>363</v>
      </c>
      <c r="AL31" s="50">
        <v>2025</v>
      </c>
      <c r="AM31" s="50" t="s">
        <v>364</v>
      </c>
    </row>
    <row r="32" spans="1:39" x14ac:dyDescent="0.3">
      <c r="A32" s="50">
        <v>9.1</v>
      </c>
      <c r="B32" s="50">
        <v>400</v>
      </c>
      <c r="C32" s="50">
        <v>291910.92640650854</v>
      </c>
      <c r="D32" s="50">
        <v>3793.6417733077501</v>
      </c>
      <c r="E32" s="50">
        <v>1384.42096984251</v>
      </c>
      <c r="F32" s="50">
        <v>1.2329594653790099</v>
      </c>
      <c r="G32" s="50" t="s">
        <v>350</v>
      </c>
      <c r="H32" s="50" t="s">
        <v>33</v>
      </c>
      <c r="I32" s="50" t="s">
        <v>361</v>
      </c>
      <c r="J32" s="50" t="s">
        <v>261</v>
      </c>
      <c r="K32" s="49">
        <v>7.8700000000000006E-2</v>
      </c>
      <c r="L32" s="50">
        <v>0.36199999999999999</v>
      </c>
      <c r="M32" s="50">
        <v>0.2</v>
      </c>
      <c r="N32" s="50">
        <v>0.46700000000000003</v>
      </c>
      <c r="O32" s="49">
        <v>5.933926302414231</v>
      </c>
      <c r="P32" s="49">
        <v>1.0883494907884821</v>
      </c>
      <c r="Q32" s="50">
        <v>9</v>
      </c>
      <c r="R32" s="50" t="s">
        <v>34</v>
      </c>
      <c r="S32" s="50">
        <v>1704</v>
      </c>
      <c r="T32" s="50" t="s">
        <v>34</v>
      </c>
      <c r="U32" s="50" t="s">
        <v>34</v>
      </c>
      <c r="V32" s="50">
        <v>0</v>
      </c>
      <c r="W32" s="50">
        <v>2.8</v>
      </c>
      <c r="X32" s="50" t="s">
        <v>34</v>
      </c>
      <c r="Y32" s="50" t="s">
        <v>49</v>
      </c>
      <c r="Z32" s="50" t="s">
        <v>362</v>
      </c>
      <c r="AA32" s="50" t="s">
        <v>38</v>
      </c>
      <c r="AB32" s="50">
        <v>12</v>
      </c>
      <c r="AC32" s="50">
        <v>1</v>
      </c>
      <c r="AD32" s="50">
        <v>1</v>
      </c>
      <c r="AE32" s="50" t="s">
        <v>339</v>
      </c>
      <c r="AF32" s="50" t="s">
        <v>34</v>
      </c>
      <c r="AG32" s="50" t="s">
        <v>34</v>
      </c>
      <c r="AH32" s="50" t="s">
        <v>40</v>
      </c>
      <c r="AI32" s="50" t="s">
        <v>34</v>
      </c>
      <c r="AJ32" s="50" t="s">
        <v>34</v>
      </c>
      <c r="AK32" s="50" t="s">
        <v>363</v>
      </c>
      <c r="AL32" s="50">
        <v>2025</v>
      </c>
      <c r="AM32" s="50" t="s">
        <v>364</v>
      </c>
    </row>
    <row r="33" spans="1:39" x14ac:dyDescent="0.3">
      <c r="A33" s="50">
        <v>9.1</v>
      </c>
      <c r="B33" s="50">
        <v>800</v>
      </c>
      <c r="C33" s="50">
        <v>361088.95650785527</v>
      </c>
      <c r="D33" s="50">
        <v>4930.3685387845699</v>
      </c>
      <c r="E33" s="50">
        <v>2573.4576857566899</v>
      </c>
      <c r="F33" s="50">
        <v>1.7531301832941799</v>
      </c>
      <c r="G33" s="50" t="s">
        <v>350</v>
      </c>
      <c r="H33" s="50" t="s">
        <v>33</v>
      </c>
      <c r="I33" s="50" t="s">
        <v>361</v>
      </c>
      <c r="J33" s="50" t="s">
        <v>261</v>
      </c>
      <c r="K33" s="49">
        <v>7.8700000000000006E-2</v>
      </c>
      <c r="L33" s="50">
        <v>0.36199999999999999</v>
      </c>
      <c r="M33" s="50">
        <v>0.2</v>
      </c>
      <c r="N33" s="50">
        <v>0.46700000000000003</v>
      </c>
      <c r="O33" s="49">
        <v>5.933926302414231</v>
      </c>
      <c r="P33" s="49">
        <v>1.0883494907884821</v>
      </c>
      <c r="Q33" s="50">
        <v>9</v>
      </c>
      <c r="R33" s="50" t="s">
        <v>34</v>
      </c>
      <c r="S33" s="50">
        <v>1705</v>
      </c>
      <c r="T33" s="50" t="s">
        <v>34</v>
      </c>
      <c r="U33" s="50" t="s">
        <v>34</v>
      </c>
      <c r="V33" s="50">
        <v>0</v>
      </c>
      <c r="W33" s="50">
        <v>2.8</v>
      </c>
      <c r="X33" s="50" t="s">
        <v>34</v>
      </c>
      <c r="Y33" s="50" t="s">
        <v>49</v>
      </c>
      <c r="Z33" s="50" t="s">
        <v>362</v>
      </c>
      <c r="AA33" s="50" t="s">
        <v>38</v>
      </c>
      <c r="AB33" s="50">
        <v>12</v>
      </c>
      <c r="AC33" s="50">
        <v>1</v>
      </c>
      <c r="AD33" s="50">
        <v>1</v>
      </c>
      <c r="AE33" s="50" t="s">
        <v>339</v>
      </c>
      <c r="AF33" s="50" t="s">
        <v>34</v>
      </c>
      <c r="AG33" s="50" t="s">
        <v>34</v>
      </c>
      <c r="AH33" s="50" t="s">
        <v>40</v>
      </c>
      <c r="AI33" s="50" t="s">
        <v>34</v>
      </c>
      <c r="AJ33" s="50" t="s">
        <v>34</v>
      </c>
      <c r="AK33" s="50" t="s">
        <v>363</v>
      </c>
      <c r="AL33" s="50">
        <v>2025</v>
      </c>
      <c r="AM33" s="50" t="s">
        <v>364</v>
      </c>
    </row>
    <row r="34" spans="1:39" x14ac:dyDescent="0.3">
      <c r="A34" s="50">
        <v>9.1</v>
      </c>
      <c r="B34" s="50">
        <v>1200</v>
      </c>
      <c r="C34" s="50">
        <v>325397.74102160998</v>
      </c>
      <c r="D34" s="50">
        <v>5793.8323720881799</v>
      </c>
      <c r="E34" s="50">
        <v>3867.2964527036302</v>
      </c>
      <c r="F34" s="50">
        <v>4.1920377331581102</v>
      </c>
      <c r="G34" s="50" t="s">
        <v>350</v>
      </c>
      <c r="H34" s="50" t="s">
        <v>33</v>
      </c>
      <c r="I34" s="50" t="s">
        <v>361</v>
      </c>
      <c r="J34" s="50" t="s">
        <v>261</v>
      </c>
      <c r="K34" s="49">
        <v>7.8700000000000006E-2</v>
      </c>
      <c r="L34" s="50">
        <v>0.36199999999999999</v>
      </c>
      <c r="M34" s="50">
        <v>0.2</v>
      </c>
      <c r="N34" s="50">
        <v>0.46700000000000003</v>
      </c>
      <c r="O34" s="49">
        <v>5.933926302414231</v>
      </c>
      <c r="P34" s="49">
        <v>1.0883494907884821</v>
      </c>
      <c r="Q34" s="50">
        <v>9</v>
      </c>
      <c r="R34" s="50" t="s">
        <v>34</v>
      </c>
      <c r="S34" s="50">
        <v>1706</v>
      </c>
      <c r="T34" s="50" t="s">
        <v>34</v>
      </c>
      <c r="U34" s="50" t="s">
        <v>34</v>
      </c>
      <c r="V34" s="50">
        <v>0</v>
      </c>
      <c r="W34" s="50">
        <v>2.8</v>
      </c>
      <c r="X34" s="50" t="s">
        <v>34</v>
      </c>
      <c r="Y34" s="50" t="s">
        <v>49</v>
      </c>
      <c r="Z34" s="50" t="s">
        <v>362</v>
      </c>
      <c r="AA34" s="50" t="s">
        <v>38</v>
      </c>
      <c r="AB34" s="50">
        <v>12</v>
      </c>
      <c r="AC34" s="50">
        <v>1</v>
      </c>
      <c r="AD34" s="50">
        <v>1</v>
      </c>
      <c r="AE34" s="50" t="s">
        <v>339</v>
      </c>
      <c r="AF34" s="50" t="s">
        <v>34</v>
      </c>
      <c r="AG34" s="50" t="s">
        <v>34</v>
      </c>
      <c r="AH34" s="50" t="s">
        <v>40</v>
      </c>
      <c r="AI34" s="50" t="s">
        <v>34</v>
      </c>
      <c r="AJ34" s="50" t="s">
        <v>34</v>
      </c>
      <c r="AK34" s="50" t="s">
        <v>363</v>
      </c>
      <c r="AL34" s="50">
        <v>2025</v>
      </c>
      <c r="AM34" s="50" t="s">
        <v>364</v>
      </c>
    </row>
    <row r="35" spans="1:39" s="53" customFormat="1" ht="15" thickBot="1" x14ac:dyDescent="0.35">
      <c r="A35" s="52">
        <v>9.1</v>
      </c>
      <c r="B35" s="52">
        <v>1800</v>
      </c>
      <c r="C35" s="52">
        <v>410761.26571143966</v>
      </c>
      <c r="D35" s="52">
        <v>6905.78043522598</v>
      </c>
      <c r="E35" s="52">
        <v>5218.8049898318804</v>
      </c>
      <c r="F35" s="52">
        <v>6.9063802043539804</v>
      </c>
      <c r="G35" s="52" t="s">
        <v>350</v>
      </c>
      <c r="H35" s="52" t="s">
        <v>33</v>
      </c>
      <c r="I35" s="52" t="s">
        <v>361</v>
      </c>
      <c r="J35" s="52" t="s">
        <v>261</v>
      </c>
      <c r="K35" s="51">
        <v>7.8700000000000006E-2</v>
      </c>
      <c r="L35" s="52">
        <v>0.36199999999999999</v>
      </c>
      <c r="M35" s="52">
        <v>0.2</v>
      </c>
      <c r="N35" s="52">
        <v>0.46700000000000003</v>
      </c>
      <c r="O35" s="51">
        <v>5.933926302414231</v>
      </c>
      <c r="P35" s="51">
        <v>1.0883494907884821</v>
      </c>
      <c r="Q35" s="52">
        <v>9</v>
      </c>
      <c r="R35" s="52" t="s">
        <v>34</v>
      </c>
      <c r="S35" s="52">
        <v>1707</v>
      </c>
      <c r="T35" s="52" t="s">
        <v>34</v>
      </c>
      <c r="U35" s="52" t="s">
        <v>34</v>
      </c>
      <c r="V35" s="52">
        <v>0</v>
      </c>
      <c r="W35" s="52">
        <v>2.8</v>
      </c>
      <c r="X35" s="52" t="s">
        <v>34</v>
      </c>
      <c r="Y35" s="52" t="s">
        <v>49</v>
      </c>
      <c r="Z35" s="52" t="s">
        <v>362</v>
      </c>
      <c r="AA35" s="52" t="s">
        <v>38</v>
      </c>
      <c r="AB35" s="52">
        <v>12</v>
      </c>
      <c r="AC35" s="52">
        <v>1</v>
      </c>
      <c r="AD35" s="52">
        <v>1</v>
      </c>
      <c r="AE35" s="52" t="s">
        <v>339</v>
      </c>
      <c r="AF35" s="52" t="s">
        <v>34</v>
      </c>
      <c r="AG35" s="52" t="s">
        <v>34</v>
      </c>
      <c r="AH35" s="52" t="s">
        <v>40</v>
      </c>
      <c r="AI35" s="52" t="s">
        <v>34</v>
      </c>
      <c r="AJ35" s="52" t="s">
        <v>34</v>
      </c>
      <c r="AK35" s="52" t="s">
        <v>363</v>
      </c>
      <c r="AL35" s="52">
        <v>2025</v>
      </c>
      <c r="AM35" s="52" t="s">
        <v>364</v>
      </c>
    </row>
    <row r="36" spans="1:39" x14ac:dyDescent="0.3">
      <c r="A36" s="54">
        <v>0</v>
      </c>
      <c r="B36" s="54">
        <v>100</v>
      </c>
      <c r="C36" s="54">
        <v>28761.174288510159</v>
      </c>
      <c r="D36" s="54">
        <v>212.98389800891599</v>
      </c>
      <c r="E36" s="54">
        <v>210.82140068510401</v>
      </c>
      <c r="F36" s="54">
        <v>7.2989796431896501</v>
      </c>
      <c r="G36" s="54" t="s">
        <v>350</v>
      </c>
      <c r="H36" s="54" t="s">
        <v>33</v>
      </c>
      <c r="I36" s="54" t="s">
        <v>365</v>
      </c>
      <c r="J36" s="54" t="s">
        <v>170</v>
      </c>
      <c r="K36" s="54" t="s">
        <v>34</v>
      </c>
      <c r="L36" s="54">
        <v>0.72</v>
      </c>
      <c r="M36" s="54" t="s">
        <v>34</v>
      </c>
      <c r="N36" s="54" t="s">
        <v>34</v>
      </c>
      <c r="O36" s="54">
        <v>1.17</v>
      </c>
      <c r="P36" s="54">
        <v>1.02</v>
      </c>
      <c r="Q36" s="54">
        <v>0</v>
      </c>
      <c r="R36" s="54">
        <v>41</v>
      </c>
      <c r="S36" s="54" t="s">
        <v>34</v>
      </c>
      <c r="T36" s="54">
        <v>0.74</v>
      </c>
      <c r="U36" s="54">
        <v>0.5</v>
      </c>
      <c r="V36" s="56">
        <v>24.211320754716979</v>
      </c>
      <c r="W36" s="54">
        <v>2.65</v>
      </c>
      <c r="X36" s="54" t="s">
        <v>34</v>
      </c>
      <c r="Y36" s="54" t="s">
        <v>34</v>
      </c>
      <c r="Z36" s="54" t="s">
        <v>34</v>
      </c>
      <c r="AA36" s="54" t="s">
        <v>162</v>
      </c>
      <c r="AB36" s="54">
        <v>0</v>
      </c>
      <c r="AC36" s="54" t="s">
        <v>34</v>
      </c>
      <c r="AD36" s="54" t="s">
        <v>34</v>
      </c>
      <c r="AE36" s="54" t="s">
        <v>34</v>
      </c>
      <c r="AF36" s="54" t="s">
        <v>34</v>
      </c>
      <c r="AG36" s="54" t="s">
        <v>34</v>
      </c>
      <c r="AH36" s="54" t="s">
        <v>34</v>
      </c>
      <c r="AI36" s="54" t="s">
        <v>34</v>
      </c>
      <c r="AJ36" s="54" t="s">
        <v>34</v>
      </c>
      <c r="AK36" s="54" t="s">
        <v>366</v>
      </c>
      <c r="AL36" s="54">
        <v>2019</v>
      </c>
      <c r="AM36" s="54" t="s">
        <v>367</v>
      </c>
    </row>
    <row r="37" spans="1:39" x14ac:dyDescent="0.3">
      <c r="A37" s="50">
        <v>0.42</v>
      </c>
      <c r="B37" s="50">
        <v>100</v>
      </c>
      <c r="C37" s="50">
        <v>101618.03926757246</v>
      </c>
      <c r="D37" s="50">
        <v>277.88207038268399</v>
      </c>
      <c r="E37" s="50">
        <v>261.88424071835101</v>
      </c>
      <c r="F37" s="50">
        <v>0.53073337359402095</v>
      </c>
      <c r="G37" s="50" t="s">
        <v>350</v>
      </c>
      <c r="H37" s="50" t="s">
        <v>33</v>
      </c>
      <c r="I37" s="50" t="s">
        <v>365</v>
      </c>
      <c r="J37" s="50" t="s">
        <v>170</v>
      </c>
      <c r="K37" s="50" t="s">
        <v>34</v>
      </c>
      <c r="L37" s="50">
        <v>0.72</v>
      </c>
      <c r="M37" s="50" t="s">
        <v>34</v>
      </c>
      <c r="N37" s="50" t="s">
        <v>34</v>
      </c>
      <c r="O37" s="50">
        <v>1.17</v>
      </c>
      <c r="P37" s="50">
        <v>1.02</v>
      </c>
      <c r="Q37" s="50">
        <v>0</v>
      </c>
      <c r="R37" s="50">
        <v>38</v>
      </c>
      <c r="S37" s="50" t="s">
        <v>34</v>
      </c>
      <c r="T37" s="50">
        <v>0.74</v>
      </c>
      <c r="U37" s="50">
        <v>0.5</v>
      </c>
      <c r="V37" s="49">
        <v>24.483018867924532</v>
      </c>
      <c r="W37" s="50">
        <v>2.65</v>
      </c>
      <c r="X37" s="50" t="s">
        <v>34</v>
      </c>
      <c r="Y37" s="50" t="s">
        <v>49</v>
      </c>
      <c r="Z37" s="50" t="s">
        <v>50</v>
      </c>
      <c r="AA37" s="50" t="s">
        <v>162</v>
      </c>
      <c r="AB37" s="50">
        <v>3</v>
      </c>
      <c r="AC37" s="50">
        <v>0.33300000000000002</v>
      </c>
      <c r="AD37" s="50">
        <v>3.33</v>
      </c>
      <c r="AE37" s="50" t="s">
        <v>204</v>
      </c>
      <c r="AF37" s="50">
        <v>9.9000000000000008E-3</v>
      </c>
      <c r="AG37" s="50" t="s">
        <v>34</v>
      </c>
      <c r="AH37" s="50" t="s">
        <v>368</v>
      </c>
      <c r="AI37" s="50" t="s">
        <v>34</v>
      </c>
      <c r="AJ37" s="50" t="s">
        <v>34</v>
      </c>
      <c r="AK37" s="50" t="s">
        <v>366</v>
      </c>
      <c r="AL37" s="50">
        <v>2019</v>
      </c>
      <c r="AM37" s="50" t="s">
        <v>367</v>
      </c>
    </row>
    <row r="38" spans="1:39" x14ac:dyDescent="0.3">
      <c r="A38" s="50">
        <v>1.02</v>
      </c>
      <c r="B38" s="50">
        <v>100</v>
      </c>
      <c r="C38" s="50">
        <v>93206.979672879665</v>
      </c>
      <c r="D38" s="50">
        <v>263.35912368574401</v>
      </c>
      <c r="E38" s="50">
        <v>263.35912368574401</v>
      </c>
      <c r="F38" s="50">
        <v>10.2538153292569</v>
      </c>
      <c r="G38" s="50" t="s">
        <v>350</v>
      </c>
      <c r="H38" s="50" t="s">
        <v>33</v>
      </c>
      <c r="I38" s="50" t="s">
        <v>365</v>
      </c>
      <c r="J38" s="50" t="s">
        <v>170</v>
      </c>
      <c r="K38" s="50" t="s">
        <v>34</v>
      </c>
      <c r="L38" s="50">
        <v>0.72</v>
      </c>
      <c r="M38" s="50" t="s">
        <v>34</v>
      </c>
      <c r="N38" s="50" t="s">
        <v>34</v>
      </c>
      <c r="O38" s="50">
        <v>1.17</v>
      </c>
      <c r="P38" s="50">
        <v>1.02</v>
      </c>
      <c r="Q38" s="50">
        <v>0</v>
      </c>
      <c r="R38" s="50">
        <v>36</v>
      </c>
      <c r="S38" s="50" t="s">
        <v>34</v>
      </c>
      <c r="T38" s="50">
        <v>0.74</v>
      </c>
      <c r="U38" s="50">
        <v>0.5</v>
      </c>
      <c r="V38" s="49">
        <v>24.664150943396226</v>
      </c>
      <c r="W38" s="50">
        <v>2.65</v>
      </c>
      <c r="X38" s="50" t="s">
        <v>34</v>
      </c>
      <c r="Y38" s="50" t="s">
        <v>49</v>
      </c>
      <c r="Z38" s="50" t="s">
        <v>50</v>
      </c>
      <c r="AA38" s="50" t="s">
        <v>162</v>
      </c>
      <c r="AB38" s="50">
        <v>4</v>
      </c>
      <c r="AC38" s="50">
        <v>0.33300000000000002</v>
      </c>
      <c r="AD38" s="50">
        <v>3.33</v>
      </c>
      <c r="AE38" s="50" t="s">
        <v>204</v>
      </c>
      <c r="AF38" s="50">
        <v>9.9000000000000008E-3</v>
      </c>
      <c r="AG38" s="50" t="s">
        <v>34</v>
      </c>
      <c r="AH38" s="50" t="s">
        <v>368</v>
      </c>
      <c r="AI38" s="50" t="s">
        <v>34</v>
      </c>
      <c r="AJ38" s="50" t="s">
        <v>34</v>
      </c>
      <c r="AK38" s="50" t="s">
        <v>366</v>
      </c>
      <c r="AL38" s="50">
        <v>2019</v>
      </c>
      <c r="AM38" s="50" t="s">
        <v>367</v>
      </c>
    </row>
    <row r="39" spans="1:39" x14ac:dyDescent="0.3">
      <c r="A39" s="50">
        <v>1.9900000000000002</v>
      </c>
      <c r="B39" s="50">
        <v>100</v>
      </c>
      <c r="C39" s="50">
        <v>108087.62970648499</v>
      </c>
      <c r="D39" s="50">
        <v>375.45022920759601</v>
      </c>
      <c r="E39" s="50">
        <v>274.30116083572602</v>
      </c>
      <c r="F39" s="50">
        <v>0.51958305025036999</v>
      </c>
      <c r="G39" s="50" t="s">
        <v>350</v>
      </c>
      <c r="H39" s="50" t="s">
        <v>33</v>
      </c>
      <c r="I39" s="50" t="s">
        <v>365</v>
      </c>
      <c r="J39" s="50" t="s">
        <v>170</v>
      </c>
      <c r="K39" s="50" t="s">
        <v>34</v>
      </c>
      <c r="L39" s="50">
        <v>0.72</v>
      </c>
      <c r="M39" s="50" t="s">
        <v>34</v>
      </c>
      <c r="N39" s="50" t="s">
        <v>34</v>
      </c>
      <c r="O39" s="50">
        <v>1.17</v>
      </c>
      <c r="P39" s="50">
        <v>1.02</v>
      </c>
      <c r="Q39" s="50">
        <v>0</v>
      </c>
      <c r="R39" s="50">
        <v>37</v>
      </c>
      <c r="S39" s="50" t="s">
        <v>34</v>
      </c>
      <c r="T39" s="50">
        <v>0.74</v>
      </c>
      <c r="U39" s="50">
        <v>0.5</v>
      </c>
      <c r="V39" s="49">
        <v>24.573584905660379</v>
      </c>
      <c r="W39" s="50">
        <v>2.65</v>
      </c>
      <c r="X39" s="50" t="s">
        <v>34</v>
      </c>
      <c r="Y39" s="50" t="s">
        <v>36</v>
      </c>
      <c r="Z39" s="50" t="s">
        <v>37</v>
      </c>
      <c r="AA39" s="50" t="s">
        <v>162</v>
      </c>
      <c r="AB39" s="50">
        <v>10</v>
      </c>
      <c r="AC39" s="50">
        <v>0.33300000000000002</v>
      </c>
      <c r="AD39" s="50">
        <v>3.33</v>
      </c>
      <c r="AE39" s="50" t="s">
        <v>33</v>
      </c>
      <c r="AF39" s="50" t="s">
        <v>34</v>
      </c>
      <c r="AG39" s="50" t="s">
        <v>34</v>
      </c>
      <c r="AH39" s="50" t="s">
        <v>269</v>
      </c>
      <c r="AI39" s="50" t="s">
        <v>34</v>
      </c>
      <c r="AJ39" s="50" t="s">
        <v>34</v>
      </c>
      <c r="AK39" s="50" t="s">
        <v>366</v>
      </c>
      <c r="AL39" s="50">
        <v>2019</v>
      </c>
      <c r="AM39" s="50" t="s">
        <v>367</v>
      </c>
    </row>
    <row r="40" spans="1:39" x14ac:dyDescent="0.3">
      <c r="A40" s="50">
        <v>0</v>
      </c>
      <c r="B40" s="50">
        <v>100</v>
      </c>
      <c r="C40" s="50">
        <v>25914.33564918605</v>
      </c>
      <c r="D40" s="50">
        <v>245.50457758674901</v>
      </c>
      <c r="E40" s="50">
        <v>245.50457758674901</v>
      </c>
      <c r="F40" s="50">
        <v>9.5475249767219399</v>
      </c>
      <c r="G40" s="50" t="s">
        <v>350</v>
      </c>
      <c r="H40" s="50" t="s">
        <v>33</v>
      </c>
      <c r="I40" s="50" t="s">
        <v>369</v>
      </c>
      <c r="J40" s="50" t="s">
        <v>170</v>
      </c>
      <c r="K40" s="50" t="s">
        <v>34</v>
      </c>
      <c r="L40" s="50">
        <v>0.22</v>
      </c>
      <c r="M40" s="50" t="s">
        <v>34</v>
      </c>
      <c r="N40" s="50" t="s">
        <v>34</v>
      </c>
      <c r="O40" s="50">
        <v>1.4</v>
      </c>
      <c r="P40" s="50">
        <v>0.9</v>
      </c>
      <c r="Q40" s="50">
        <v>0</v>
      </c>
      <c r="R40" s="50">
        <v>44</v>
      </c>
      <c r="S40" s="50" t="s">
        <v>34</v>
      </c>
      <c r="T40" s="50">
        <v>0.87</v>
      </c>
      <c r="U40" s="50">
        <v>0.55000000000000004</v>
      </c>
      <c r="V40" s="49">
        <v>28.845283018867924</v>
      </c>
      <c r="W40" s="50">
        <v>2.65</v>
      </c>
      <c r="X40" s="50" t="s">
        <v>34</v>
      </c>
      <c r="Y40" s="50" t="s">
        <v>34</v>
      </c>
      <c r="Z40" s="50" t="s">
        <v>34</v>
      </c>
      <c r="AA40" s="50" t="s">
        <v>162</v>
      </c>
      <c r="AB40" s="50">
        <v>0</v>
      </c>
      <c r="AC40" s="50">
        <v>0.33300000000000002</v>
      </c>
      <c r="AD40" s="50">
        <v>3.33</v>
      </c>
      <c r="AE40" s="50" t="s">
        <v>34</v>
      </c>
      <c r="AF40" s="50" t="s">
        <v>34</v>
      </c>
      <c r="AG40" s="50" t="s">
        <v>34</v>
      </c>
      <c r="AH40" s="50" t="s">
        <v>34</v>
      </c>
      <c r="AI40" s="50" t="s">
        <v>34</v>
      </c>
      <c r="AJ40" s="50" t="s">
        <v>34</v>
      </c>
      <c r="AK40" s="50" t="s">
        <v>366</v>
      </c>
      <c r="AL40" s="50">
        <v>2019</v>
      </c>
      <c r="AM40" s="50" t="s">
        <v>367</v>
      </c>
    </row>
    <row r="41" spans="1:39" x14ac:dyDescent="0.3">
      <c r="A41" s="50">
        <v>1.04</v>
      </c>
      <c r="B41" s="50">
        <v>100</v>
      </c>
      <c r="C41" s="50">
        <v>85521.418179655273</v>
      </c>
      <c r="D41" s="50">
        <v>297.683117782777</v>
      </c>
      <c r="E41" s="50">
        <v>228.323142629774</v>
      </c>
      <c r="F41" s="50">
        <v>1.0835776480358299</v>
      </c>
      <c r="G41" s="50" t="s">
        <v>350</v>
      </c>
      <c r="H41" s="50" t="s">
        <v>33</v>
      </c>
      <c r="I41" s="50" t="s">
        <v>369</v>
      </c>
      <c r="J41" s="50" t="s">
        <v>170</v>
      </c>
      <c r="K41" s="50" t="s">
        <v>34</v>
      </c>
      <c r="L41" s="50">
        <v>0.22</v>
      </c>
      <c r="M41" s="50" t="s">
        <v>34</v>
      </c>
      <c r="N41" s="50" t="s">
        <v>34</v>
      </c>
      <c r="O41" s="50">
        <v>1.4</v>
      </c>
      <c r="P41" s="50">
        <v>0.9</v>
      </c>
      <c r="Q41" s="50">
        <v>0</v>
      </c>
      <c r="R41" s="50">
        <v>37</v>
      </c>
      <c r="S41" s="50" t="s">
        <v>34</v>
      </c>
      <c r="T41" s="50">
        <v>0.87</v>
      </c>
      <c r="U41" s="50">
        <v>0.55000000000000004</v>
      </c>
      <c r="V41" s="49">
        <v>29.479245283018869</v>
      </c>
      <c r="W41" s="50">
        <v>2.65</v>
      </c>
      <c r="X41" s="50" t="s">
        <v>34</v>
      </c>
      <c r="Y41" s="50" t="s">
        <v>49</v>
      </c>
      <c r="Z41" s="50" t="s">
        <v>50</v>
      </c>
      <c r="AA41" s="50" t="s">
        <v>162</v>
      </c>
      <c r="AB41" s="50">
        <v>6</v>
      </c>
      <c r="AC41" s="50">
        <v>0.33300000000000002</v>
      </c>
      <c r="AD41" s="50">
        <v>3.33</v>
      </c>
      <c r="AE41" s="50" t="s">
        <v>204</v>
      </c>
      <c r="AF41" s="50">
        <v>9.9000000000000008E-3</v>
      </c>
      <c r="AG41" s="50" t="s">
        <v>34</v>
      </c>
      <c r="AH41" s="50" t="s">
        <v>368</v>
      </c>
      <c r="AI41" s="50" t="s">
        <v>34</v>
      </c>
      <c r="AJ41" s="50" t="s">
        <v>34</v>
      </c>
      <c r="AK41" s="50" t="s">
        <v>366</v>
      </c>
      <c r="AL41" s="50">
        <v>2019</v>
      </c>
      <c r="AM41" s="50" t="s">
        <v>367</v>
      </c>
    </row>
    <row r="42" spans="1:39" s="53" customFormat="1" ht="15" thickBot="1" x14ac:dyDescent="0.35">
      <c r="A42" s="52">
        <v>2.48</v>
      </c>
      <c r="B42" s="52">
        <v>100</v>
      </c>
      <c r="C42" s="52">
        <v>95682.821455734142</v>
      </c>
      <c r="D42" s="52">
        <v>404.58982418173798</v>
      </c>
      <c r="E42" s="52">
        <v>277.10852383651297</v>
      </c>
      <c r="F42" s="52">
        <v>0.61521692629035796</v>
      </c>
      <c r="G42" s="52" t="s">
        <v>350</v>
      </c>
      <c r="H42" s="52" t="s">
        <v>33</v>
      </c>
      <c r="I42" s="52" t="s">
        <v>369</v>
      </c>
      <c r="J42" s="52" t="s">
        <v>170</v>
      </c>
      <c r="K42" s="52" t="s">
        <v>34</v>
      </c>
      <c r="L42" s="52">
        <v>0.22</v>
      </c>
      <c r="M42" s="52" t="s">
        <v>34</v>
      </c>
      <c r="N42" s="52" t="s">
        <v>34</v>
      </c>
      <c r="O42" s="52">
        <v>1.4</v>
      </c>
      <c r="P42" s="52">
        <v>0.9</v>
      </c>
      <c r="Q42" s="52">
        <v>0</v>
      </c>
      <c r="R42" s="52">
        <v>36</v>
      </c>
      <c r="S42" s="52" t="s">
        <v>34</v>
      </c>
      <c r="T42" s="52">
        <v>0.87</v>
      </c>
      <c r="U42" s="52">
        <v>0.55000000000000004</v>
      </c>
      <c r="V42" s="51">
        <v>29.56981132075472</v>
      </c>
      <c r="W42" s="52">
        <v>2.65</v>
      </c>
      <c r="X42" s="52" t="s">
        <v>34</v>
      </c>
      <c r="Y42" s="52" t="s">
        <v>36</v>
      </c>
      <c r="Z42" s="52" t="s">
        <v>37</v>
      </c>
      <c r="AA42" s="52" t="s">
        <v>162</v>
      </c>
      <c r="AB42" s="52">
        <v>13</v>
      </c>
      <c r="AC42" s="52">
        <v>0.33300000000000002</v>
      </c>
      <c r="AD42" s="52">
        <v>3.33</v>
      </c>
      <c r="AE42" s="52" t="s">
        <v>33</v>
      </c>
      <c r="AF42" s="52" t="s">
        <v>34</v>
      </c>
      <c r="AG42" s="52" t="s">
        <v>34</v>
      </c>
      <c r="AH42" s="52" t="s">
        <v>269</v>
      </c>
      <c r="AI42" s="52" t="s">
        <v>34</v>
      </c>
      <c r="AJ42" s="52" t="s">
        <v>34</v>
      </c>
      <c r="AK42" s="52" t="s">
        <v>366</v>
      </c>
      <c r="AL42" s="52">
        <v>2019</v>
      </c>
      <c r="AM42" s="52" t="s">
        <v>367</v>
      </c>
    </row>
    <row r="43" spans="1:39" x14ac:dyDescent="0.3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</row>
    <row r="44" spans="1:39" x14ac:dyDescent="0.3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</row>
    <row r="45" spans="1:39" x14ac:dyDescent="0.3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</row>
    <row r="46" spans="1:39" x14ac:dyDescent="0.3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</row>
    <row r="47" spans="1:39" x14ac:dyDescent="0.3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</row>
    <row r="48" spans="1:39" x14ac:dyDescent="0.3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</row>
    <row r="49" spans="1:39" x14ac:dyDescent="0.3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</row>
    <row r="50" spans="1:39" x14ac:dyDescent="0.3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</row>
    <row r="51" spans="1:39" x14ac:dyDescent="0.3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</row>
    <row r="52" spans="1:39" x14ac:dyDescent="0.3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</row>
    <row r="53" spans="1:39" x14ac:dyDescent="0.3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</row>
    <row r="54" spans="1:39" x14ac:dyDescent="0.3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</row>
    <row r="55" spans="1:39" x14ac:dyDescent="0.3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</row>
    <row r="56" spans="1:39" x14ac:dyDescent="0.3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</row>
    <row r="57" spans="1:39" x14ac:dyDescent="0.3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</row>
    <row r="58" spans="1:39" x14ac:dyDescent="0.3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</row>
    <row r="59" spans="1:39" x14ac:dyDescent="0.3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</row>
    <row r="60" spans="1:39" x14ac:dyDescent="0.3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</row>
    <row r="61" spans="1:39" x14ac:dyDescent="0.3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</row>
    <row r="62" spans="1:39" x14ac:dyDescent="0.3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</row>
    <row r="63" spans="1:39" x14ac:dyDescent="0.3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</row>
    <row r="64" spans="1:39" x14ac:dyDescent="0.3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</row>
    <row r="65" spans="1:39" x14ac:dyDescent="0.3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</row>
    <row r="66" spans="1:39" x14ac:dyDescent="0.3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</row>
    <row r="67" spans="1:39" x14ac:dyDescent="0.3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</row>
    <row r="68" spans="1:39" x14ac:dyDescent="0.3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</row>
    <row r="69" spans="1:39" x14ac:dyDescent="0.3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</row>
    <row r="70" spans="1:39" x14ac:dyDescent="0.3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</row>
    <row r="71" spans="1:39" x14ac:dyDescent="0.3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</row>
    <row r="72" spans="1:39" x14ac:dyDescent="0.3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</row>
    <row r="73" spans="1:39" x14ac:dyDescent="0.3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</row>
    <row r="74" spans="1:39" x14ac:dyDescent="0.3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</row>
    <row r="75" spans="1:39" x14ac:dyDescent="0.3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</row>
    <row r="76" spans="1:39" x14ac:dyDescent="0.3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</row>
    <row r="77" spans="1:39" x14ac:dyDescent="0.3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</row>
    <row r="78" spans="1:39" x14ac:dyDescent="0.3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</row>
    <row r="79" spans="1:39" x14ac:dyDescent="0.3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</row>
    <row r="80" spans="1:39" x14ac:dyDescent="0.3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</row>
    <row r="81" spans="1:39" x14ac:dyDescent="0.3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</row>
    <row r="82" spans="1:39" x14ac:dyDescent="0.3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</row>
    <row r="83" spans="1:39" x14ac:dyDescent="0.3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</row>
    <row r="84" spans="1:39" x14ac:dyDescent="0.3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</row>
    <row r="85" spans="1:39" x14ac:dyDescent="0.3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</row>
    <row r="86" spans="1:39" x14ac:dyDescent="0.3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</row>
    <row r="87" spans="1:39" x14ac:dyDescent="0.3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</row>
    <row r="88" spans="1:39" x14ac:dyDescent="0.3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</row>
    <row r="89" spans="1:39" x14ac:dyDescent="0.3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</row>
    <row r="90" spans="1:39" x14ac:dyDescent="0.3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</row>
    <row r="91" spans="1:39" x14ac:dyDescent="0.3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</row>
    <row r="92" spans="1:39" x14ac:dyDescent="0.3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</row>
    <row r="93" spans="1:39" x14ac:dyDescent="0.3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</row>
    <row r="94" spans="1:39" x14ac:dyDescent="0.3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</row>
    <row r="95" spans="1:39" x14ac:dyDescent="0.3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</row>
    <row r="96" spans="1:39" x14ac:dyDescent="0.3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</row>
    <row r="97" spans="1:39" x14ac:dyDescent="0.3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</row>
    <row r="98" spans="1:39" x14ac:dyDescent="0.3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</row>
    <row r="99" spans="1:39" x14ac:dyDescent="0.3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</row>
    <row r="100" spans="1:39" x14ac:dyDescent="0.3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</row>
    <row r="101" spans="1:39" x14ac:dyDescent="0.3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50"/>
      <c r="AL101" s="50"/>
      <c r="AM101" s="50"/>
    </row>
    <row r="102" spans="1:39" x14ac:dyDescent="0.3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50"/>
      <c r="AL102" s="50"/>
      <c r="AM102" s="50"/>
    </row>
    <row r="103" spans="1:39" x14ac:dyDescent="0.3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  <c r="AK103" s="50"/>
      <c r="AL103" s="50"/>
      <c r="AM103" s="50"/>
    </row>
    <row r="104" spans="1:39" x14ac:dyDescent="0.3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  <c r="AL104" s="50"/>
      <c r="AM104" s="50"/>
    </row>
    <row r="105" spans="1:39" x14ac:dyDescent="0.3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50"/>
    </row>
    <row r="106" spans="1:39" x14ac:dyDescent="0.3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  <c r="AK106" s="50"/>
      <c r="AL106" s="50"/>
      <c r="AM106" s="50"/>
    </row>
    <row r="107" spans="1:39" x14ac:dyDescent="0.3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  <c r="AL107" s="50"/>
      <c r="AM107" s="50"/>
    </row>
    <row r="108" spans="1:39" x14ac:dyDescent="0.3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</row>
    <row r="109" spans="1:39" x14ac:dyDescent="0.3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/>
    </row>
    <row r="110" spans="1:39" x14ac:dyDescent="0.3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</row>
    <row r="111" spans="1:39" x14ac:dyDescent="0.3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  <c r="AK111" s="50"/>
      <c r="AL111" s="50"/>
      <c r="AM111" s="50"/>
    </row>
    <row r="112" spans="1:39" x14ac:dyDescent="0.3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</row>
    <row r="113" spans="1:39" x14ac:dyDescent="0.3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  <c r="AK113" s="50"/>
      <c r="AL113" s="50"/>
      <c r="AM113" s="50"/>
    </row>
    <row r="114" spans="1:39" x14ac:dyDescent="0.3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</row>
    <row r="115" spans="1:39" x14ac:dyDescent="0.3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  <c r="AH115" s="50"/>
      <c r="AI115" s="50"/>
      <c r="AJ115" s="50"/>
      <c r="AK115" s="50"/>
      <c r="AL115" s="50"/>
      <c r="AM115" s="50"/>
    </row>
    <row r="116" spans="1:39" x14ac:dyDescent="0.3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  <c r="AI116" s="50"/>
      <c r="AJ116" s="50"/>
      <c r="AK116" s="50"/>
      <c r="AL116" s="50"/>
      <c r="AM116" s="50"/>
    </row>
    <row r="117" spans="1:39" x14ac:dyDescent="0.3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  <c r="AI117" s="50"/>
      <c r="AJ117" s="50"/>
      <c r="AK117" s="50"/>
      <c r="AL117" s="50"/>
      <c r="AM117" s="50"/>
    </row>
    <row r="118" spans="1:39" x14ac:dyDescent="0.3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/>
      <c r="AK118" s="50"/>
      <c r="AL118" s="50"/>
      <c r="AM118" s="50"/>
    </row>
    <row r="119" spans="1:39" x14ac:dyDescent="0.3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  <c r="AH119" s="50"/>
      <c r="AI119" s="50"/>
      <c r="AJ119" s="50"/>
      <c r="AK119" s="50"/>
      <c r="AL119" s="50"/>
      <c r="AM119" s="50"/>
    </row>
    <row r="120" spans="1:39" x14ac:dyDescent="0.3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  <c r="AG120" s="50"/>
      <c r="AH120" s="50"/>
      <c r="AI120" s="50"/>
      <c r="AJ120" s="50"/>
      <c r="AK120" s="50"/>
      <c r="AL120" s="50"/>
      <c r="AM120" s="50"/>
    </row>
    <row r="121" spans="1:39" x14ac:dyDescent="0.3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  <c r="AE121" s="50"/>
      <c r="AF121" s="50"/>
      <c r="AG121" s="50"/>
      <c r="AH121" s="50"/>
      <c r="AI121" s="50"/>
      <c r="AJ121" s="50"/>
      <c r="AK121" s="50"/>
      <c r="AL121" s="50"/>
      <c r="AM121" s="50"/>
    </row>
    <row r="122" spans="1:39" x14ac:dyDescent="0.3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  <c r="AG122" s="50"/>
      <c r="AH122" s="50"/>
      <c r="AI122" s="50"/>
      <c r="AJ122" s="50"/>
      <c r="AK122" s="50"/>
      <c r="AL122" s="50"/>
      <c r="AM122" s="50"/>
    </row>
    <row r="123" spans="1:39" x14ac:dyDescent="0.3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  <c r="AH123" s="50"/>
      <c r="AI123" s="50"/>
      <c r="AJ123" s="50"/>
      <c r="AK123" s="50"/>
      <c r="AL123" s="50"/>
      <c r="AM123" s="50"/>
    </row>
    <row r="124" spans="1:39" x14ac:dyDescent="0.3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  <c r="AG124" s="50"/>
      <c r="AH124" s="50"/>
      <c r="AI124" s="50"/>
      <c r="AJ124" s="50"/>
      <c r="AK124" s="50"/>
      <c r="AL124" s="50"/>
      <c r="AM124" s="50"/>
    </row>
    <row r="125" spans="1:39" x14ac:dyDescent="0.3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  <c r="AE125" s="50"/>
      <c r="AF125" s="50"/>
      <c r="AG125" s="50"/>
      <c r="AH125" s="50"/>
      <c r="AI125" s="50"/>
      <c r="AJ125" s="50"/>
      <c r="AK125" s="50"/>
      <c r="AL125" s="50"/>
      <c r="AM125" s="50"/>
    </row>
    <row r="126" spans="1:39" x14ac:dyDescent="0.3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  <c r="AG126" s="50"/>
      <c r="AH126" s="50"/>
      <c r="AI126" s="50"/>
      <c r="AJ126" s="50"/>
      <c r="AK126" s="50"/>
      <c r="AL126" s="50"/>
      <c r="AM126" s="50"/>
    </row>
    <row r="127" spans="1:39" x14ac:dyDescent="0.3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  <c r="AE127" s="50"/>
      <c r="AF127" s="50"/>
      <c r="AG127" s="50"/>
      <c r="AH127" s="50"/>
      <c r="AI127" s="50"/>
      <c r="AJ127" s="50"/>
      <c r="AK127" s="50"/>
      <c r="AL127" s="50"/>
      <c r="AM127" s="50"/>
    </row>
    <row r="128" spans="1:39" x14ac:dyDescent="0.3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  <c r="AG128" s="50"/>
      <c r="AH128" s="50"/>
      <c r="AI128" s="50"/>
      <c r="AJ128" s="50"/>
      <c r="AK128" s="50"/>
      <c r="AL128" s="50"/>
      <c r="AM128" s="50"/>
    </row>
    <row r="129" spans="1:39" x14ac:dyDescent="0.3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  <c r="AF129" s="50"/>
      <c r="AG129" s="50"/>
      <c r="AH129" s="50"/>
      <c r="AI129" s="50"/>
      <c r="AJ129" s="50"/>
      <c r="AK129" s="50"/>
      <c r="AL129" s="50"/>
      <c r="AM129" s="50"/>
    </row>
    <row r="130" spans="1:39" x14ac:dyDescent="0.3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  <c r="AG130" s="50"/>
      <c r="AH130" s="50"/>
      <c r="AI130" s="50"/>
      <c r="AJ130" s="50"/>
      <c r="AK130" s="50"/>
      <c r="AL130" s="50"/>
      <c r="AM130" s="50"/>
    </row>
    <row r="131" spans="1:39" x14ac:dyDescent="0.3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  <c r="AH131" s="50"/>
      <c r="AI131" s="50"/>
      <c r="AJ131" s="50"/>
      <c r="AK131" s="50"/>
      <c r="AL131" s="50"/>
      <c r="AM131" s="50"/>
    </row>
    <row r="132" spans="1:39" x14ac:dyDescent="0.3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  <c r="AF132" s="50"/>
      <c r="AG132" s="50"/>
      <c r="AH132" s="50"/>
      <c r="AI132" s="50"/>
      <c r="AJ132" s="50"/>
      <c r="AK132" s="50"/>
      <c r="AL132" s="50"/>
      <c r="AM132" s="50"/>
    </row>
    <row r="133" spans="1:39" x14ac:dyDescent="0.3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  <c r="AG133" s="50"/>
      <c r="AH133" s="50"/>
      <c r="AI133" s="50"/>
      <c r="AJ133" s="50"/>
      <c r="AK133" s="50"/>
      <c r="AL133" s="50"/>
      <c r="AM133" s="50"/>
    </row>
    <row r="134" spans="1:39" x14ac:dyDescent="0.3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  <c r="AE134" s="50"/>
      <c r="AF134" s="50"/>
      <c r="AG134" s="50"/>
      <c r="AH134" s="50"/>
      <c r="AI134" s="50"/>
      <c r="AJ134" s="50"/>
      <c r="AK134" s="50"/>
      <c r="AL134" s="50"/>
      <c r="AM134" s="50"/>
    </row>
    <row r="135" spans="1:39" x14ac:dyDescent="0.3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  <c r="AE135" s="50"/>
      <c r="AF135" s="50"/>
      <c r="AG135" s="50"/>
      <c r="AH135" s="50"/>
      <c r="AI135" s="50"/>
      <c r="AJ135" s="50"/>
      <c r="AK135" s="50"/>
      <c r="AL135" s="50"/>
      <c r="AM135" s="50"/>
    </row>
    <row r="136" spans="1:39" x14ac:dyDescent="0.3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  <c r="AE136" s="50"/>
      <c r="AF136" s="50"/>
      <c r="AG136" s="50"/>
      <c r="AH136" s="50"/>
      <c r="AI136" s="50"/>
      <c r="AJ136" s="50"/>
      <c r="AK136" s="50"/>
      <c r="AL136" s="50"/>
      <c r="AM136" s="50"/>
    </row>
    <row r="137" spans="1:39" x14ac:dyDescent="0.3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  <c r="AH137" s="50"/>
      <c r="AI137" s="50"/>
      <c r="AJ137" s="50"/>
      <c r="AK137" s="50"/>
      <c r="AL137" s="50"/>
      <c r="AM137" s="50"/>
    </row>
    <row r="138" spans="1:39" x14ac:dyDescent="0.3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  <c r="AG138" s="50"/>
      <c r="AH138" s="50"/>
      <c r="AI138" s="50"/>
      <c r="AJ138" s="50"/>
      <c r="AK138" s="50"/>
      <c r="AL138" s="50"/>
      <c r="AM138" s="50"/>
    </row>
    <row r="139" spans="1:39" x14ac:dyDescent="0.3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50"/>
      <c r="AG139" s="50"/>
      <c r="AH139" s="50"/>
      <c r="AI139" s="50"/>
      <c r="AJ139" s="50"/>
      <c r="AK139" s="50"/>
      <c r="AL139" s="50"/>
      <c r="AM139" s="50"/>
    </row>
    <row r="140" spans="1:39" x14ac:dyDescent="0.3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  <c r="AH140" s="50"/>
      <c r="AI140" s="50"/>
      <c r="AJ140" s="50"/>
      <c r="AK140" s="50"/>
      <c r="AL140" s="50"/>
      <c r="AM140" s="50"/>
    </row>
    <row r="141" spans="1:39" x14ac:dyDescent="0.3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  <c r="AF141" s="50"/>
      <c r="AG141" s="50"/>
      <c r="AH141" s="50"/>
      <c r="AI141" s="50"/>
      <c r="AJ141" s="50"/>
      <c r="AK141" s="50"/>
      <c r="AL141" s="50"/>
      <c r="AM141" s="50"/>
    </row>
    <row r="142" spans="1:39" x14ac:dyDescent="0.3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  <c r="AH142" s="50"/>
      <c r="AI142" s="50"/>
      <c r="AJ142" s="50"/>
      <c r="AK142" s="50"/>
      <c r="AL142" s="50"/>
      <c r="AM142" s="50"/>
    </row>
    <row r="143" spans="1:39" x14ac:dyDescent="0.3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50"/>
      <c r="AG143" s="50"/>
      <c r="AH143" s="50"/>
      <c r="AI143" s="50"/>
      <c r="AJ143" s="50"/>
      <c r="AK143" s="50"/>
      <c r="AL143" s="50"/>
      <c r="AM143" s="50"/>
    </row>
    <row r="144" spans="1:39" x14ac:dyDescent="0.3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  <c r="AF144" s="50"/>
      <c r="AG144" s="50"/>
      <c r="AH144" s="50"/>
      <c r="AI144" s="50"/>
      <c r="AJ144" s="50"/>
      <c r="AK144" s="50"/>
      <c r="AL144" s="50"/>
      <c r="AM144" s="50"/>
    </row>
    <row r="145" spans="1:39" x14ac:dyDescent="0.3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  <c r="AL145" s="50"/>
      <c r="AM145" s="50"/>
    </row>
    <row r="146" spans="1:39" x14ac:dyDescent="0.3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/>
      <c r="AM146" s="50"/>
    </row>
    <row r="147" spans="1:39" x14ac:dyDescent="0.3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  <c r="AF147" s="50"/>
      <c r="AG147" s="50"/>
      <c r="AH147" s="50"/>
      <c r="AI147" s="50"/>
      <c r="AJ147" s="50"/>
      <c r="AK147" s="50"/>
      <c r="AL147" s="50"/>
      <c r="AM147" s="50"/>
    </row>
    <row r="148" spans="1:39" x14ac:dyDescent="0.3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  <c r="AF148" s="50"/>
      <c r="AG148" s="50"/>
      <c r="AH148" s="50"/>
      <c r="AI148" s="50"/>
      <c r="AJ148" s="50"/>
      <c r="AK148" s="50"/>
      <c r="AL148" s="50"/>
      <c r="AM148" s="50"/>
    </row>
    <row r="149" spans="1:39" x14ac:dyDescent="0.3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  <c r="AC149" s="50"/>
      <c r="AD149" s="50"/>
      <c r="AE149" s="50"/>
      <c r="AF149" s="50"/>
      <c r="AG149" s="50"/>
      <c r="AH149" s="50"/>
      <c r="AI149" s="50"/>
      <c r="AJ149" s="50"/>
      <c r="AK149" s="50"/>
      <c r="AL149" s="50"/>
      <c r="AM149" s="50"/>
    </row>
    <row r="150" spans="1:39" x14ac:dyDescent="0.3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  <c r="AD150" s="50"/>
      <c r="AE150" s="50"/>
      <c r="AF150" s="50"/>
      <c r="AG150" s="50"/>
      <c r="AH150" s="50"/>
      <c r="AI150" s="50"/>
      <c r="AJ150" s="50"/>
      <c r="AK150" s="50"/>
      <c r="AL150" s="50"/>
      <c r="AM150" s="50"/>
    </row>
    <row r="151" spans="1:39" x14ac:dyDescent="0.3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50"/>
      <c r="AG151" s="50"/>
      <c r="AH151" s="50"/>
      <c r="AI151" s="50"/>
      <c r="AJ151" s="50"/>
      <c r="AK151" s="50"/>
      <c r="AL151" s="50"/>
      <c r="AM151" s="50"/>
    </row>
    <row r="152" spans="1:39" x14ac:dyDescent="0.3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50"/>
      <c r="AG152" s="50"/>
      <c r="AH152" s="50"/>
      <c r="AI152" s="50"/>
      <c r="AJ152" s="50"/>
      <c r="AK152" s="50"/>
      <c r="AL152" s="50"/>
      <c r="AM152" s="50"/>
    </row>
    <row r="153" spans="1:39" x14ac:dyDescent="0.3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  <c r="AC153" s="50"/>
      <c r="AD153" s="50"/>
      <c r="AE153" s="50"/>
      <c r="AF153" s="50"/>
      <c r="AG153" s="50"/>
      <c r="AH153" s="50"/>
      <c r="AI153" s="50"/>
      <c r="AJ153" s="50"/>
      <c r="AK153" s="50"/>
      <c r="AL153" s="50"/>
      <c r="AM153" s="50"/>
    </row>
    <row r="154" spans="1:39" x14ac:dyDescent="0.3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  <c r="AD154" s="50"/>
      <c r="AE154" s="50"/>
      <c r="AF154" s="50"/>
      <c r="AG154" s="50"/>
      <c r="AH154" s="50"/>
      <c r="AI154" s="50"/>
      <c r="AJ154" s="50"/>
      <c r="AK154" s="50"/>
      <c r="AL154" s="50"/>
      <c r="AM154" s="50"/>
    </row>
    <row r="155" spans="1:39" x14ac:dyDescent="0.3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  <c r="AC155" s="50"/>
      <c r="AD155" s="50"/>
      <c r="AE155" s="50"/>
      <c r="AF155" s="50"/>
      <c r="AG155" s="50"/>
      <c r="AH155" s="50"/>
      <c r="AI155" s="50"/>
      <c r="AJ155" s="50"/>
      <c r="AK155" s="50"/>
      <c r="AL155" s="50"/>
      <c r="AM155" s="50"/>
    </row>
    <row r="156" spans="1:39" x14ac:dyDescent="0.3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  <c r="AC156" s="50"/>
      <c r="AD156" s="50"/>
      <c r="AE156" s="50"/>
      <c r="AF156" s="50"/>
      <c r="AG156" s="50"/>
      <c r="AH156" s="50"/>
      <c r="AI156" s="50"/>
      <c r="AJ156" s="50"/>
      <c r="AK156" s="50"/>
      <c r="AL156" s="50"/>
      <c r="AM156" s="50"/>
    </row>
    <row r="157" spans="1:39" x14ac:dyDescent="0.3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  <c r="AD157" s="50"/>
      <c r="AE157" s="50"/>
      <c r="AF157" s="50"/>
      <c r="AG157" s="50"/>
      <c r="AH157" s="50"/>
      <c r="AI157" s="50"/>
      <c r="AJ157" s="50"/>
      <c r="AK157" s="50"/>
      <c r="AL157" s="50"/>
      <c r="AM157" s="50"/>
    </row>
    <row r="158" spans="1:39" x14ac:dyDescent="0.3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50"/>
      <c r="AE158" s="50"/>
      <c r="AF158" s="50"/>
      <c r="AG158" s="50"/>
      <c r="AH158" s="50"/>
      <c r="AI158" s="50"/>
      <c r="AJ158" s="50"/>
      <c r="AK158" s="50"/>
      <c r="AL158" s="50"/>
      <c r="AM158" s="50"/>
    </row>
    <row r="159" spans="1:39" x14ac:dyDescent="0.3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  <c r="AD159" s="50"/>
      <c r="AE159" s="50"/>
      <c r="AF159" s="50"/>
      <c r="AG159" s="50"/>
      <c r="AH159" s="50"/>
      <c r="AI159" s="50"/>
      <c r="AJ159" s="50"/>
      <c r="AK159" s="50"/>
      <c r="AL159" s="50"/>
      <c r="AM159" s="50"/>
    </row>
    <row r="160" spans="1:39" x14ac:dyDescent="0.3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  <c r="AD160" s="50"/>
      <c r="AE160" s="50"/>
      <c r="AF160" s="50"/>
      <c r="AG160" s="50"/>
      <c r="AH160" s="50"/>
      <c r="AI160" s="50"/>
      <c r="AJ160" s="50"/>
      <c r="AK160" s="50"/>
      <c r="AL160" s="50"/>
      <c r="AM160" s="50"/>
    </row>
    <row r="161" spans="1:39" x14ac:dyDescent="0.3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  <c r="AD161" s="50"/>
      <c r="AE161" s="50"/>
      <c r="AF161" s="50"/>
      <c r="AG161" s="50"/>
      <c r="AH161" s="50"/>
      <c r="AI161" s="50"/>
      <c r="AJ161" s="50"/>
      <c r="AK161" s="50"/>
      <c r="AL161" s="50"/>
      <c r="AM161" s="50"/>
    </row>
    <row r="162" spans="1:39" x14ac:dyDescent="0.3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  <c r="AD162" s="50"/>
      <c r="AE162" s="50"/>
      <c r="AF162" s="50"/>
      <c r="AG162" s="50"/>
      <c r="AH162" s="50"/>
      <c r="AI162" s="50"/>
      <c r="AJ162" s="50"/>
      <c r="AK162" s="50"/>
      <c r="AL162" s="50"/>
      <c r="AM162" s="50"/>
    </row>
    <row r="163" spans="1:39" x14ac:dyDescent="0.3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  <c r="AD163" s="50"/>
      <c r="AE163" s="50"/>
      <c r="AF163" s="50"/>
      <c r="AG163" s="50"/>
      <c r="AH163" s="50"/>
      <c r="AI163" s="50"/>
      <c r="AJ163" s="50"/>
      <c r="AK163" s="50"/>
      <c r="AL163" s="50"/>
      <c r="AM163" s="50"/>
    </row>
    <row r="164" spans="1:39" x14ac:dyDescent="0.3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  <c r="AD164" s="50"/>
      <c r="AE164" s="50"/>
      <c r="AF164" s="50"/>
      <c r="AG164" s="50"/>
      <c r="AH164" s="50"/>
      <c r="AI164" s="50"/>
      <c r="AJ164" s="50"/>
      <c r="AK164" s="50"/>
      <c r="AL164" s="50"/>
      <c r="AM164" s="50"/>
    </row>
    <row r="165" spans="1:39" x14ac:dyDescent="0.3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  <c r="AD165" s="50"/>
      <c r="AE165" s="50"/>
      <c r="AF165" s="50"/>
      <c r="AG165" s="50"/>
      <c r="AH165" s="50"/>
      <c r="AI165" s="50"/>
      <c r="AJ165" s="50"/>
      <c r="AK165" s="50"/>
      <c r="AL165" s="50"/>
      <c r="AM165" s="50"/>
    </row>
    <row r="166" spans="1:39" x14ac:dyDescent="0.3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  <c r="AC166" s="50"/>
      <c r="AD166" s="50"/>
      <c r="AE166" s="50"/>
      <c r="AF166" s="50"/>
      <c r="AG166" s="50"/>
      <c r="AH166" s="50"/>
      <c r="AI166" s="50"/>
      <c r="AJ166" s="50"/>
      <c r="AK166" s="50"/>
      <c r="AL166" s="50"/>
      <c r="AM166" s="50"/>
    </row>
    <row r="167" spans="1:39" x14ac:dyDescent="0.3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  <c r="AD167" s="50"/>
      <c r="AE167" s="50"/>
      <c r="AF167" s="50"/>
      <c r="AG167" s="50"/>
      <c r="AH167" s="50"/>
      <c r="AI167" s="50"/>
      <c r="AJ167" s="50"/>
      <c r="AK167" s="50"/>
      <c r="AL167" s="50"/>
      <c r="AM167" s="50"/>
    </row>
    <row r="168" spans="1:39" x14ac:dyDescent="0.3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  <c r="AC168" s="50"/>
      <c r="AD168" s="50"/>
      <c r="AE168" s="50"/>
      <c r="AF168" s="50"/>
      <c r="AG168" s="50"/>
      <c r="AH168" s="50"/>
      <c r="AI168" s="50"/>
      <c r="AJ168" s="50"/>
      <c r="AK168" s="50"/>
      <c r="AL168" s="50"/>
      <c r="AM168" s="50"/>
    </row>
    <row r="169" spans="1:39" x14ac:dyDescent="0.3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  <c r="AD169" s="50"/>
      <c r="AE169" s="50"/>
      <c r="AF169" s="50"/>
      <c r="AG169" s="50"/>
      <c r="AH169" s="50"/>
      <c r="AI169" s="50"/>
      <c r="AJ169" s="50"/>
      <c r="AK169" s="50"/>
      <c r="AL169" s="50"/>
      <c r="AM169" s="50"/>
    </row>
    <row r="170" spans="1:39" x14ac:dyDescent="0.3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  <c r="AD170" s="50"/>
      <c r="AE170" s="50"/>
      <c r="AF170" s="50"/>
      <c r="AG170" s="50"/>
      <c r="AH170" s="50"/>
      <c r="AI170" s="50"/>
      <c r="AJ170" s="50"/>
      <c r="AK170" s="50"/>
      <c r="AL170" s="50"/>
      <c r="AM170" s="50"/>
    </row>
    <row r="171" spans="1:39" x14ac:dyDescent="0.3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  <c r="AC171" s="50"/>
      <c r="AD171" s="50"/>
      <c r="AE171" s="50"/>
      <c r="AF171" s="50"/>
      <c r="AG171" s="50"/>
      <c r="AH171" s="50"/>
      <c r="AI171" s="50"/>
      <c r="AJ171" s="50"/>
      <c r="AK171" s="50"/>
      <c r="AL171" s="50"/>
      <c r="AM171" s="50"/>
    </row>
    <row r="172" spans="1:39" x14ac:dyDescent="0.3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  <c r="AC172" s="50"/>
      <c r="AD172" s="50"/>
      <c r="AE172" s="50"/>
      <c r="AF172" s="50"/>
      <c r="AG172" s="50"/>
      <c r="AH172" s="50"/>
      <c r="AI172" s="50"/>
      <c r="AJ172" s="50"/>
      <c r="AK172" s="50"/>
      <c r="AL172" s="50"/>
      <c r="AM172" s="50"/>
    </row>
    <row r="173" spans="1:39" x14ac:dyDescent="0.3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  <c r="AD173" s="50"/>
      <c r="AE173" s="50"/>
      <c r="AF173" s="50"/>
      <c r="AG173" s="50"/>
      <c r="AH173" s="50"/>
      <c r="AI173" s="50"/>
      <c r="AJ173" s="50"/>
      <c r="AK173" s="50"/>
      <c r="AL173" s="50"/>
      <c r="AM173" s="50"/>
    </row>
    <row r="174" spans="1:39" x14ac:dyDescent="0.3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  <c r="AC174" s="50"/>
      <c r="AD174" s="50"/>
      <c r="AE174" s="50"/>
      <c r="AF174" s="50"/>
      <c r="AG174" s="50"/>
      <c r="AH174" s="50"/>
      <c r="AI174" s="50"/>
      <c r="AJ174" s="50"/>
      <c r="AK174" s="50"/>
      <c r="AL174" s="50"/>
      <c r="AM174" s="50"/>
    </row>
    <row r="175" spans="1:39" x14ac:dyDescent="0.3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  <c r="AC175" s="50"/>
      <c r="AD175" s="50"/>
      <c r="AE175" s="50"/>
      <c r="AF175" s="50"/>
      <c r="AG175" s="50"/>
      <c r="AH175" s="50"/>
      <c r="AI175" s="50"/>
      <c r="AJ175" s="50"/>
      <c r="AK175" s="50"/>
      <c r="AL175" s="50"/>
      <c r="AM175" s="50"/>
    </row>
    <row r="176" spans="1:39" x14ac:dyDescent="0.3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  <c r="AC176" s="50"/>
      <c r="AD176" s="50"/>
      <c r="AE176" s="50"/>
      <c r="AF176" s="50"/>
      <c r="AG176" s="50"/>
      <c r="AH176" s="50"/>
      <c r="AI176" s="50"/>
      <c r="AJ176" s="50"/>
      <c r="AK176" s="50"/>
      <c r="AL176" s="50"/>
      <c r="AM176" s="50"/>
    </row>
    <row r="177" spans="1:39" x14ac:dyDescent="0.3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  <c r="AD177" s="50"/>
      <c r="AE177" s="50"/>
      <c r="AF177" s="50"/>
      <c r="AG177" s="50"/>
      <c r="AH177" s="50"/>
      <c r="AI177" s="50"/>
      <c r="AJ177" s="50"/>
      <c r="AK177" s="50"/>
      <c r="AL177" s="50"/>
      <c r="AM177" s="50"/>
    </row>
    <row r="178" spans="1:39" x14ac:dyDescent="0.3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  <c r="AC178" s="50"/>
      <c r="AD178" s="50"/>
      <c r="AE178" s="50"/>
      <c r="AF178" s="50"/>
      <c r="AG178" s="50"/>
      <c r="AH178" s="50"/>
      <c r="AI178" s="50"/>
      <c r="AJ178" s="50"/>
      <c r="AK178" s="50"/>
      <c r="AL178" s="50"/>
      <c r="AM178" s="50"/>
    </row>
    <row r="179" spans="1:39" x14ac:dyDescent="0.3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  <c r="AC179" s="50"/>
      <c r="AD179" s="50"/>
      <c r="AE179" s="50"/>
      <c r="AF179" s="50"/>
      <c r="AG179" s="50"/>
      <c r="AH179" s="50"/>
      <c r="AI179" s="50"/>
      <c r="AJ179" s="50"/>
      <c r="AK179" s="50"/>
      <c r="AL179" s="50"/>
      <c r="AM179" s="50"/>
    </row>
    <row r="180" spans="1:39" x14ac:dyDescent="0.3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  <c r="AD180" s="50"/>
      <c r="AE180" s="50"/>
      <c r="AF180" s="50"/>
      <c r="AG180" s="50"/>
      <c r="AH180" s="50"/>
      <c r="AI180" s="50"/>
      <c r="AJ180" s="50"/>
      <c r="AK180" s="50"/>
      <c r="AL180" s="50"/>
      <c r="AM180" s="50"/>
    </row>
    <row r="181" spans="1:39" x14ac:dyDescent="0.3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  <c r="AD181" s="50"/>
      <c r="AE181" s="50"/>
      <c r="AF181" s="50"/>
      <c r="AG181" s="50"/>
      <c r="AH181" s="50"/>
      <c r="AI181" s="50"/>
      <c r="AJ181" s="50"/>
      <c r="AK181" s="50"/>
      <c r="AL181" s="50"/>
      <c r="AM181" s="50"/>
    </row>
    <row r="182" spans="1:39" x14ac:dyDescent="0.3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  <c r="AD182" s="50"/>
      <c r="AE182" s="50"/>
      <c r="AF182" s="50"/>
      <c r="AG182" s="50"/>
      <c r="AH182" s="50"/>
      <c r="AI182" s="50"/>
      <c r="AJ182" s="50"/>
      <c r="AK182" s="50"/>
      <c r="AL182" s="50"/>
      <c r="AM182" s="50"/>
    </row>
    <row r="183" spans="1:39" x14ac:dyDescent="0.3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  <c r="AD183" s="50"/>
      <c r="AE183" s="50"/>
      <c r="AF183" s="50"/>
      <c r="AG183" s="50"/>
      <c r="AH183" s="50"/>
      <c r="AI183" s="50"/>
      <c r="AJ183" s="50"/>
      <c r="AK183" s="50"/>
      <c r="AL183" s="50"/>
      <c r="AM183" s="50"/>
    </row>
    <row r="184" spans="1:39" x14ac:dyDescent="0.3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  <c r="AD184" s="50"/>
      <c r="AE184" s="50"/>
      <c r="AF184" s="50"/>
      <c r="AG184" s="50"/>
      <c r="AH184" s="50"/>
      <c r="AI184" s="50"/>
      <c r="AJ184" s="50"/>
      <c r="AK184" s="50"/>
      <c r="AL184" s="50"/>
      <c r="AM184" s="50"/>
    </row>
    <row r="185" spans="1:39" x14ac:dyDescent="0.3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50"/>
      <c r="AG185" s="50"/>
      <c r="AH185" s="50"/>
      <c r="AI185" s="50"/>
      <c r="AJ185" s="50"/>
      <c r="AK185" s="50"/>
      <c r="AL185" s="50"/>
      <c r="AM185" s="50"/>
    </row>
    <row r="186" spans="1:39" x14ac:dyDescent="0.3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50"/>
      <c r="AG186" s="50"/>
      <c r="AH186" s="50"/>
      <c r="AI186" s="50"/>
      <c r="AJ186" s="50"/>
      <c r="AK186" s="50"/>
      <c r="AL186" s="50"/>
      <c r="AM186" s="50"/>
    </row>
    <row r="187" spans="1:39" x14ac:dyDescent="0.3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  <c r="AD187" s="50"/>
      <c r="AE187" s="50"/>
      <c r="AF187" s="50"/>
      <c r="AG187" s="50"/>
      <c r="AH187" s="50"/>
      <c r="AI187" s="50"/>
      <c r="AJ187" s="50"/>
      <c r="AK187" s="50"/>
      <c r="AL187" s="50"/>
      <c r="AM187" s="50"/>
    </row>
    <row r="188" spans="1:39" x14ac:dyDescent="0.3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  <c r="AF188" s="50"/>
      <c r="AG188" s="50"/>
      <c r="AH188" s="50"/>
      <c r="AI188" s="50"/>
      <c r="AJ188" s="50"/>
      <c r="AK188" s="50"/>
      <c r="AL188" s="50"/>
      <c r="AM188" s="50"/>
    </row>
    <row r="189" spans="1:39" x14ac:dyDescent="0.3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50"/>
      <c r="AG189" s="50"/>
      <c r="AH189" s="50"/>
      <c r="AI189" s="50"/>
      <c r="AJ189" s="50"/>
      <c r="AK189" s="50"/>
      <c r="AL189" s="50"/>
      <c r="AM189" s="50"/>
    </row>
    <row r="190" spans="1:39" x14ac:dyDescent="0.3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  <c r="AF190" s="50"/>
      <c r="AG190" s="50"/>
      <c r="AH190" s="50"/>
      <c r="AI190" s="50"/>
      <c r="AJ190" s="50"/>
      <c r="AK190" s="50"/>
      <c r="AL190" s="50"/>
      <c r="AM190" s="50"/>
    </row>
    <row r="191" spans="1:39" x14ac:dyDescent="0.3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  <c r="AC191" s="50"/>
      <c r="AD191" s="50"/>
      <c r="AE191" s="50"/>
      <c r="AF191" s="50"/>
      <c r="AG191" s="50"/>
      <c r="AH191" s="50"/>
      <c r="AI191" s="50"/>
      <c r="AJ191" s="50"/>
      <c r="AK191" s="50"/>
      <c r="AL191" s="50"/>
      <c r="AM191" s="50"/>
    </row>
    <row r="192" spans="1:39" x14ac:dyDescent="0.3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  <c r="AC192" s="50"/>
      <c r="AD192" s="50"/>
      <c r="AE192" s="50"/>
      <c r="AF192" s="50"/>
      <c r="AG192" s="50"/>
      <c r="AH192" s="50"/>
      <c r="AI192" s="50"/>
      <c r="AJ192" s="50"/>
      <c r="AK192" s="50"/>
      <c r="AL192" s="50"/>
      <c r="AM192" s="50"/>
    </row>
    <row r="193" spans="1:39" x14ac:dyDescent="0.3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  <c r="AE193" s="50"/>
      <c r="AF193" s="50"/>
      <c r="AG193" s="50"/>
      <c r="AH193" s="50"/>
      <c r="AI193" s="50"/>
      <c r="AJ193" s="50"/>
      <c r="AK193" s="50"/>
      <c r="AL193" s="50"/>
      <c r="AM193" s="50"/>
    </row>
    <row r="194" spans="1:39" x14ac:dyDescent="0.3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  <c r="AD194" s="50"/>
      <c r="AE194" s="50"/>
      <c r="AF194" s="50"/>
      <c r="AG194" s="50"/>
      <c r="AH194" s="50"/>
      <c r="AI194" s="50"/>
      <c r="AJ194" s="50"/>
      <c r="AK194" s="50"/>
      <c r="AL194" s="50"/>
      <c r="AM194" s="50"/>
    </row>
    <row r="195" spans="1:39" x14ac:dyDescent="0.3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50"/>
      <c r="AE195" s="50"/>
      <c r="AF195" s="50"/>
      <c r="AG195" s="50"/>
      <c r="AH195" s="50"/>
      <c r="AI195" s="50"/>
      <c r="AJ195" s="50"/>
      <c r="AK195" s="50"/>
      <c r="AL195" s="50"/>
      <c r="AM195" s="50"/>
    </row>
    <row r="196" spans="1:39" x14ac:dyDescent="0.3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  <c r="AC196" s="50"/>
      <c r="AD196" s="50"/>
      <c r="AE196" s="50"/>
      <c r="AF196" s="50"/>
      <c r="AG196" s="50"/>
      <c r="AH196" s="50"/>
      <c r="AI196" s="50"/>
      <c r="AJ196" s="50"/>
      <c r="AK196" s="50"/>
      <c r="AL196" s="50"/>
      <c r="AM196" s="50"/>
    </row>
    <row r="197" spans="1:39" x14ac:dyDescent="0.3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50"/>
      <c r="AE197" s="50"/>
      <c r="AF197" s="50"/>
      <c r="AG197" s="50"/>
      <c r="AH197" s="50"/>
      <c r="AI197" s="50"/>
      <c r="AJ197" s="50"/>
      <c r="AK197" s="50"/>
      <c r="AL197" s="50"/>
      <c r="AM197" s="50"/>
    </row>
    <row r="198" spans="1:39" x14ac:dyDescent="0.3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  <c r="AD198" s="50"/>
      <c r="AE198" s="50"/>
      <c r="AF198" s="50"/>
      <c r="AG198" s="50"/>
      <c r="AH198" s="50"/>
      <c r="AI198" s="50"/>
      <c r="AJ198" s="50"/>
      <c r="AK198" s="50"/>
      <c r="AL198" s="50"/>
      <c r="AM198" s="50"/>
    </row>
    <row r="199" spans="1:39" x14ac:dyDescent="0.3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50"/>
      <c r="AE199" s="50"/>
      <c r="AF199" s="50"/>
      <c r="AG199" s="50"/>
      <c r="AH199" s="50"/>
      <c r="AI199" s="50"/>
      <c r="AJ199" s="50"/>
      <c r="AK199" s="50"/>
      <c r="AL199" s="50"/>
      <c r="AM199" s="50"/>
    </row>
    <row r="200" spans="1:39" x14ac:dyDescent="0.3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  <c r="AE200" s="50"/>
      <c r="AF200" s="50"/>
      <c r="AG200" s="50"/>
      <c r="AH200" s="50"/>
      <c r="AI200" s="50"/>
      <c r="AJ200" s="50"/>
      <c r="AK200" s="50"/>
      <c r="AL200" s="50"/>
      <c r="AM200" s="50"/>
    </row>
    <row r="201" spans="1:39" x14ac:dyDescent="0.3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50"/>
      <c r="AE201" s="50"/>
      <c r="AF201" s="50"/>
      <c r="AG201" s="50"/>
      <c r="AH201" s="50"/>
      <c r="AI201" s="50"/>
      <c r="AJ201" s="50"/>
      <c r="AK201" s="50"/>
      <c r="AL201" s="50"/>
      <c r="AM201" s="50"/>
    </row>
    <row r="202" spans="1:39" x14ac:dyDescent="0.3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  <c r="AD202" s="50"/>
      <c r="AE202" s="50"/>
      <c r="AF202" s="50"/>
      <c r="AG202" s="50"/>
      <c r="AH202" s="50"/>
      <c r="AI202" s="50"/>
      <c r="AJ202" s="50"/>
      <c r="AK202" s="50"/>
      <c r="AL202" s="50"/>
      <c r="AM202" s="50"/>
    </row>
    <row r="203" spans="1:39" x14ac:dyDescent="0.3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  <c r="AE203" s="50"/>
      <c r="AF203" s="50"/>
      <c r="AG203" s="50"/>
      <c r="AH203" s="50"/>
      <c r="AI203" s="50"/>
      <c r="AJ203" s="50"/>
      <c r="AK203" s="50"/>
      <c r="AL203" s="50"/>
      <c r="AM203" s="50"/>
    </row>
    <row r="204" spans="1:39" x14ac:dyDescent="0.3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50"/>
      <c r="AE204" s="50"/>
      <c r="AF204" s="50"/>
      <c r="AG204" s="50"/>
      <c r="AH204" s="50"/>
      <c r="AI204" s="50"/>
      <c r="AJ204" s="50"/>
      <c r="AK204" s="50"/>
      <c r="AL204" s="50"/>
      <c r="AM204" s="50"/>
    </row>
    <row r="205" spans="1:39" x14ac:dyDescent="0.3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  <c r="AC205" s="50"/>
      <c r="AD205" s="50"/>
      <c r="AE205" s="50"/>
      <c r="AF205" s="50"/>
      <c r="AG205" s="50"/>
      <c r="AH205" s="50"/>
      <c r="AI205" s="50"/>
      <c r="AJ205" s="50"/>
      <c r="AK205" s="50"/>
      <c r="AL205" s="50"/>
      <c r="AM205" s="50"/>
    </row>
    <row r="206" spans="1:39" x14ac:dyDescent="0.3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  <c r="AC206" s="50"/>
      <c r="AD206" s="50"/>
      <c r="AE206" s="50"/>
      <c r="AF206" s="50"/>
      <c r="AG206" s="50"/>
      <c r="AH206" s="50"/>
      <c r="AI206" s="50"/>
      <c r="AJ206" s="50"/>
      <c r="AK206" s="50"/>
      <c r="AL206" s="50"/>
      <c r="AM206" s="50"/>
    </row>
    <row r="207" spans="1:39" x14ac:dyDescent="0.3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  <c r="AC207" s="50"/>
      <c r="AD207" s="50"/>
      <c r="AE207" s="50"/>
      <c r="AF207" s="50"/>
      <c r="AG207" s="50"/>
      <c r="AH207" s="50"/>
      <c r="AI207" s="50"/>
      <c r="AJ207" s="50"/>
      <c r="AK207" s="50"/>
      <c r="AL207" s="50"/>
      <c r="AM207" s="50"/>
    </row>
    <row r="208" spans="1:39" x14ac:dyDescent="0.3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  <c r="AC208" s="50"/>
      <c r="AD208" s="50"/>
      <c r="AE208" s="50"/>
      <c r="AF208" s="50"/>
      <c r="AG208" s="50"/>
      <c r="AH208" s="50"/>
      <c r="AI208" s="50"/>
      <c r="AJ208" s="50"/>
      <c r="AK208" s="50"/>
      <c r="AL208" s="50"/>
      <c r="AM208" s="50"/>
    </row>
    <row r="209" spans="1:39" x14ac:dyDescent="0.3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  <c r="AD209" s="50"/>
      <c r="AE209" s="50"/>
      <c r="AF209" s="50"/>
      <c r="AG209" s="50"/>
      <c r="AH209" s="50"/>
      <c r="AI209" s="50"/>
      <c r="AJ209" s="50"/>
      <c r="AK209" s="50"/>
      <c r="AL209" s="50"/>
      <c r="AM209" s="50"/>
    </row>
    <row r="210" spans="1:39" x14ac:dyDescent="0.3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50"/>
      <c r="AE210" s="50"/>
      <c r="AF210" s="50"/>
      <c r="AG210" s="50"/>
      <c r="AH210" s="50"/>
      <c r="AI210" s="50"/>
      <c r="AJ210" s="50"/>
      <c r="AK210" s="50"/>
      <c r="AL210" s="50"/>
      <c r="AM210" s="50"/>
    </row>
    <row r="211" spans="1:39" x14ac:dyDescent="0.3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0"/>
      <c r="AE211" s="50"/>
      <c r="AF211" s="50"/>
      <c r="AG211" s="50"/>
      <c r="AH211" s="50"/>
      <c r="AI211" s="50"/>
      <c r="AJ211" s="50"/>
      <c r="AK211" s="50"/>
      <c r="AL211" s="50"/>
      <c r="AM211" s="50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E55D7-FFA4-4D2D-AC1E-3733B0D0D384}">
  <dimension ref="B3:L34"/>
  <sheetViews>
    <sheetView workbookViewId="0">
      <selection activeCell="D24" sqref="D24"/>
    </sheetView>
  </sheetViews>
  <sheetFormatPr defaultRowHeight="14.4" x14ac:dyDescent="0.3"/>
  <cols>
    <col min="2" max="2" width="21.33203125" customWidth="1"/>
    <col min="3" max="4" width="14.21875" customWidth="1"/>
  </cols>
  <sheetData>
    <row r="3" spans="2:12" ht="15.6" x14ac:dyDescent="0.3">
      <c r="B3" s="2"/>
      <c r="C3" s="2"/>
      <c r="D3" s="2" t="s">
        <v>374</v>
      </c>
      <c r="E3" s="2">
        <v>500</v>
      </c>
    </row>
    <row r="4" spans="2:12" ht="15.6" x14ac:dyDescent="0.3">
      <c r="B4" s="119" t="s">
        <v>371</v>
      </c>
      <c r="C4" s="119"/>
      <c r="D4" s="2"/>
      <c r="E4" s="2"/>
    </row>
    <row r="5" spans="2:12" ht="15.6" x14ac:dyDescent="0.3">
      <c r="B5" s="2" t="s">
        <v>372</v>
      </c>
      <c r="C5" s="2" t="s">
        <v>373</v>
      </c>
      <c r="D5" s="2" t="s">
        <v>375</v>
      </c>
      <c r="E5" s="2"/>
    </row>
    <row r="6" spans="2:12" ht="62.4" x14ac:dyDescent="0.3">
      <c r="B6" s="16" t="s">
        <v>0</v>
      </c>
      <c r="C6" s="2">
        <v>0</v>
      </c>
      <c r="D6">
        <f t="shared" ref="D6:D34" si="0">$E$3-C6</f>
        <v>500</v>
      </c>
      <c r="J6" s="16" t="s">
        <v>0</v>
      </c>
      <c r="K6" s="2">
        <v>0</v>
      </c>
      <c r="L6">
        <f t="shared" ref="L6:L34" si="1">$E$3-K6</f>
        <v>500</v>
      </c>
    </row>
    <row r="7" spans="2:12" ht="93.6" x14ac:dyDescent="0.3">
      <c r="B7" s="16" t="s">
        <v>1</v>
      </c>
      <c r="C7" s="2">
        <v>0</v>
      </c>
      <c r="D7">
        <f t="shared" si="0"/>
        <v>500</v>
      </c>
      <c r="E7" s="2"/>
      <c r="J7" s="16" t="s">
        <v>1</v>
      </c>
      <c r="K7" s="2">
        <v>0</v>
      </c>
      <c r="L7">
        <f t="shared" si="1"/>
        <v>500</v>
      </c>
    </row>
    <row r="8" spans="2:12" ht="15.6" x14ac:dyDescent="0.3">
      <c r="B8" s="3" t="s">
        <v>2</v>
      </c>
      <c r="C8" s="2">
        <v>17</v>
      </c>
      <c r="D8">
        <f t="shared" si="0"/>
        <v>483</v>
      </c>
      <c r="E8" s="2"/>
      <c r="J8" s="4" t="s">
        <v>17</v>
      </c>
      <c r="K8" s="2">
        <v>0</v>
      </c>
      <c r="L8">
        <f t="shared" si="1"/>
        <v>500</v>
      </c>
    </row>
    <row r="9" spans="2:12" ht="31.2" x14ac:dyDescent="0.3">
      <c r="B9" s="3" t="s">
        <v>3</v>
      </c>
      <c r="C9" s="2">
        <v>36</v>
      </c>
      <c r="D9">
        <f t="shared" si="0"/>
        <v>464</v>
      </c>
      <c r="E9" s="2"/>
      <c r="J9" s="4" t="s">
        <v>18</v>
      </c>
      <c r="K9" s="2">
        <v>0</v>
      </c>
      <c r="L9">
        <f t="shared" si="1"/>
        <v>500</v>
      </c>
    </row>
    <row r="10" spans="2:12" ht="46.8" x14ac:dyDescent="0.3">
      <c r="B10" s="3" t="s">
        <v>4</v>
      </c>
      <c r="C10" s="2">
        <v>25</v>
      </c>
      <c r="D10">
        <f t="shared" si="0"/>
        <v>475</v>
      </c>
      <c r="E10" s="2"/>
      <c r="J10" s="4" t="s">
        <v>19</v>
      </c>
      <c r="K10" s="2">
        <v>0</v>
      </c>
      <c r="L10">
        <f t="shared" si="1"/>
        <v>500</v>
      </c>
    </row>
    <row r="11" spans="2:12" ht="62.4" x14ac:dyDescent="0.3">
      <c r="B11" s="3" t="s">
        <v>5</v>
      </c>
      <c r="C11" s="2">
        <v>280</v>
      </c>
      <c r="D11">
        <f t="shared" si="0"/>
        <v>220</v>
      </c>
      <c r="E11" s="2"/>
      <c r="J11" s="5" t="s">
        <v>21</v>
      </c>
      <c r="K11" s="2">
        <v>0</v>
      </c>
      <c r="L11">
        <f t="shared" si="1"/>
        <v>500</v>
      </c>
    </row>
    <row r="12" spans="2:12" ht="31.2" x14ac:dyDescent="0.3">
      <c r="B12" s="3" t="s">
        <v>6</v>
      </c>
      <c r="C12" s="2">
        <v>40</v>
      </c>
      <c r="D12">
        <f t="shared" si="0"/>
        <v>460</v>
      </c>
      <c r="E12" s="2"/>
      <c r="J12" s="5" t="s">
        <v>22</v>
      </c>
      <c r="K12" s="2">
        <v>0</v>
      </c>
      <c r="L12">
        <f t="shared" si="1"/>
        <v>500</v>
      </c>
    </row>
    <row r="13" spans="2:12" ht="31.2" x14ac:dyDescent="0.3">
      <c r="B13" s="3" t="s">
        <v>7</v>
      </c>
      <c r="C13" s="2">
        <v>321</v>
      </c>
      <c r="D13">
        <f t="shared" si="0"/>
        <v>179</v>
      </c>
      <c r="E13" s="2"/>
      <c r="J13" s="5" t="s">
        <v>23</v>
      </c>
      <c r="K13" s="2">
        <v>0</v>
      </c>
      <c r="L13">
        <f t="shared" si="1"/>
        <v>500</v>
      </c>
    </row>
    <row r="14" spans="2:12" ht="31.2" x14ac:dyDescent="0.3">
      <c r="B14" s="3" t="s">
        <v>8</v>
      </c>
      <c r="C14" s="2">
        <v>321</v>
      </c>
      <c r="D14">
        <f t="shared" si="0"/>
        <v>179</v>
      </c>
      <c r="E14" s="2"/>
      <c r="J14" s="5" t="s">
        <v>26</v>
      </c>
      <c r="K14" s="2">
        <v>0</v>
      </c>
      <c r="L14">
        <f t="shared" si="1"/>
        <v>500</v>
      </c>
    </row>
    <row r="15" spans="2:12" ht="46.8" x14ac:dyDescent="0.3">
      <c r="B15" s="3" t="s">
        <v>9</v>
      </c>
      <c r="C15" s="2">
        <v>241</v>
      </c>
      <c r="D15">
        <f t="shared" si="0"/>
        <v>259</v>
      </c>
      <c r="E15" s="2"/>
      <c r="J15" s="3" t="s">
        <v>2</v>
      </c>
      <c r="K15" s="2">
        <v>17</v>
      </c>
      <c r="L15">
        <f t="shared" si="1"/>
        <v>483</v>
      </c>
    </row>
    <row r="16" spans="2:12" ht="31.2" x14ac:dyDescent="0.3">
      <c r="B16" s="3" t="s">
        <v>10</v>
      </c>
      <c r="C16" s="2">
        <v>321</v>
      </c>
      <c r="D16">
        <f t="shared" si="0"/>
        <v>179</v>
      </c>
      <c r="E16" s="2"/>
      <c r="J16" s="3" t="s">
        <v>4</v>
      </c>
      <c r="K16" s="2">
        <v>25</v>
      </c>
      <c r="L16">
        <f t="shared" si="1"/>
        <v>475</v>
      </c>
    </row>
    <row r="17" spans="2:12" ht="62.4" x14ac:dyDescent="0.3">
      <c r="B17" s="3" t="s">
        <v>11</v>
      </c>
      <c r="C17" s="2">
        <v>140</v>
      </c>
      <c r="D17">
        <f t="shared" si="0"/>
        <v>360</v>
      </c>
      <c r="E17" s="2"/>
      <c r="J17" s="3" t="s">
        <v>3</v>
      </c>
      <c r="K17" s="2">
        <v>36</v>
      </c>
      <c r="L17">
        <f t="shared" si="1"/>
        <v>464</v>
      </c>
    </row>
    <row r="18" spans="2:12" ht="31.2" x14ac:dyDescent="0.3">
      <c r="B18" s="3" t="s">
        <v>12</v>
      </c>
      <c r="C18" s="2">
        <v>197</v>
      </c>
      <c r="D18">
        <f t="shared" si="0"/>
        <v>303</v>
      </c>
      <c r="E18" s="2"/>
      <c r="J18" s="3" t="s">
        <v>6</v>
      </c>
      <c r="K18" s="2">
        <v>40</v>
      </c>
      <c r="L18">
        <f t="shared" si="1"/>
        <v>460</v>
      </c>
    </row>
    <row r="19" spans="2:12" ht="62.4" x14ac:dyDescent="0.3">
      <c r="B19" s="3" t="s">
        <v>13</v>
      </c>
      <c r="C19" s="2">
        <v>184</v>
      </c>
      <c r="D19">
        <f t="shared" si="0"/>
        <v>316</v>
      </c>
      <c r="E19" s="2"/>
      <c r="J19" s="5" t="s">
        <v>24</v>
      </c>
      <c r="K19" s="2">
        <v>116</v>
      </c>
      <c r="L19">
        <f t="shared" si="1"/>
        <v>384</v>
      </c>
    </row>
    <row r="20" spans="2:12" ht="46.8" x14ac:dyDescent="0.3">
      <c r="B20" s="3" t="s">
        <v>14</v>
      </c>
      <c r="C20" s="2">
        <v>243</v>
      </c>
      <c r="D20">
        <f t="shared" si="0"/>
        <v>257</v>
      </c>
      <c r="E20" s="2"/>
      <c r="J20" s="3" t="s">
        <v>11</v>
      </c>
      <c r="K20" s="2">
        <v>140</v>
      </c>
      <c r="L20">
        <f t="shared" si="1"/>
        <v>360</v>
      </c>
    </row>
    <row r="21" spans="2:12" ht="46.8" x14ac:dyDescent="0.3">
      <c r="B21" s="3" t="s">
        <v>15</v>
      </c>
      <c r="C21" s="2">
        <v>243</v>
      </c>
      <c r="D21">
        <f t="shared" si="0"/>
        <v>257</v>
      </c>
      <c r="E21" s="2"/>
      <c r="J21" s="3" t="s">
        <v>13</v>
      </c>
      <c r="K21" s="2">
        <v>184</v>
      </c>
      <c r="L21">
        <f t="shared" si="1"/>
        <v>316</v>
      </c>
    </row>
    <row r="22" spans="2:12" ht="46.8" x14ac:dyDescent="0.3">
      <c r="B22" s="3" t="s">
        <v>44</v>
      </c>
      <c r="C22" s="2">
        <v>204</v>
      </c>
      <c r="D22">
        <f t="shared" si="0"/>
        <v>296</v>
      </c>
      <c r="E22" s="2"/>
      <c r="J22" s="3" t="s">
        <v>12</v>
      </c>
      <c r="K22" s="2">
        <v>197</v>
      </c>
      <c r="L22">
        <f t="shared" si="1"/>
        <v>303</v>
      </c>
    </row>
    <row r="23" spans="2:12" ht="78" x14ac:dyDescent="0.3">
      <c r="B23" s="3" t="s">
        <v>30</v>
      </c>
      <c r="C23" s="2">
        <v>221</v>
      </c>
      <c r="D23">
        <f t="shared" si="0"/>
        <v>279</v>
      </c>
      <c r="E23" s="2"/>
      <c r="J23" s="3" t="s">
        <v>44</v>
      </c>
      <c r="K23" s="2">
        <v>204</v>
      </c>
      <c r="L23">
        <f t="shared" si="1"/>
        <v>296</v>
      </c>
    </row>
    <row r="24" spans="2:12" ht="46.8" x14ac:dyDescent="0.3">
      <c r="B24" s="3" t="s">
        <v>16</v>
      </c>
      <c r="C24" s="2">
        <v>318</v>
      </c>
      <c r="D24">
        <f t="shared" si="0"/>
        <v>182</v>
      </c>
      <c r="E24" s="2"/>
      <c r="J24" s="3" t="s">
        <v>30</v>
      </c>
      <c r="K24" s="2">
        <v>221</v>
      </c>
      <c r="L24">
        <f t="shared" si="1"/>
        <v>279</v>
      </c>
    </row>
    <row r="25" spans="2:12" ht="15.6" x14ac:dyDescent="0.3">
      <c r="B25" s="4" t="s">
        <v>17</v>
      </c>
      <c r="C25" s="2">
        <v>0</v>
      </c>
      <c r="D25">
        <f t="shared" si="0"/>
        <v>500</v>
      </c>
      <c r="E25" s="2"/>
      <c r="J25" s="5" t="s">
        <v>52</v>
      </c>
      <c r="K25" s="2">
        <v>230</v>
      </c>
      <c r="L25">
        <f t="shared" si="1"/>
        <v>270</v>
      </c>
    </row>
    <row r="26" spans="2:12" ht="62.4" x14ac:dyDescent="0.3">
      <c r="B26" s="4" t="s">
        <v>18</v>
      </c>
      <c r="C26" s="2">
        <v>0</v>
      </c>
      <c r="D26">
        <f t="shared" si="0"/>
        <v>500</v>
      </c>
      <c r="E26" s="2"/>
      <c r="J26" s="3" t="s">
        <v>9</v>
      </c>
      <c r="K26" s="2">
        <v>241</v>
      </c>
      <c r="L26">
        <f t="shared" si="1"/>
        <v>259</v>
      </c>
    </row>
    <row r="27" spans="2:12" ht="15.6" x14ac:dyDescent="0.3">
      <c r="B27" s="4" t="s">
        <v>19</v>
      </c>
      <c r="C27" s="2">
        <v>0</v>
      </c>
      <c r="D27">
        <f t="shared" si="0"/>
        <v>500</v>
      </c>
      <c r="E27" s="2"/>
      <c r="J27" s="3" t="s">
        <v>14</v>
      </c>
      <c r="K27" s="2">
        <v>243</v>
      </c>
      <c r="L27">
        <f t="shared" si="1"/>
        <v>257</v>
      </c>
    </row>
    <row r="28" spans="2:12" ht="15.6" x14ac:dyDescent="0.3">
      <c r="B28" s="4" t="s">
        <v>20</v>
      </c>
      <c r="C28" s="2">
        <v>279</v>
      </c>
      <c r="D28">
        <f t="shared" si="0"/>
        <v>221</v>
      </c>
      <c r="E28" s="2"/>
      <c r="J28" s="3" t="s">
        <v>15</v>
      </c>
      <c r="K28" s="2">
        <v>243</v>
      </c>
      <c r="L28">
        <f t="shared" si="1"/>
        <v>257</v>
      </c>
    </row>
    <row r="29" spans="2:12" ht="31.2" x14ac:dyDescent="0.3">
      <c r="B29" s="5" t="s">
        <v>21</v>
      </c>
      <c r="C29" s="2">
        <v>0</v>
      </c>
      <c r="D29">
        <f t="shared" si="0"/>
        <v>500</v>
      </c>
      <c r="E29" s="2"/>
      <c r="J29" s="4" t="s">
        <v>20</v>
      </c>
      <c r="K29" s="2">
        <v>279</v>
      </c>
      <c r="L29">
        <f t="shared" si="1"/>
        <v>221</v>
      </c>
    </row>
    <row r="30" spans="2:12" ht="31.2" x14ac:dyDescent="0.3">
      <c r="B30" s="5" t="s">
        <v>22</v>
      </c>
      <c r="C30" s="2">
        <v>0</v>
      </c>
      <c r="D30">
        <f t="shared" si="0"/>
        <v>500</v>
      </c>
      <c r="E30" s="2"/>
      <c r="J30" s="3" t="s">
        <v>5</v>
      </c>
      <c r="K30" s="2">
        <v>280</v>
      </c>
      <c r="L30">
        <f t="shared" si="1"/>
        <v>220</v>
      </c>
    </row>
    <row r="31" spans="2:12" ht="62.4" x14ac:dyDescent="0.3">
      <c r="B31" s="5" t="s">
        <v>23</v>
      </c>
      <c r="C31" s="2">
        <v>0</v>
      </c>
      <c r="D31">
        <f t="shared" si="0"/>
        <v>500</v>
      </c>
      <c r="E31" s="2"/>
      <c r="J31" s="3" t="s">
        <v>16</v>
      </c>
      <c r="K31" s="2">
        <v>318</v>
      </c>
      <c r="L31">
        <f t="shared" si="1"/>
        <v>182</v>
      </c>
    </row>
    <row r="32" spans="2:12" ht="31.2" x14ac:dyDescent="0.3">
      <c r="B32" s="5" t="s">
        <v>24</v>
      </c>
      <c r="C32" s="2">
        <v>116</v>
      </c>
      <c r="D32">
        <f t="shared" si="0"/>
        <v>384</v>
      </c>
      <c r="E32" s="2"/>
      <c r="J32" s="3" t="s">
        <v>7</v>
      </c>
      <c r="K32" s="2">
        <v>321</v>
      </c>
      <c r="L32">
        <f t="shared" si="1"/>
        <v>179</v>
      </c>
    </row>
    <row r="33" spans="2:12" ht="31.2" x14ac:dyDescent="0.3">
      <c r="B33" s="5" t="s">
        <v>52</v>
      </c>
      <c r="C33" s="2">
        <v>230</v>
      </c>
      <c r="D33">
        <f t="shared" si="0"/>
        <v>270</v>
      </c>
      <c r="E33" s="2"/>
      <c r="J33" s="3" t="s">
        <v>8</v>
      </c>
      <c r="K33" s="2">
        <v>321</v>
      </c>
      <c r="L33">
        <f t="shared" si="1"/>
        <v>179</v>
      </c>
    </row>
    <row r="34" spans="2:12" ht="62.4" x14ac:dyDescent="0.3">
      <c r="B34" s="5" t="s">
        <v>26</v>
      </c>
      <c r="C34" s="2">
        <v>0</v>
      </c>
      <c r="D34">
        <f t="shared" si="0"/>
        <v>500</v>
      </c>
      <c r="E34" s="2"/>
      <c r="J34" s="3" t="s">
        <v>10</v>
      </c>
      <c r="K34" s="2">
        <v>321</v>
      </c>
      <c r="L34">
        <f t="shared" si="1"/>
        <v>179</v>
      </c>
    </row>
  </sheetData>
  <sortState xmlns:xlrd2="http://schemas.microsoft.com/office/spreadsheetml/2017/richdata2" ref="J8:L34">
    <sortCondition descending="1" ref="L6:L34"/>
  </sortState>
  <mergeCells count="1">
    <mergeCell ref="B4:C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29D5A-6B98-4F9F-844E-03B95A70572A}">
  <dimension ref="B2:B3"/>
  <sheetViews>
    <sheetView workbookViewId="0">
      <selection activeCell="B4" sqref="B4"/>
    </sheetView>
  </sheetViews>
  <sheetFormatPr defaultRowHeight="14.4" x14ac:dyDescent="0.3"/>
  <sheetData>
    <row r="2" spans="2:2" x14ac:dyDescent="0.3">
      <c r="B2" t="s">
        <v>379</v>
      </c>
    </row>
    <row r="3" spans="2:2" x14ac:dyDescent="0.3">
      <c r="B3" t="s">
        <v>380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3E4C1-5EBB-42AD-A73A-B768CE26B884}">
  <dimension ref="A1:BT574"/>
  <sheetViews>
    <sheetView topLeftCell="AU1" workbookViewId="0">
      <pane ySplit="1" topLeftCell="A10" activePane="bottomLeft" state="frozen"/>
      <selection activeCell="W1" sqref="W1"/>
      <selection pane="bottomLeft" activeCell="BB18" sqref="BB18"/>
    </sheetView>
  </sheetViews>
  <sheetFormatPr defaultColWidth="15.77734375" defaultRowHeight="15.6" x14ac:dyDescent="0.3"/>
  <cols>
    <col min="1" max="2" width="15.77734375" style="11"/>
    <col min="3" max="33" width="15.77734375" style="10"/>
    <col min="34" max="34" width="94.109375" style="10" bestFit="1" customWidth="1"/>
    <col min="35" max="42" width="15.77734375" style="2"/>
    <col min="43" max="43" width="29.109375" style="2" customWidth="1"/>
    <col min="44" max="16384" width="15.77734375" style="2"/>
  </cols>
  <sheetData>
    <row r="1" spans="1:72" s="1" customFormat="1" ht="46.8" x14ac:dyDescent="0.3">
      <c r="A1" s="16" t="s">
        <v>0</v>
      </c>
      <c r="B1" s="16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44</v>
      </c>
      <c r="R1" s="3" t="s">
        <v>30</v>
      </c>
      <c r="S1" s="3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52</v>
      </c>
      <c r="AC1" s="6" t="s">
        <v>26</v>
      </c>
      <c r="AD1" s="7" t="s">
        <v>31</v>
      </c>
      <c r="AE1" s="8" t="s">
        <v>25</v>
      </c>
      <c r="AF1" s="9" t="s">
        <v>27</v>
      </c>
      <c r="AG1" s="9" t="s">
        <v>28</v>
      </c>
      <c r="AH1" s="9" t="s">
        <v>29</v>
      </c>
      <c r="AI1" s="58" t="s">
        <v>376</v>
      </c>
      <c r="AJ1" s="58" t="s">
        <v>377</v>
      </c>
      <c r="AK1" s="58" t="s">
        <v>378</v>
      </c>
    </row>
    <row r="2" spans="1:72" ht="16.2" thickBot="1" x14ac:dyDescent="0.35">
      <c r="A2" s="11">
        <v>12.6</v>
      </c>
      <c r="B2" s="11">
        <v>700</v>
      </c>
      <c r="C2" s="10" t="s">
        <v>33</v>
      </c>
      <c r="D2" s="10" t="s">
        <v>35</v>
      </c>
      <c r="E2" s="10" t="s">
        <v>170</v>
      </c>
      <c r="F2" s="10" t="s">
        <v>34</v>
      </c>
      <c r="G2" s="20">
        <v>0.16600000000000001</v>
      </c>
      <c r="H2" s="10" t="s">
        <v>34</v>
      </c>
      <c r="I2" s="10" t="s">
        <v>34</v>
      </c>
      <c r="J2" s="10">
        <v>1.64</v>
      </c>
      <c r="K2" s="10" t="s">
        <v>34</v>
      </c>
      <c r="L2" s="10" t="s">
        <v>34</v>
      </c>
      <c r="M2" s="10" t="s">
        <v>34</v>
      </c>
      <c r="N2" s="20">
        <v>1560</v>
      </c>
      <c r="O2" s="10" t="s">
        <v>34</v>
      </c>
      <c r="P2" s="10" t="s">
        <v>34</v>
      </c>
      <c r="Q2" s="10" t="s">
        <v>34</v>
      </c>
      <c r="R2" s="10" t="s">
        <v>34</v>
      </c>
      <c r="S2" s="10" t="s">
        <v>34</v>
      </c>
      <c r="T2" s="10" t="s">
        <v>36</v>
      </c>
      <c r="U2" s="20" t="s">
        <v>37</v>
      </c>
      <c r="V2" s="20" t="s">
        <v>38</v>
      </c>
      <c r="W2" s="10">
        <v>10</v>
      </c>
      <c r="X2" s="10">
        <v>1</v>
      </c>
      <c r="Y2" s="10">
        <v>1</v>
      </c>
      <c r="Z2" s="10" t="s">
        <v>39</v>
      </c>
      <c r="AA2" s="10">
        <v>1.1000000000000001</v>
      </c>
      <c r="AC2" s="10" t="s">
        <v>40</v>
      </c>
      <c r="AD2" s="10" t="s">
        <v>32</v>
      </c>
      <c r="AE2" s="20">
        <f>0.5776</f>
        <v>0.5776</v>
      </c>
      <c r="AF2" s="10" t="s">
        <v>41</v>
      </c>
      <c r="AG2" s="10">
        <v>2010</v>
      </c>
      <c r="AH2" s="21" t="s">
        <v>42</v>
      </c>
      <c r="AI2" s="2">
        <v>49.33</v>
      </c>
      <c r="AJ2" s="2">
        <v>2.19</v>
      </c>
      <c r="AK2" s="2">
        <v>0.1</v>
      </c>
    </row>
    <row r="3" spans="1:72" ht="32.4" thickTop="1" thickBot="1" x14ac:dyDescent="0.35">
      <c r="A3" s="11">
        <v>13.2</v>
      </c>
      <c r="B3" s="11">
        <v>900</v>
      </c>
      <c r="C3" s="10" t="s">
        <v>33</v>
      </c>
      <c r="D3" s="10" t="s">
        <v>35</v>
      </c>
      <c r="E3" s="10" t="s">
        <v>170</v>
      </c>
      <c r="F3" s="10" t="s">
        <v>34</v>
      </c>
      <c r="G3" s="20">
        <v>0.16600000000000001</v>
      </c>
      <c r="H3" s="10" t="s">
        <v>34</v>
      </c>
      <c r="I3" s="10" t="s">
        <v>34</v>
      </c>
      <c r="J3" s="10">
        <v>1.64</v>
      </c>
      <c r="K3" s="10" t="s">
        <v>34</v>
      </c>
      <c r="L3" s="10" t="s">
        <v>34</v>
      </c>
      <c r="M3" s="10" t="s">
        <v>34</v>
      </c>
      <c r="N3" s="20">
        <v>1560</v>
      </c>
      <c r="O3" s="10" t="s">
        <v>34</v>
      </c>
      <c r="P3" s="10" t="s">
        <v>34</v>
      </c>
      <c r="Q3" s="10" t="s">
        <v>34</v>
      </c>
      <c r="R3" s="10" t="s">
        <v>34</v>
      </c>
      <c r="S3" s="10" t="s">
        <v>34</v>
      </c>
      <c r="T3" s="10" t="s">
        <v>36</v>
      </c>
      <c r="U3" s="20" t="s">
        <v>37</v>
      </c>
      <c r="V3" s="20" t="s">
        <v>38</v>
      </c>
      <c r="W3" s="10">
        <v>10</v>
      </c>
      <c r="X3" s="10">
        <v>1</v>
      </c>
      <c r="Y3" s="10">
        <v>1</v>
      </c>
      <c r="Z3" s="10" t="s">
        <v>39</v>
      </c>
      <c r="AA3" s="10">
        <v>1.1000000000000001</v>
      </c>
      <c r="AC3" s="10" t="s">
        <v>40</v>
      </c>
      <c r="AD3" s="10" t="s">
        <v>32</v>
      </c>
      <c r="AE3" s="20">
        <f t="shared" ref="AE3:AE40" si="0">0.5776</f>
        <v>0.5776</v>
      </c>
      <c r="AF3" s="10" t="s">
        <v>41</v>
      </c>
      <c r="AG3" s="10">
        <v>2010</v>
      </c>
      <c r="AH3" s="21" t="s">
        <v>42</v>
      </c>
      <c r="AI3" s="2">
        <v>49.33</v>
      </c>
      <c r="AJ3" s="2">
        <v>2.19</v>
      </c>
      <c r="AK3" s="2">
        <v>0.1</v>
      </c>
      <c r="AP3" s="2" t="s">
        <v>402</v>
      </c>
      <c r="AQ3" s="83" t="s">
        <v>400</v>
      </c>
      <c r="AR3" s="84" t="s">
        <v>401</v>
      </c>
      <c r="AS3" s="85" t="s">
        <v>400</v>
      </c>
      <c r="AT3" s="84" t="s">
        <v>401</v>
      </c>
      <c r="AU3" s="89" t="s">
        <v>374</v>
      </c>
      <c r="AV3" s="89">
        <v>572</v>
      </c>
    </row>
    <row r="4" spans="1:72" ht="16.2" thickTop="1" x14ac:dyDescent="0.3">
      <c r="A4" s="11">
        <v>13.8</v>
      </c>
      <c r="B4" s="11">
        <v>2100</v>
      </c>
      <c r="C4" s="10" t="s">
        <v>33</v>
      </c>
      <c r="D4" s="10" t="s">
        <v>35</v>
      </c>
      <c r="E4" s="10" t="s">
        <v>170</v>
      </c>
      <c r="F4" s="10" t="s">
        <v>34</v>
      </c>
      <c r="G4" s="20">
        <v>0.16600000000000001</v>
      </c>
      <c r="H4" s="10" t="s">
        <v>34</v>
      </c>
      <c r="I4" s="10" t="s">
        <v>34</v>
      </c>
      <c r="J4" s="10">
        <v>1.64</v>
      </c>
      <c r="K4" s="10" t="s">
        <v>34</v>
      </c>
      <c r="L4" s="10" t="s">
        <v>34</v>
      </c>
      <c r="M4" s="10" t="s">
        <v>34</v>
      </c>
      <c r="N4" s="20">
        <v>1560</v>
      </c>
      <c r="O4" s="10" t="s">
        <v>34</v>
      </c>
      <c r="P4" s="10" t="s">
        <v>34</v>
      </c>
      <c r="Q4" s="10" t="s">
        <v>34</v>
      </c>
      <c r="R4" s="10" t="s">
        <v>34</v>
      </c>
      <c r="S4" s="10" t="s">
        <v>34</v>
      </c>
      <c r="T4" s="10" t="s">
        <v>36</v>
      </c>
      <c r="U4" s="20" t="s">
        <v>37</v>
      </c>
      <c r="V4" s="20" t="s">
        <v>38</v>
      </c>
      <c r="W4" s="10">
        <v>10</v>
      </c>
      <c r="X4" s="10">
        <v>1</v>
      </c>
      <c r="Y4" s="10">
        <v>1</v>
      </c>
      <c r="Z4" s="10" t="s">
        <v>39</v>
      </c>
      <c r="AA4" s="10">
        <v>1.1000000000000001</v>
      </c>
      <c r="AC4" s="10" t="s">
        <v>40</v>
      </c>
      <c r="AD4" s="10" t="s">
        <v>32</v>
      </c>
      <c r="AE4" s="20">
        <f t="shared" si="0"/>
        <v>0.5776</v>
      </c>
      <c r="AF4" s="10" t="s">
        <v>41</v>
      </c>
      <c r="AG4" s="10">
        <v>2010</v>
      </c>
      <c r="AH4" s="21" t="s">
        <v>42</v>
      </c>
      <c r="AI4" s="2">
        <v>49.33</v>
      </c>
      <c r="AJ4" s="2">
        <v>2.19</v>
      </c>
      <c r="AK4" s="2">
        <v>0.1</v>
      </c>
      <c r="AP4" s="2">
        <v>1</v>
      </c>
      <c r="AQ4" s="80" t="s">
        <v>0</v>
      </c>
      <c r="AR4" s="81">
        <v>0</v>
      </c>
      <c r="AS4" s="82" t="s">
        <v>17</v>
      </c>
      <c r="AT4" s="81">
        <v>0</v>
      </c>
      <c r="AU4" s="2" t="s">
        <v>403</v>
      </c>
    </row>
    <row r="5" spans="1:72" ht="31.2" x14ac:dyDescent="0.3">
      <c r="A5" s="11">
        <v>14</v>
      </c>
      <c r="B5" s="11">
        <v>1200</v>
      </c>
      <c r="C5" s="10" t="s">
        <v>33</v>
      </c>
      <c r="D5" s="10" t="s">
        <v>35</v>
      </c>
      <c r="E5" s="10" t="s">
        <v>170</v>
      </c>
      <c r="F5" s="10" t="s">
        <v>34</v>
      </c>
      <c r="G5" s="20">
        <v>0.16600000000000001</v>
      </c>
      <c r="H5" s="10" t="s">
        <v>34</v>
      </c>
      <c r="I5" s="10" t="s">
        <v>34</v>
      </c>
      <c r="J5" s="10">
        <v>1.64</v>
      </c>
      <c r="K5" s="10" t="s">
        <v>34</v>
      </c>
      <c r="L5" s="10" t="s">
        <v>34</v>
      </c>
      <c r="M5" s="10" t="s">
        <v>34</v>
      </c>
      <c r="N5" s="20">
        <v>1560</v>
      </c>
      <c r="O5" s="10" t="s">
        <v>34</v>
      </c>
      <c r="P5" s="10" t="s">
        <v>34</v>
      </c>
      <c r="Q5" s="10" t="s">
        <v>34</v>
      </c>
      <c r="R5" s="10" t="s">
        <v>34</v>
      </c>
      <c r="S5" s="10" t="s">
        <v>34</v>
      </c>
      <c r="T5" s="10" t="s">
        <v>36</v>
      </c>
      <c r="U5" s="20" t="s">
        <v>37</v>
      </c>
      <c r="V5" s="20" t="s">
        <v>38</v>
      </c>
      <c r="W5" s="10">
        <v>10</v>
      </c>
      <c r="X5" s="10">
        <v>1</v>
      </c>
      <c r="Y5" s="10">
        <v>1</v>
      </c>
      <c r="Z5" s="10" t="s">
        <v>39</v>
      </c>
      <c r="AA5" s="10">
        <v>1.1000000000000001</v>
      </c>
      <c r="AC5" s="10" t="s">
        <v>40</v>
      </c>
      <c r="AD5" s="10" t="s">
        <v>32</v>
      </c>
      <c r="AE5" s="20">
        <f t="shared" si="0"/>
        <v>0.5776</v>
      </c>
      <c r="AF5" s="10" t="s">
        <v>41</v>
      </c>
      <c r="AG5" s="10">
        <v>2010</v>
      </c>
      <c r="AH5" s="21" t="s">
        <v>42</v>
      </c>
      <c r="AI5" s="2">
        <v>49.33</v>
      </c>
      <c r="AJ5" s="2">
        <v>2.19</v>
      </c>
      <c r="AK5" s="2">
        <v>0.1</v>
      </c>
      <c r="AP5" s="2">
        <v>2</v>
      </c>
      <c r="AQ5" s="76" t="s">
        <v>1</v>
      </c>
      <c r="AR5" s="75">
        <v>0</v>
      </c>
      <c r="AS5" s="74" t="s">
        <v>18</v>
      </c>
      <c r="AT5" s="75">
        <v>0</v>
      </c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</row>
    <row r="6" spans="1:72" ht="31.2" x14ac:dyDescent="0.3">
      <c r="A6" s="11">
        <v>14.6</v>
      </c>
      <c r="B6" s="11">
        <v>1500</v>
      </c>
      <c r="C6" s="10" t="s">
        <v>33</v>
      </c>
      <c r="D6" s="10" t="s">
        <v>35</v>
      </c>
      <c r="E6" s="10" t="s">
        <v>170</v>
      </c>
      <c r="F6" s="10" t="s">
        <v>34</v>
      </c>
      <c r="G6" s="20">
        <v>0.16600000000000001</v>
      </c>
      <c r="H6" s="10" t="s">
        <v>34</v>
      </c>
      <c r="I6" s="10" t="s">
        <v>34</v>
      </c>
      <c r="J6" s="10">
        <v>1.64</v>
      </c>
      <c r="K6" s="10" t="s">
        <v>34</v>
      </c>
      <c r="L6" s="10" t="s">
        <v>34</v>
      </c>
      <c r="M6" s="10" t="s">
        <v>34</v>
      </c>
      <c r="N6" s="20">
        <v>1560</v>
      </c>
      <c r="O6" s="10" t="s">
        <v>34</v>
      </c>
      <c r="P6" s="10" t="s">
        <v>34</v>
      </c>
      <c r="Q6" s="10" t="s">
        <v>34</v>
      </c>
      <c r="R6" s="10" t="s">
        <v>34</v>
      </c>
      <c r="S6" s="10" t="s">
        <v>34</v>
      </c>
      <c r="T6" s="10" t="s">
        <v>36</v>
      </c>
      <c r="U6" s="20" t="s">
        <v>37</v>
      </c>
      <c r="V6" s="20" t="s">
        <v>38</v>
      </c>
      <c r="W6" s="10">
        <v>10</v>
      </c>
      <c r="X6" s="10">
        <v>1</v>
      </c>
      <c r="Y6" s="10">
        <v>1</v>
      </c>
      <c r="Z6" s="10" t="s">
        <v>39</v>
      </c>
      <c r="AA6" s="10">
        <v>1.1000000000000001</v>
      </c>
      <c r="AC6" s="10" t="s">
        <v>40</v>
      </c>
      <c r="AD6" s="10" t="s">
        <v>32</v>
      </c>
      <c r="AE6" s="20">
        <f t="shared" si="0"/>
        <v>0.5776</v>
      </c>
      <c r="AF6" s="10" t="s">
        <v>41</v>
      </c>
      <c r="AG6" s="10">
        <v>2010</v>
      </c>
      <c r="AH6" s="21" t="s">
        <v>42</v>
      </c>
      <c r="AI6" s="2">
        <v>49.33</v>
      </c>
      <c r="AJ6" s="2">
        <v>2.19</v>
      </c>
      <c r="AK6" s="2">
        <v>0.1</v>
      </c>
      <c r="AP6" s="2">
        <v>3</v>
      </c>
      <c r="AQ6" s="76" t="s">
        <v>2</v>
      </c>
      <c r="AR6" s="75">
        <v>60</v>
      </c>
      <c r="AS6" s="74" t="s">
        <v>19</v>
      </c>
      <c r="AT6" s="75">
        <v>0</v>
      </c>
    </row>
    <row r="7" spans="1:72" x14ac:dyDescent="0.3">
      <c r="A7" s="11">
        <v>14</v>
      </c>
      <c r="B7" s="11">
        <v>1700</v>
      </c>
      <c r="C7" s="10" t="s">
        <v>33</v>
      </c>
      <c r="D7" s="10" t="s">
        <v>35</v>
      </c>
      <c r="E7" s="10" t="s">
        <v>170</v>
      </c>
      <c r="F7" s="10" t="s">
        <v>34</v>
      </c>
      <c r="G7" s="20">
        <v>0.16600000000000001</v>
      </c>
      <c r="H7" s="10" t="s">
        <v>34</v>
      </c>
      <c r="I7" s="10" t="s">
        <v>34</v>
      </c>
      <c r="J7" s="10">
        <v>1.64</v>
      </c>
      <c r="K7" s="10" t="s">
        <v>34</v>
      </c>
      <c r="L7" s="10" t="s">
        <v>34</v>
      </c>
      <c r="M7" s="10" t="s">
        <v>34</v>
      </c>
      <c r="N7" s="20">
        <v>1560</v>
      </c>
      <c r="O7" s="10" t="s">
        <v>34</v>
      </c>
      <c r="P7" s="10" t="s">
        <v>34</v>
      </c>
      <c r="Q7" s="10" t="s">
        <v>34</v>
      </c>
      <c r="R7" s="10" t="s">
        <v>34</v>
      </c>
      <c r="S7" s="10" t="s">
        <v>34</v>
      </c>
      <c r="T7" s="10" t="s">
        <v>36</v>
      </c>
      <c r="U7" s="20" t="s">
        <v>37</v>
      </c>
      <c r="V7" s="20" t="s">
        <v>38</v>
      </c>
      <c r="W7" s="10">
        <v>10</v>
      </c>
      <c r="X7" s="10">
        <v>1</v>
      </c>
      <c r="Y7" s="10">
        <v>1</v>
      </c>
      <c r="Z7" s="10" t="s">
        <v>39</v>
      </c>
      <c r="AA7" s="10">
        <v>1.1000000000000001</v>
      </c>
      <c r="AC7" s="10" t="s">
        <v>40</v>
      </c>
      <c r="AD7" s="10" t="s">
        <v>32</v>
      </c>
      <c r="AE7" s="20">
        <f t="shared" si="0"/>
        <v>0.5776</v>
      </c>
      <c r="AF7" s="10" t="s">
        <v>41</v>
      </c>
      <c r="AG7" s="10">
        <v>2010</v>
      </c>
      <c r="AH7" s="21" t="s">
        <v>42</v>
      </c>
      <c r="AI7" s="2">
        <v>49.33</v>
      </c>
      <c r="AJ7" s="2">
        <v>2.19</v>
      </c>
      <c r="AK7" s="2">
        <v>0.1</v>
      </c>
      <c r="AP7" s="2">
        <v>4</v>
      </c>
      <c r="AQ7" s="76" t="s">
        <v>3</v>
      </c>
      <c r="AR7" s="75">
        <v>36</v>
      </c>
      <c r="AS7" s="74" t="s">
        <v>20</v>
      </c>
      <c r="AT7" s="87">
        <v>279</v>
      </c>
    </row>
    <row r="8" spans="1:72" ht="46.8" x14ac:dyDescent="0.3">
      <c r="A8" s="11">
        <v>14.5</v>
      </c>
      <c r="B8" s="11">
        <v>1000</v>
      </c>
      <c r="C8" s="10" t="s">
        <v>33</v>
      </c>
      <c r="D8" s="10" t="s">
        <v>35</v>
      </c>
      <c r="E8" s="10" t="s">
        <v>170</v>
      </c>
      <c r="F8" s="10" t="s">
        <v>34</v>
      </c>
      <c r="G8" s="20">
        <v>0.16600000000000001</v>
      </c>
      <c r="H8" s="10" t="s">
        <v>34</v>
      </c>
      <c r="I8" s="10" t="s">
        <v>34</v>
      </c>
      <c r="J8" s="10">
        <v>1.64</v>
      </c>
      <c r="K8" s="10" t="s">
        <v>34</v>
      </c>
      <c r="L8" s="10" t="s">
        <v>34</v>
      </c>
      <c r="M8" s="10" t="s">
        <v>34</v>
      </c>
      <c r="N8" s="20">
        <v>1560</v>
      </c>
      <c r="O8" s="10" t="s">
        <v>34</v>
      </c>
      <c r="P8" s="10" t="s">
        <v>34</v>
      </c>
      <c r="Q8" s="10" t="s">
        <v>34</v>
      </c>
      <c r="R8" s="10" t="s">
        <v>34</v>
      </c>
      <c r="S8" s="10" t="s">
        <v>34</v>
      </c>
      <c r="T8" s="10" t="s">
        <v>36</v>
      </c>
      <c r="U8" s="20" t="s">
        <v>37</v>
      </c>
      <c r="V8" s="20" t="s">
        <v>38</v>
      </c>
      <c r="W8" s="10">
        <v>10</v>
      </c>
      <c r="X8" s="10">
        <v>1</v>
      </c>
      <c r="Y8" s="10">
        <v>1</v>
      </c>
      <c r="Z8" s="10" t="s">
        <v>39</v>
      </c>
      <c r="AA8" s="10">
        <v>1.1000000000000001</v>
      </c>
      <c r="AC8" s="10" t="s">
        <v>40</v>
      </c>
      <c r="AD8" s="10" t="s">
        <v>32</v>
      </c>
      <c r="AE8" s="20">
        <f t="shared" si="0"/>
        <v>0.5776</v>
      </c>
      <c r="AF8" s="10" t="s">
        <v>41</v>
      </c>
      <c r="AG8" s="10">
        <v>2010</v>
      </c>
      <c r="AH8" s="21" t="s">
        <v>42</v>
      </c>
      <c r="AI8" s="2">
        <v>49.33</v>
      </c>
      <c r="AJ8" s="2">
        <v>2.19</v>
      </c>
      <c r="AK8" s="2">
        <v>0.1</v>
      </c>
      <c r="AP8" s="2">
        <v>5</v>
      </c>
      <c r="AQ8" s="76" t="s">
        <v>4</v>
      </c>
      <c r="AR8" s="75">
        <v>25</v>
      </c>
      <c r="AS8" s="74" t="s">
        <v>21</v>
      </c>
      <c r="AT8" s="75">
        <v>0</v>
      </c>
    </row>
    <row r="9" spans="1:72" ht="31.2" x14ac:dyDescent="0.3">
      <c r="A9" s="11">
        <v>14.5</v>
      </c>
      <c r="B9" s="11">
        <v>1300</v>
      </c>
      <c r="C9" s="10" t="s">
        <v>33</v>
      </c>
      <c r="D9" s="10" t="s">
        <v>35</v>
      </c>
      <c r="E9" s="10" t="s">
        <v>170</v>
      </c>
      <c r="F9" s="10" t="s">
        <v>34</v>
      </c>
      <c r="G9" s="20">
        <v>0.16600000000000001</v>
      </c>
      <c r="H9" s="10" t="s">
        <v>34</v>
      </c>
      <c r="I9" s="10" t="s">
        <v>34</v>
      </c>
      <c r="J9" s="10">
        <v>1.64</v>
      </c>
      <c r="K9" s="10" t="s">
        <v>34</v>
      </c>
      <c r="L9" s="10" t="s">
        <v>34</v>
      </c>
      <c r="M9" s="10" t="s">
        <v>34</v>
      </c>
      <c r="N9" s="20">
        <v>1560</v>
      </c>
      <c r="O9" s="10" t="s">
        <v>34</v>
      </c>
      <c r="P9" s="10" t="s">
        <v>34</v>
      </c>
      <c r="Q9" s="10" t="s">
        <v>34</v>
      </c>
      <c r="R9" s="10" t="s">
        <v>34</v>
      </c>
      <c r="S9" s="10" t="s">
        <v>34</v>
      </c>
      <c r="T9" s="10" t="s">
        <v>36</v>
      </c>
      <c r="U9" s="20" t="s">
        <v>37</v>
      </c>
      <c r="V9" s="20" t="s">
        <v>38</v>
      </c>
      <c r="W9" s="10">
        <v>10</v>
      </c>
      <c r="X9" s="10">
        <v>1</v>
      </c>
      <c r="Y9" s="10">
        <v>1</v>
      </c>
      <c r="Z9" s="10" t="s">
        <v>39</v>
      </c>
      <c r="AA9" s="10">
        <v>1.1000000000000001</v>
      </c>
      <c r="AC9" s="10" t="s">
        <v>40</v>
      </c>
      <c r="AD9" s="10" t="s">
        <v>32</v>
      </c>
      <c r="AE9" s="20">
        <f t="shared" si="0"/>
        <v>0.5776</v>
      </c>
      <c r="AF9" s="10" t="s">
        <v>41</v>
      </c>
      <c r="AG9" s="10">
        <v>2010</v>
      </c>
      <c r="AH9" s="21" t="s">
        <v>42</v>
      </c>
      <c r="AI9" s="2">
        <v>49.33</v>
      </c>
      <c r="AJ9" s="2">
        <v>2.19</v>
      </c>
      <c r="AK9" s="2">
        <v>0.1</v>
      </c>
      <c r="AP9" s="2">
        <v>6</v>
      </c>
      <c r="AQ9" s="76" t="s">
        <v>5</v>
      </c>
      <c r="AR9" s="87">
        <v>326</v>
      </c>
      <c r="AS9" s="74" t="s">
        <v>22</v>
      </c>
      <c r="AT9" s="75">
        <v>0</v>
      </c>
      <c r="AV9" s="10" t="s">
        <v>404</v>
      </c>
      <c r="AW9" s="73" t="s">
        <v>0</v>
      </c>
      <c r="AY9" s="10"/>
      <c r="AZ9" s="10" t="s">
        <v>404</v>
      </c>
      <c r="BA9" s="10" t="s">
        <v>406</v>
      </c>
      <c r="BB9" s="10" t="s">
        <v>407</v>
      </c>
      <c r="BC9" s="10" t="s">
        <v>408</v>
      </c>
    </row>
    <row r="10" spans="1:72" ht="46.8" x14ac:dyDescent="0.3">
      <c r="A10" s="11">
        <v>14.5</v>
      </c>
      <c r="B10" s="11">
        <v>2200</v>
      </c>
      <c r="C10" s="10" t="s">
        <v>33</v>
      </c>
      <c r="D10" s="10" t="s">
        <v>35</v>
      </c>
      <c r="E10" s="10" t="s">
        <v>170</v>
      </c>
      <c r="F10" s="10" t="s">
        <v>34</v>
      </c>
      <c r="G10" s="20">
        <v>0.16600000000000001</v>
      </c>
      <c r="H10" s="10" t="s">
        <v>34</v>
      </c>
      <c r="I10" s="10" t="s">
        <v>34</v>
      </c>
      <c r="J10" s="10">
        <v>1.64</v>
      </c>
      <c r="K10" s="10" t="s">
        <v>34</v>
      </c>
      <c r="L10" s="10" t="s">
        <v>34</v>
      </c>
      <c r="M10" s="10" t="s">
        <v>34</v>
      </c>
      <c r="N10" s="20">
        <v>1560</v>
      </c>
      <c r="O10" s="10" t="s">
        <v>34</v>
      </c>
      <c r="P10" s="10" t="s">
        <v>34</v>
      </c>
      <c r="Q10" s="10" t="s">
        <v>34</v>
      </c>
      <c r="R10" s="10" t="s">
        <v>34</v>
      </c>
      <c r="S10" s="10" t="s">
        <v>34</v>
      </c>
      <c r="T10" s="10" t="s">
        <v>36</v>
      </c>
      <c r="U10" s="20" t="s">
        <v>37</v>
      </c>
      <c r="V10" s="20" t="s">
        <v>38</v>
      </c>
      <c r="W10" s="10">
        <v>10</v>
      </c>
      <c r="X10" s="10">
        <v>1</v>
      </c>
      <c r="Y10" s="10">
        <v>1</v>
      </c>
      <c r="Z10" s="10" t="s">
        <v>39</v>
      </c>
      <c r="AA10" s="10">
        <v>1.1000000000000001</v>
      </c>
      <c r="AC10" s="10" t="s">
        <v>40</v>
      </c>
      <c r="AD10" s="10" t="s">
        <v>32</v>
      </c>
      <c r="AE10" s="20">
        <f t="shared" si="0"/>
        <v>0.5776</v>
      </c>
      <c r="AF10" s="10" t="s">
        <v>41</v>
      </c>
      <c r="AG10" s="10">
        <v>2010</v>
      </c>
      <c r="AH10" s="21" t="s">
        <v>42</v>
      </c>
      <c r="AI10" s="2">
        <v>49.33</v>
      </c>
      <c r="AJ10" s="2">
        <v>2.19</v>
      </c>
      <c r="AK10" s="2">
        <v>0.1</v>
      </c>
      <c r="AP10" s="2">
        <v>7</v>
      </c>
      <c r="AQ10" s="76" t="s">
        <v>6</v>
      </c>
      <c r="AR10" s="75">
        <v>83</v>
      </c>
      <c r="AS10" s="74" t="s">
        <v>23</v>
      </c>
      <c r="AT10" s="75">
        <v>3</v>
      </c>
      <c r="AV10" s="10" t="s">
        <v>405</v>
      </c>
      <c r="AW10" s="73" t="s">
        <v>1</v>
      </c>
      <c r="AY10" s="10" t="s">
        <v>405</v>
      </c>
      <c r="AZ10" s="10">
        <v>0.68899999999999995</v>
      </c>
      <c r="BA10" s="10">
        <v>9.6000000000000002E-2</v>
      </c>
      <c r="BB10" s="10">
        <v>7.5999999999999998E-2</v>
      </c>
      <c r="BC10" s="10">
        <v>-0.222</v>
      </c>
    </row>
    <row r="11" spans="1:72" ht="31.2" x14ac:dyDescent="0.3">
      <c r="A11" s="11">
        <v>14.8</v>
      </c>
      <c r="B11" s="11">
        <v>2300</v>
      </c>
      <c r="C11" s="10" t="s">
        <v>33</v>
      </c>
      <c r="D11" s="10" t="s">
        <v>35</v>
      </c>
      <c r="E11" s="10" t="s">
        <v>170</v>
      </c>
      <c r="F11" s="10" t="s">
        <v>34</v>
      </c>
      <c r="G11" s="20">
        <v>0.16600000000000001</v>
      </c>
      <c r="H11" s="10" t="s">
        <v>34</v>
      </c>
      <c r="I11" s="10" t="s">
        <v>34</v>
      </c>
      <c r="J11" s="10">
        <v>1.64</v>
      </c>
      <c r="K11" s="10" t="s">
        <v>34</v>
      </c>
      <c r="L11" s="10" t="s">
        <v>34</v>
      </c>
      <c r="M11" s="10" t="s">
        <v>34</v>
      </c>
      <c r="N11" s="20">
        <v>1560</v>
      </c>
      <c r="O11" s="10" t="s">
        <v>34</v>
      </c>
      <c r="P11" s="10" t="s">
        <v>34</v>
      </c>
      <c r="Q11" s="10" t="s">
        <v>34</v>
      </c>
      <c r="R11" s="10" t="s">
        <v>34</v>
      </c>
      <c r="S11" s="10" t="s">
        <v>34</v>
      </c>
      <c r="T11" s="10" t="s">
        <v>36</v>
      </c>
      <c r="U11" s="20" t="s">
        <v>37</v>
      </c>
      <c r="V11" s="20" t="s">
        <v>38</v>
      </c>
      <c r="W11" s="10">
        <v>10</v>
      </c>
      <c r="X11" s="10">
        <v>1</v>
      </c>
      <c r="Y11" s="10">
        <v>1</v>
      </c>
      <c r="Z11" s="10" t="s">
        <v>39</v>
      </c>
      <c r="AA11" s="10">
        <v>1.1000000000000001</v>
      </c>
      <c r="AC11" s="10" t="s">
        <v>40</v>
      </c>
      <c r="AD11" s="10" t="s">
        <v>32</v>
      </c>
      <c r="AE11" s="20">
        <f t="shared" si="0"/>
        <v>0.5776</v>
      </c>
      <c r="AF11" s="10" t="s">
        <v>41</v>
      </c>
      <c r="AG11" s="10">
        <v>2010</v>
      </c>
      <c r="AH11" s="21" t="s">
        <v>42</v>
      </c>
      <c r="AI11" s="2">
        <v>49.33</v>
      </c>
      <c r="AJ11" s="2">
        <v>2.19</v>
      </c>
      <c r="AK11" s="2">
        <v>0.1</v>
      </c>
      <c r="AP11" s="2">
        <v>8</v>
      </c>
      <c r="AQ11" s="76" t="s">
        <v>7</v>
      </c>
      <c r="AR11" s="87">
        <v>367</v>
      </c>
      <c r="AS11" s="74" t="s">
        <v>24</v>
      </c>
      <c r="AT11" s="75">
        <v>119</v>
      </c>
      <c r="AV11" s="10" t="s">
        <v>406</v>
      </c>
      <c r="AW11" s="73" t="s">
        <v>6</v>
      </c>
    </row>
    <row r="12" spans="1:72" ht="46.8" x14ac:dyDescent="0.3">
      <c r="A12" s="11">
        <v>15.5</v>
      </c>
      <c r="B12" s="11">
        <v>900</v>
      </c>
      <c r="C12" s="10" t="s">
        <v>33</v>
      </c>
      <c r="D12" s="10" t="s">
        <v>35</v>
      </c>
      <c r="E12" s="10" t="s">
        <v>170</v>
      </c>
      <c r="F12" s="10" t="s">
        <v>34</v>
      </c>
      <c r="G12" s="20">
        <v>0.16600000000000001</v>
      </c>
      <c r="H12" s="10" t="s">
        <v>34</v>
      </c>
      <c r="I12" s="10" t="s">
        <v>34</v>
      </c>
      <c r="J12" s="10">
        <v>1.64</v>
      </c>
      <c r="K12" s="10" t="s">
        <v>34</v>
      </c>
      <c r="L12" s="10" t="s">
        <v>34</v>
      </c>
      <c r="M12" s="10" t="s">
        <v>34</v>
      </c>
      <c r="N12" s="20">
        <v>1560</v>
      </c>
      <c r="O12" s="10" t="s">
        <v>34</v>
      </c>
      <c r="P12" s="10" t="s">
        <v>34</v>
      </c>
      <c r="Q12" s="10" t="s">
        <v>34</v>
      </c>
      <c r="R12" s="10" t="s">
        <v>34</v>
      </c>
      <c r="S12" s="10" t="s">
        <v>34</v>
      </c>
      <c r="T12" s="10" t="s">
        <v>36</v>
      </c>
      <c r="U12" s="20" t="s">
        <v>37</v>
      </c>
      <c r="V12" s="20" t="s">
        <v>38</v>
      </c>
      <c r="W12" s="10">
        <v>10</v>
      </c>
      <c r="X12" s="10">
        <v>1</v>
      </c>
      <c r="Y12" s="10">
        <v>1</v>
      </c>
      <c r="Z12" s="10" t="s">
        <v>39</v>
      </c>
      <c r="AA12" s="10">
        <v>1.1000000000000001</v>
      </c>
      <c r="AC12" s="10" t="s">
        <v>40</v>
      </c>
      <c r="AD12" s="10" t="s">
        <v>32</v>
      </c>
      <c r="AE12" s="20">
        <f t="shared" si="0"/>
        <v>0.5776</v>
      </c>
      <c r="AF12" s="10" t="s">
        <v>41</v>
      </c>
      <c r="AG12" s="10">
        <v>2010</v>
      </c>
      <c r="AH12" s="21" t="s">
        <v>42</v>
      </c>
      <c r="AI12" s="2">
        <v>49.33</v>
      </c>
      <c r="AJ12" s="2">
        <v>2.19</v>
      </c>
      <c r="AK12" s="2">
        <v>0.1</v>
      </c>
      <c r="AP12" s="2">
        <v>9</v>
      </c>
      <c r="AQ12" s="76" t="s">
        <v>8</v>
      </c>
      <c r="AR12" s="87">
        <v>367</v>
      </c>
      <c r="AS12" s="74" t="s">
        <v>52</v>
      </c>
      <c r="AT12" s="87">
        <v>305</v>
      </c>
      <c r="AV12" s="10" t="s">
        <v>407</v>
      </c>
      <c r="AW12" s="73" t="s">
        <v>21</v>
      </c>
    </row>
    <row r="13" spans="1:72" x14ac:dyDescent="0.3">
      <c r="A13" s="11">
        <v>15.8</v>
      </c>
      <c r="B13" s="11">
        <v>1300</v>
      </c>
      <c r="C13" s="10" t="s">
        <v>33</v>
      </c>
      <c r="D13" s="10" t="s">
        <v>35</v>
      </c>
      <c r="E13" s="10" t="s">
        <v>170</v>
      </c>
      <c r="F13" s="10" t="s">
        <v>34</v>
      </c>
      <c r="G13" s="20">
        <v>0.16600000000000001</v>
      </c>
      <c r="H13" s="10" t="s">
        <v>34</v>
      </c>
      <c r="I13" s="10" t="s">
        <v>34</v>
      </c>
      <c r="J13" s="10">
        <v>1.64</v>
      </c>
      <c r="K13" s="10" t="s">
        <v>34</v>
      </c>
      <c r="L13" s="10" t="s">
        <v>34</v>
      </c>
      <c r="M13" s="10" t="s">
        <v>34</v>
      </c>
      <c r="N13" s="20">
        <v>1560</v>
      </c>
      <c r="O13" s="10" t="s">
        <v>34</v>
      </c>
      <c r="P13" s="10" t="s">
        <v>34</v>
      </c>
      <c r="Q13" s="10" t="s">
        <v>34</v>
      </c>
      <c r="R13" s="10" t="s">
        <v>34</v>
      </c>
      <c r="S13" s="10" t="s">
        <v>34</v>
      </c>
      <c r="T13" s="10" t="s">
        <v>36</v>
      </c>
      <c r="U13" s="20" t="s">
        <v>37</v>
      </c>
      <c r="V13" s="20" t="s">
        <v>38</v>
      </c>
      <c r="W13" s="10">
        <v>10</v>
      </c>
      <c r="X13" s="10">
        <v>1</v>
      </c>
      <c r="Y13" s="10">
        <v>1</v>
      </c>
      <c r="Z13" s="10" t="s">
        <v>39</v>
      </c>
      <c r="AA13" s="10">
        <v>1.1000000000000001</v>
      </c>
      <c r="AC13" s="10" t="s">
        <v>40</v>
      </c>
      <c r="AD13" s="10" t="s">
        <v>32</v>
      </c>
      <c r="AE13" s="20">
        <f t="shared" si="0"/>
        <v>0.5776</v>
      </c>
      <c r="AF13" s="10" t="s">
        <v>41</v>
      </c>
      <c r="AG13" s="10">
        <v>2010</v>
      </c>
      <c r="AH13" s="21" t="s">
        <v>42</v>
      </c>
      <c r="AI13" s="2">
        <v>49.33</v>
      </c>
      <c r="AJ13" s="2">
        <v>2.19</v>
      </c>
      <c r="AK13" s="2">
        <v>0.1</v>
      </c>
      <c r="AP13" s="2">
        <v>10</v>
      </c>
      <c r="AQ13" s="76" t="s">
        <v>9</v>
      </c>
      <c r="AR13" s="87">
        <v>284</v>
      </c>
      <c r="AS13" s="74" t="s">
        <v>26</v>
      </c>
      <c r="AT13" s="75">
        <v>3</v>
      </c>
      <c r="AV13" s="10" t="s">
        <v>408</v>
      </c>
      <c r="AW13" s="90" t="s">
        <v>22</v>
      </c>
      <c r="AX13" s="10"/>
      <c r="AY13" s="10" t="s">
        <v>404</v>
      </c>
      <c r="AZ13" s="10" t="s">
        <v>406</v>
      </c>
      <c r="BA13" s="10" t="s">
        <v>407</v>
      </c>
      <c r="BB13" s="10" t="s">
        <v>408</v>
      </c>
    </row>
    <row r="14" spans="1:72" ht="31.2" x14ac:dyDescent="0.3">
      <c r="A14" s="11">
        <v>16.3</v>
      </c>
      <c r="B14" s="11">
        <v>2300</v>
      </c>
      <c r="C14" s="10" t="s">
        <v>33</v>
      </c>
      <c r="D14" s="10" t="s">
        <v>35</v>
      </c>
      <c r="E14" s="10" t="s">
        <v>170</v>
      </c>
      <c r="F14" s="10" t="s">
        <v>34</v>
      </c>
      <c r="G14" s="20">
        <v>0.16600000000000001</v>
      </c>
      <c r="H14" s="10" t="s">
        <v>34</v>
      </c>
      <c r="I14" s="10" t="s">
        <v>34</v>
      </c>
      <c r="J14" s="10">
        <v>1.64</v>
      </c>
      <c r="K14" s="10" t="s">
        <v>34</v>
      </c>
      <c r="L14" s="10" t="s">
        <v>34</v>
      </c>
      <c r="M14" s="10" t="s">
        <v>34</v>
      </c>
      <c r="N14" s="20">
        <v>1560</v>
      </c>
      <c r="O14" s="10" t="s">
        <v>34</v>
      </c>
      <c r="P14" s="10" t="s">
        <v>34</v>
      </c>
      <c r="Q14" s="10" t="s">
        <v>34</v>
      </c>
      <c r="R14" s="10" t="s">
        <v>34</v>
      </c>
      <c r="S14" s="10" t="s">
        <v>34</v>
      </c>
      <c r="T14" s="10" t="s">
        <v>36</v>
      </c>
      <c r="U14" s="20" t="s">
        <v>37</v>
      </c>
      <c r="V14" s="20" t="s">
        <v>38</v>
      </c>
      <c r="W14" s="10">
        <v>10</v>
      </c>
      <c r="X14" s="10">
        <v>1</v>
      </c>
      <c r="Y14" s="10">
        <v>1</v>
      </c>
      <c r="Z14" s="10" t="s">
        <v>39</v>
      </c>
      <c r="AA14" s="10">
        <v>1.1000000000000001</v>
      </c>
      <c r="AC14" s="10" t="s">
        <v>40</v>
      </c>
      <c r="AD14" s="10" t="s">
        <v>32</v>
      </c>
      <c r="AE14" s="20">
        <f t="shared" si="0"/>
        <v>0.5776</v>
      </c>
      <c r="AF14" s="10" t="s">
        <v>41</v>
      </c>
      <c r="AG14" s="10">
        <v>2010</v>
      </c>
      <c r="AH14" s="21" t="s">
        <v>42</v>
      </c>
      <c r="AI14" s="2">
        <v>49.33</v>
      </c>
      <c r="AJ14" s="2">
        <v>2.19</v>
      </c>
      <c r="AK14" s="2">
        <v>0.1</v>
      </c>
      <c r="AP14" s="2">
        <v>11</v>
      </c>
      <c r="AQ14" s="76" t="s">
        <v>10</v>
      </c>
      <c r="AR14" s="87">
        <v>364</v>
      </c>
      <c r="AS14" s="74" t="s">
        <v>31</v>
      </c>
      <c r="AT14" s="75">
        <v>3</v>
      </c>
      <c r="AX14" s="10" t="s">
        <v>404</v>
      </c>
      <c r="AY14" s="10">
        <v>1</v>
      </c>
      <c r="AZ14" s="10">
        <v>-0.06</v>
      </c>
      <c r="BA14" s="10">
        <v>-6.0999999999999999E-2</v>
      </c>
      <c r="BB14" s="10">
        <v>-0.47699999999999998</v>
      </c>
    </row>
    <row r="15" spans="1:72" x14ac:dyDescent="0.3">
      <c r="A15" s="11">
        <v>16.8</v>
      </c>
      <c r="B15" s="11">
        <v>1600</v>
      </c>
      <c r="C15" s="10" t="s">
        <v>33</v>
      </c>
      <c r="D15" s="10" t="s">
        <v>35</v>
      </c>
      <c r="E15" s="10" t="s">
        <v>170</v>
      </c>
      <c r="F15" s="10" t="s">
        <v>34</v>
      </c>
      <c r="G15" s="20">
        <v>0.16600000000000001</v>
      </c>
      <c r="H15" s="10" t="s">
        <v>34</v>
      </c>
      <c r="I15" s="10" t="s">
        <v>34</v>
      </c>
      <c r="J15" s="10">
        <v>1.64</v>
      </c>
      <c r="K15" s="10" t="s">
        <v>34</v>
      </c>
      <c r="L15" s="10" t="s">
        <v>34</v>
      </c>
      <c r="M15" s="10" t="s">
        <v>34</v>
      </c>
      <c r="N15" s="20">
        <v>1560</v>
      </c>
      <c r="O15" s="10" t="s">
        <v>34</v>
      </c>
      <c r="P15" s="10" t="s">
        <v>34</v>
      </c>
      <c r="Q15" s="10" t="s">
        <v>34</v>
      </c>
      <c r="R15" s="10" t="s">
        <v>34</v>
      </c>
      <c r="S15" s="10" t="s">
        <v>34</v>
      </c>
      <c r="T15" s="10" t="s">
        <v>36</v>
      </c>
      <c r="U15" s="20" t="s">
        <v>37</v>
      </c>
      <c r="V15" s="20" t="s">
        <v>38</v>
      </c>
      <c r="W15" s="10">
        <v>10</v>
      </c>
      <c r="X15" s="10">
        <v>1</v>
      </c>
      <c r="Y15" s="10">
        <v>1</v>
      </c>
      <c r="Z15" s="10" t="s">
        <v>39</v>
      </c>
      <c r="AA15" s="10">
        <v>1.1000000000000001</v>
      </c>
      <c r="AC15" s="10" t="s">
        <v>40</v>
      </c>
      <c r="AD15" s="10" t="s">
        <v>32</v>
      </c>
      <c r="AE15" s="20">
        <f t="shared" si="0"/>
        <v>0.5776</v>
      </c>
      <c r="AF15" s="10" t="s">
        <v>41</v>
      </c>
      <c r="AG15" s="10">
        <v>2010</v>
      </c>
      <c r="AH15" s="21" t="s">
        <v>42</v>
      </c>
      <c r="AI15" s="2">
        <v>49.33</v>
      </c>
      <c r="AJ15" s="2">
        <v>2.19</v>
      </c>
      <c r="AK15" s="2">
        <v>0.1</v>
      </c>
      <c r="AP15" s="2">
        <v>12</v>
      </c>
      <c r="AQ15" s="76" t="s">
        <v>11</v>
      </c>
      <c r="AR15" s="87">
        <v>140</v>
      </c>
      <c r="AS15" s="74" t="s">
        <v>25</v>
      </c>
      <c r="AT15" s="75">
        <v>4</v>
      </c>
      <c r="AX15" s="10" t="s">
        <v>406</v>
      </c>
      <c r="AY15" s="10">
        <f>AZ14</f>
        <v>-0.06</v>
      </c>
      <c r="AZ15" s="10">
        <v>1</v>
      </c>
      <c r="BA15" s="10">
        <v>0</v>
      </c>
      <c r="BB15" s="10">
        <v>0</v>
      </c>
    </row>
    <row r="16" spans="1:72" x14ac:dyDescent="0.3">
      <c r="A16" s="11">
        <v>16.8</v>
      </c>
      <c r="B16" s="11">
        <v>1900</v>
      </c>
      <c r="C16" s="10" t="s">
        <v>33</v>
      </c>
      <c r="D16" s="10" t="s">
        <v>35</v>
      </c>
      <c r="E16" s="10" t="s">
        <v>170</v>
      </c>
      <c r="F16" s="10" t="s">
        <v>34</v>
      </c>
      <c r="G16" s="20">
        <v>0.16600000000000001</v>
      </c>
      <c r="H16" s="10" t="s">
        <v>34</v>
      </c>
      <c r="I16" s="10" t="s">
        <v>34</v>
      </c>
      <c r="J16" s="10">
        <v>1.64</v>
      </c>
      <c r="K16" s="10" t="s">
        <v>34</v>
      </c>
      <c r="L16" s="10" t="s">
        <v>34</v>
      </c>
      <c r="M16" s="10" t="s">
        <v>34</v>
      </c>
      <c r="N16" s="20">
        <v>1560</v>
      </c>
      <c r="O16" s="10" t="s">
        <v>34</v>
      </c>
      <c r="P16" s="10" t="s">
        <v>34</v>
      </c>
      <c r="Q16" s="10" t="s">
        <v>34</v>
      </c>
      <c r="R16" s="10" t="s">
        <v>34</v>
      </c>
      <c r="S16" s="10" t="s">
        <v>34</v>
      </c>
      <c r="T16" s="10" t="s">
        <v>36</v>
      </c>
      <c r="U16" s="20" t="s">
        <v>37</v>
      </c>
      <c r="V16" s="20" t="s">
        <v>38</v>
      </c>
      <c r="W16" s="10">
        <v>10</v>
      </c>
      <c r="X16" s="10">
        <v>1</v>
      </c>
      <c r="Y16" s="10">
        <v>1</v>
      </c>
      <c r="Z16" s="10" t="s">
        <v>39</v>
      </c>
      <c r="AA16" s="10">
        <v>1.1000000000000001</v>
      </c>
      <c r="AC16" s="10" t="s">
        <v>40</v>
      </c>
      <c r="AD16" s="10" t="s">
        <v>32</v>
      </c>
      <c r="AE16" s="20">
        <f t="shared" si="0"/>
        <v>0.5776</v>
      </c>
      <c r="AF16" s="10" t="s">
        <v>41</v>
      </c>
      <c r="AG16" s="10">
        <v>2010</v>
      </c>
      <c r="AH16" s="21" t="s">
        <v>42</v>
      </c>
      <c r="AI16" s="2">
        <v>49.33</v>
      </c>
      <c r="AJ16" s="2">
        <v>2.19</v>
      </c>
      <c r="AK16" s="2">
        <v>0.1</v>
      </c>
      <c r="AP16" s="2">
        <v>13</v>
      </c>
      <c r="AQ16" s="76" t="s">
        <v>12</v>
      </c>
      <c r="AR16" s="87">
        <v>197</v>
      </c>
      <c r="AS16" s="74" t="s">
        <v>27</v>
      </c>
      <c r="AT16" s="75">
        <v>0</v>
      </c>
      <c r="AX16" s="10" t="s">
        <v>407</v>
      </c>
      <c r="AY16" s="10">
        <f>BA14</f>
        <v>-6.0999999999999999E-2</v>
      </c>
      <c r="AZ16" s="10">
        <f>BA15</f>
        <v>0</v>
      </c>
      <c r="BA16" s="10">
        <v>1</v>
      </c>
      <c r="BB16" s="10">
        <v>0</v>
      </c>
    </row>
    <row r="17" spans="1:60" ht="31.2" x14ac:dyDescent="0.3">
      <c r="A17" s="11">
        <v>17.5</v>
      </c>
      <c r="B17" s="11">
        <v>1700</v>
      </c>
      <c r="C17" s="10" t="s">
        <v>33</v>
      </c>
      <c r="D17" s="10" t="s">
        <v>35</v>
      </c>
      <c r="E17" s="10" t="s">
        <v>170</v>
      </c>
      <c r="F17" s="10" t="s">
        <v>34</v>
      </c>
      <c r="G17" s="20">
        <v>0.16600000000000001</v>
      </c>
      <c r="H17" s="10" t="s">
        <v>34</v>
      </c>
      <c r="I17" s="10" t="s">
        <v>34</v>
      </c>
      <c r="J17" s="10">
        <v>1.64</v>
      </c>
      <c r="K17" s="10" t="s">
        <v>34</v>
      </c>
      <c r="L17" s="10" t="s">
        <v>34</v>
      </c>
      <c r="M17" s="10" t="s">
        <v>34</v>
      </c>
      <c r="N17" s="20">
        <v>1560</v>
      </c>
      <c r="O17" s="10" t="s">
        <v>34</v>
      </c>
      <c r="P17" s="10" t="s">
        <v>34</v>
      </c>
      <c r="Q17" s="10" t="s">
        <v>34</v>
      </c>
      <c r="R17" s="10" t="s">
        <v>34</v>
      </c>
      <c r="S17" s="10" t="s">
        <v>34</v>
      </c>
      <c r="T17" s="10" t="s">
        <v>36</v>
      </c>
      <c r="U17" s="20" t="s">
        <v>37</v>
      </c>
      <c r="V17" s="20" t="s">
        <v>38</v>
      </c>
      <c r="W17" s="10">
        <v>10</v>
      </c>
      <c r="X17" s="10">
        <v>1</v>
      </c>
      <c r="Y17" s="10">
        <v>1</v>
      </c>
      <c r="Z17" s="10" t="s">
        <v>39</v>
      </c>
      <c r="AA17" s="10">
        <v>1.1000000000000001</v>
      </c>
      <c r="AC17" s="10" t="s">
        <v>40</v>
      </c>
      <c r="AD17" s="10" t="s">
        <v>32</v>
      </c>
      <c r="AE17" s="20">
        <f t="shared" si="0"/>
        <v>0.5776</v>
      </c>
      <c r="AF17" s="10" t="s">
        <v>41</v>
      </c>
      <c r="AG17" s="10">
        <v>2010</v>
      </c>
      <c r="AH17" s="21" t="s">
        <v>42</v>
      </c>
      <c r="AI17" s="2">
        <v>49.33</v>
      </c>
      <c r="AJ17" s="2">
        <v>2.19</v>
      </c>
      <c r="AK17" s="2">
        <v>0.1</v>
      </c>
      <c r="AP17" s="2">
        <v>14</v>
      </c>
      <c r="AQ17" s="76" t="s">
        <v>13</v>
      </c>
      <c r="AR17" s="87">
        <v>184</v>
      </c>
      <c r="AS17" s="74" t="s">
        <v>28</v>
      </c>
      <c r="AT17" s="75">
        <v>0</v>
      </c>
      <c r="AX17" s="10" t="s">
        <v>408</v>
      </c>
      <c r="AY17" s="10">
        <f>BB14</f>
        <v>-0.47699999999999998</v>
      </c>
      <c r="AZ17" s="10">
        <f>BB15</f>
        <v>0</v>
      </c>
      <c r="BA17" s="10">
        <f>BB16</f>
        <v>0</v>
      </c>
      <c r="BB17" s="10">
        <v>1</v>
      </c>
    </row>
    <row r="18" spans="1:60" x14ac:dyDescent="0.3">
      <c r="A18" s="11">
        <v>17.5</v>
      </c>
      <c r="B18" s="11">
        <v>4200</v>
      </c>
      <c r="C18" s="10" t="s">
        <v>33</v>
      </c>
      <c r="D18" s="10" t="s">
        <v>35</v>
      </c>
      <c r="E18" s="10" t="s">
        <v>170</v>
      </c>
      <c r="F18" s="10" t="s">
        <v>34</v>
      </c>
      <c r="G18" s="20">
        <v>0.16600000000000001</v>
      </c>
      <c r="H18" s="10" t="s">
        <v>34</v>
      </c>
      <c r="I18" s="10" t="s">
        <v>34</v>
      </c>
      <c r="J18" s="10">
        <v>1.64</v>
      </c>
      <c r="K18" s="10" t="s">
        <v>34</v>
      </c>
      <c r="L18" s="10" t="s">
        <v>34</v>
      </c>
      <c r="M18" s="10" t="s">
        <v>34</v>
      </c>
      <c r="N18" s="20">
        <v>1560</v>
      </c>
      <c r="O18" s="10" t="s">
        <v>34</v>
      </c>
      <c r="P18" s="10" t="s">
        <v>34</v>
      </c>
      <c r="Q18" s="10" t="s">
        <v>34</v>
      </c>
      <c r="R18" s="10" t="s">
        <v>34</v>
      </c>
      <c r="S18" s="10" t="s">
        <v>34</v>
      </c>
      <c r="T18" s="10" t="s">
        <v>36</v>
      </c>
      <c r="U18" s="20" t="s">
        <v>37</v>
      </c>
      <c r="V18" s="20" t="s">
        <v>38</v>
      </c>
      <c r="W18" s="10">
        <v>10</v>
      </c>
      <c r="X18" s="10">
        <v>1</v>
      </c>
      <c r="Y18" s="10">
        <v>1</v>
      </c>
      <c r="Z18" s="10" t="s">
        <v>39</v>
      </c>
      <c r="AA18" s="10">
        <v>1.1000000000000001</v>
      </c>
      <c r="AC18" s="10" t="s">
        <v>40</v>
      </c>
      <c r="AD18" s="10" t="s">
        <v>32</v>
      </c>
      <c r="AE18" s="20">
        <f t="shared" si="0"/>
        <v>0.5776</v>
      </c>
      <c r="AF18" s="10" t="s">
        <v>41</v>
      </c>
      <c r="AG18" s="10">
        <v>2010</v>
      </c>
      <c r="AH18" s="21" t="s">
        <v>42</v>
      </c>
      <c r="AI18" s="2">
        <v>49.33</v>
      </c>
      <c r="AJ18" s="2">
        <v>2.19</v>
      </c>
      <c r="AK18" s="2">
        <v>0.1</v>
      </c>
      <c r="AP18" s="2">
        <v>15</v>
      </c>
      <c r="AQ18" s="76" t="s">
        <v>14</v>
      </c>
      <c r="AR18" s="87">
        <v>243</v>
      </c>
      <c r="AS18" s="74" t="s">
        <v>29</v>
      </c>
      <c r="AT18" s="75">
        <v>0</v>
      </c>
    </row>
    <row r="19" spans="1:60" x14ac:dyDescent="0.3">
      <c r="A19" s="11">
        <v>18.600000000000001</v>
      </c>
      <c r="B19" s="11">
        <v>1700</v>
      </c>
      <c r="C19" s="10" t="s">
        <v>33</v>
      </c>
      <c r="D19" s="10" t="s">
        <v>35</v>
      </c>
      <c r="E19" s="10" t="s">
        <v>170</v>
      </c>
      <c r="F19" s="10" t="s">
        <v>34</v>
      </c>
      <c r="G19" s="20">
        <v>0.16600000000000001</v>
      </c>
      <c r="H19" s="10" t="s">
        <v>34</v>
      </c>
      <c r="I19" s="10" t="s">
        <v>34</v>
      </c>
      <c r="J19" s="10">
        <v>1.64</v>
      </c>
      <c r="K19" s="10" t="s">
        <v>34</v>
      </c>
      <c r="L19" s="10" t="s">
        <v>34</v>
      </c>
      <c r="M19" s="10" t="s">
        <v>34</v>
      </c>
      <c r="N19" s="20">
        <v>1560</v>
      </c>
      <c r="O19" s="10" t="s">
        <v>34</v>
      </c>
      <c r="P19" s="10" t="s">
        <v>34</v>
      </c>
      <c r="Q19" s="10" t="s">
        <v>34</v>
      </c>
      <c r="R19" s="10" t="s">
        <v>34</v>
      </c>
      <c r="S19" s="10" t="s">
        <v>34</v>
      </c>
      <c r="T19" s="10" t="s">
        <v>36</v>
      </c>
      <c r="U19" s="20" t="s">
        <v>37</v>
      </c>
      <c r="V19" s="20" t="s">
        <v>38</v>
      </c>
      <c r="W19" s="10">
        <v>10</v>
      </c>
      <c r="X19" s="10">
        <v>1</v>
      </c>
      <c r="Y19" s="10">
        <v>1</v>
      </c>
      <c r="Z19" s="10" t="s">
        <v>39</v>
      </c>
      <c r="AA19" s="10">
        <v>1.1000000000000001</v>
      </c>
      <c r="AC19" s="10" t="s">
        <v>40</v>
      </c>
      <c r="AD19" s="10" t="s">
        <v>32</v>
      </c>
      <c r="AE19" s="20">
        <f t="shared" si="0"/>
        <v>0.5776</v>
      </c>
      <c r="AF19" s="10" t="s">
        <v>41</v>
      </c>
      <c r="AG19" s="10">
        <v>2010</v>
      </c>
      <c r="AH19" s="21" t="s">
        <v>42</v>
      </c>
      <c r="AI19" s="2">
        <v>49.33</v>
      </c>
      <c r="AJ19" s="2">
        <v>2.19</v>
      </c>
      <c r="AK19" s="2">
        <v>0.1</v>
      </c>
      <c r="AP19" s="2">
        <v>16</v>
      </c>
      <c r="AQ19" s="76" t="s">
        <v>15</v>
      </c>
      <c r="AR19" s="87">
        <v>243</v>
      </c>
      <c r="AS19" s="74" t="s">
        <v>376</v>
      </c>
      <c r="AT19" s="75">
        <v>0</v>
      </c>
    </row>
    <row r="20" spans="1:60" ht="31.2" x14ac:dyDescent="0.3">
      <c r="A20" s="11">
        <v>19.100000000000001</v>
      </c>
      <c r="B20" s="11">
        <v>2300</v>
      </c>
      <c r="C20" s="10" t="s">
        <v>33</v>
      </c>
      <c r="D20" s="10" t="s">
        <v>35</v>
      </c>
      <c r="E20" s="10" t="s">
        <v>170</v>
      </c>
      <c r="F20" s="10" t="s">
        <v>34</v>
      </c>
      <c r="G20" s="20">
        <v>0.16600000000000001</v>
      </c>
      <c r="H20" s="10" t="s">
        <v>34</v>
      </c>
      <c r="I20" s="10" t="s">
        <v>34</v>
      </c>
      <c r="J20" s="10">
        <v>1.64</v>
      </c>
      <c r="K20" s="10" t="s">
        <v>34</v>
      </c>
      <c r="L20" s="10" t="s">
        <v>34</v>
      </c>
      <c r="M20" s="10" t="s">
        <v>34</v>
      </c>
      <c r="N20" s="20">
        <v>1560</v>
      </c>
      <c r="O20" s="10" t="s">
        <v>34</v>
      </c>
      <c r="P20" s="10" t="s">
        <v>34</v>
      </c>
      <c r="Q20" s="10" t="s">
        <v>34</v>
      </c>
      <c r="R20" s="10" t="s">
        <v>34</v>
      </c>
      <c r="S20" s="10" t="s">
        <v>34</v>
      </c>
      <c r="T20" s="10" t="s">
        <v>36</v>
      </c>
      <c r="U20" s="20" t="s">
        <v>37</v>
      </c>
      <c r="V20" s="20" t="s">
        <v>38</v>
      </c>
      <c r="W20" s="10">
        <v>10</v>
      </c>
      <c r="X20" s="10">
        <v>1</v>
      </c>
      <c r="Y20" s="10">
        <v>1</v>
      </c>
      <c r="Z20" s="10" t="s">
        <v>39</v>
      </c>
      <c r="AA20" s="10">
        <v>1.1000000000000001</v>
      </c>
      <c r="AC20" s="10" t="s">
        <v>40</v>
      </c>
      <c r="AD20" s="10" t="s">
        <v>32</v>
      </c>
      <c r="AE20" s="20">
        <f t="shared" si="0"/>
        <v>0.5776</v>
      </c>
      <c r="AF20" s="10" t="s">
        <v>41</v>
      </c>
      <c r="AG20" s="10">
        <v>2010</v>
      </c>
      <c r="AH20" s="21" t="s">
        <v>42</v>
      </c>
      <c r="AI20" s="2">
        <v>49.33</v>
      </c>
      <c r="AJ20" s="2">
        <v>2.19</v>
      </c>
      <c r="AK20" s="2">
        <v>0.1</v>
      </c>
      <c r="AP20" s="2">
        <v>17</v>
      </c>
      <c r="AQ20" s="76" t="s">
        <v>44</v>
      </c>
      <c r="AR20" s="87">
        <v>204</v>
      </c>
      <c r="AS20" s="74" t="s">
        <v>377</v>
      </c>
      <c r="AT20" s="75">
        <v>0</v>
      </c>
      <c r="AX20" s="2" t="s">
        <v>409</v>
      </c>
      <c r="AY20" s="2">
        <v>0.51400000000000001</v>
      </c>
      <c r="AZ20" s="2">
        <v>0.2</v>
      </c>
    </row>
    <row r="21" spans="1:60" ht="31.2" x14ac:dyDescent="0.3">
      <c r="A21" s="11">
        <v>20.3</v>
      </c>
      <c r="B21" s="11">
        <v>2000</v>
      </c>
      <c r="C21" s="10" t="s">
        <v>33</v>
      </c>
      <c r="D21" s="10" t="s">
        <v>35</v>
      </c>
      <c r="E21" s="10" t="s">
        <v>170</v>
      </c>
      <c r="F21" s="10" t="s">
        <v>34</v>
      </c>
      <c r="G21" s="20">
        <v>0.16600000000000001</v>
      </c>
      <c r="H21" s="10" t="s">
        <v>34</v>
      </c>
      <c r="I21" s="10" t="s">
        <v>34</v>
      </c>
      <c r="J21" s="10">
        <v>1.64</v>
      </c>
      <c r="K21" s="10" t="s">
        <v>34</v>
      </c>
      <c r="L21" s="10" t="s">
        <v>34</v>
      </c>
      <c r="M21" s="10" t="s">
        <v>34</v>
      </c>
      <c r="N21" s="20">
        <v>1560</v>
      </c>
      <c r="O21" s="10" t="s">
        <v>34</v>
      </c>
      <c r="P21" s="10" t="s">
        <v>34</v>
      </c>
      <c r="Q21" s="10" t="s">
        <v>34</v>
      </c>
      <c r="R21" s="10" t="s">
        <v>34</v>
      </c>
      <c r="S21" s="10" t="s">
        <v>34</v>
      </c>
      <c r="T21" s="10" t="s">
        <v>36</v>
      </c>
      <c r="U21" s="20" t="s">
        <v>37</v>
      </c>
      <c r="V21" s="20" t="s">
        <v>38</v>
      </c>
      <c r="W21" s="10">
        <v>10</v>
      </c>
      <c r="X21" s="10">
        <v>1</v>
      </c>
      <c r="Y21" s="10">
        <v>1</v>
      </c>
      <c r="Z21" s="10" t="s">
        <v>39</v>
      </c>
      <c r="AA21" s="10">
        <v>1.1000000000000001</v>
      </c>
      <c r="AC21" s="10" t="s">
        <v>40</v>
      </c>
      <c r="AD21" s="10" t="s">
        <v>32</v>
      </c>
      <c r="AE21" s="20">
        <f t="shared" si="0"/>
        <v>0.5776</v>
      </c>
      <c r="AF21" s="10" t="s">
        <v>41</v>
      </c>
      <c r="AG21" s="10">
        <v>2010</v>
      </c>
      <c r="AH21" s="21" t="s">
        <v>42</v>
      </c>
      <c r="AI21" s="2">
        <v>49.33</v>
      </c>
      <c r="AJ21" s="2">
        <v>2.19</v>
      </c>
      <c r="AK21" s="2">
        <v>0.1</v>
      </c>
      <c r="AP21" s="2">
        <v>18</v>
      </c>
      <c r="AQ21" s="76" t="s">
        <v>30</v>
      </c>
      <c r="AR21" s="87">
        <v>221</v>
      </c>
      <c r="AS21" s="86" t="s">
        <v>378</v>
      </c>
      <c r="AT21" s="87">
        <v>156</v>
      </c>
      <c r="AX21" s="2" t="s">
        <v>410</v>
      </c>
      <c r="AY21" s="2">
        <f>AY20/(1-AY20)</f>
        <v>1.0576131687242798</v>
      </c>
      <c r="AZ21" s="2">
        <f>AZ20/(1-AZ20)</f>
        <v>0.25</v>
      </c>
    </row>
    <row r="22" spans="1:60" ht="16.2" thickBot="1" x14ac:dyDescent="0.35">
      <c r="A22" s="11">
        <v>20.3</v>
      </c>
      <c r="B22" s="11">
        <v>2700</v>
      </c>
      <c r="C22" s="10" t="s">
        <v>33</v>
      </c>
      <c r="D22" s="10" t="s">
        <v>35</v>
      </c>
      <c r="E22" s="10" t="s">
        <v>170</v>
      </c>
      <c r="F22" s="10" t="s">
        <v>34</v>
      </c>
      <c r="G22" s="20">
        <v>0.16600000000000001</v>
      </c>
      <c r="H22" s="10" t="s">
        <v>34</v>
      </c>
      <c r="I22" s="10" t="s">
        <v>34</v>
      </c>
      <c r="J22" s="10">
        <v>1.64</v>
      </c>
      <c r="K22" s="10" t="s">
        <v>34</v>
      </c>
      <c r="L22" s="10" t="s">
        <v>34</v>
      </c>
      <c r="M22" s="10" t="s">
        <v>34</v>
      </c>
      <c r="N22" s="20">
        <v>1560</v>
      </c>
      <c r="O22" s="10" t="s">
        <v>34</v>
      </c>
      <c r="P22" s="10" t="s">
        <v>34</v>
      </c>
      <c r="Q22" s="10" t="s">
        <v>34</v>
      </c>
      <c r="R22" s="10" t="s">
        <v>34</v>
      </c>
      <c r="S22" s="10" t="s">
        <v>34</v>
      </c>
      <c r="T22" s="10" t="s">
        <v>36</v>
      </c>
      <c r="U22" s="20" t="s">
        <v>37</v>
      </c>
      <c r="V22" s="20" t="s">
        <v>38</v>
      </c>
      <c r="W22" s="10">
        <v>10</v>
      </c>
      <c r="X22" s="10">
        <v>1</v>
      </c>
      <c r="Y22" s="10">
        <v>1</v>
      </c>
      <c r="Z22" s="10" t="s">
        <v>39</v>
      </c>
      <c r="AA22" s="10">
        <v>1.1000000000000001</v>
      </c>
      <c r="AC22" s="10" t="s">
        <v>40</v>
      </c>
      <c r="AD22" s="10" t="s">
        <v>32</v>
      </c>
      <c r="AE22" s="20">
        <f t="shared" si="0"/>
        <v>0.5776</v>
      </c>
      <c r="AF22" s="10" t="s">
        <v>41</v>
      </c>
      <c r="AG22" s="10">
        <v>2010</v>
      </c>
      <c r="AH22" s="21" t="s">
        <v>42</v>
      </c>
      <c r="AI22" s="2">
        <v>49.33</v>
      </c>
      <c r="AJ22" s="2">
        <v>2.19</v>
      </c>
      <c r="AK22" s="2">
        <v>0.1</v>
      </c>
      <c r="AP22" s="2">
        <v>19</v>
      </c>
      <c r="AQ22" s="77" t="s">
        <v>16</v>
      </c>
      <c r="AR22" s="88">
        <v>385</v>
      </c>
      <c r="AS22" s="78"/>
      <c r="AT22" s="79"/>
      <c r="BC22" s="119" t="s">
        <v>413</v>
      </c>
      <c r="BD22" s="119"/>
    </row>
    <row r="23" spans="1:60" ht="16.2" thickTop="1" x14ac:dyDescent="0.3">
      <c r="A23" s="11">
        <v>20</v>
      </c>
      <c r="B23" s="11">
        <v>3800</v>
      </c>
      <c r="C23" s="10" t="s">
        <v>33</v>
      </c>
      <c r="D23" s="10" t="s">
        <v>35</v>
      </c>
      <c r="E23" s="10" t="s">
        <v>170</v>
      </c>
      <c r="F23" s="10" t="s">
        <v>34</v>
      </c>
      <c r="G23" s="20">
        <v>0.16600000000000001</v>
      </c>
      <c r="H23" s="10" t="s">
        <v>34</v>
      </c>
      <c r="I23" s="10" t="s">
        <v>34</v>
      </c>
      <c r="J23" s="10">
        <v>1.64</v>
      </c>
      <c r="K23" s="10" t="s">
        <v>34</v>
      </c>
      <c r="L23" s="10" t="s">
        <v>34</v>
      </c>
      <c r="M23" s="10" t="s">
        <v>34</v>
      </c>
      <c r="N23" s="20">
        <v>1560</v>
      </c>
      <c r="O23" s="10" t="s">
        <v>34</v>
      </c>
      <c r="P23" s="10" t="s">
        <v>34</v>
      </c>
      <c r="Q23" s="10" t="s">
        <v>34</v>
      </c>
      <c r="R23" s="10" t="s">
        <v>34</v>
      </c>
      <c r="S23" s="10" t="s">
        <v>34</v>
      </c>
      <c r="T23" s="10" t="s">
        <v>36</v>
      </c>
      <c r="U23" s="20" t="s">
        <v>37</v>
      </c>
      <c r="V23" s="20" t="s">
        <v>38</v>
      </c>
      <c r="W23" s="10">
        <v>10</v>
      </c>
      <c r="X23" s="10">
        <v>1</v>
      </c>
      <c r="Y23" s="10">
        <v>1</v>
      </c>
      <c r="Z23" s="10" t="s">
        <v>39</v>
      </c>
      <c r="AA23" s="10">
        <v>1.1000000000000001</v>
      </c>
      <c r="AC23" s="10" t="s">
        <v>40</v>
      </c>
      <c r="AD23" s="10" t="s">
        <v>32</v>
      </c>
      <c r="AE23" s="20">
        <f t="shared" si="0"/>
        <v>0.5776</v>
      </c>
      <c r="AF23" s="10" t="s">
        <v>41</v>
      </c>
      <c r="AG23" s="10">
        <v>2010</v>
      </c>
      <c r="AH23" s="21" t="s">
        <v>42</v>
      </c>
      <c r="AI23" s="2">
        <v>49.33</v>
      </c>
      <c r="AJ23" s="2">
        <v>2.19</v>
      </c>
      <c r="AK23" s="2">
        <v>0.1</v>
      </c>
      <c r="AP23" s="2">
        <v>20</v>
      </c>
      <c r="AX23" s="2" t="s">
        <v>411</v>
      </c>
      <c r="AY23" s="2" t="s">
        <v>412</v>
      </c>
      <c r="BC23" s="119"/>
      <c r="BD23" s="119"/>
      <c r="BG23" s="2" t="s">
        <v>410</v>
      </c>
      <c r="BH23" s="2">
        <v>0.15</v>
      </c>
    </row>
    <row r="24" spans="1:60" x14ac:dyDescent="0.3">
      <c r="A24" s="11">
        <v>20.3</v>
      </c>
      <c r="B24" s="11">
        <v>4000</v>
      </c>
      <c r="C24" s="10" t="s">
        <v>33</v>
      </c>
      <c r="D24" s="10" t="s">
        <v>35</v>
      </c>
      <c r="E24" s="10" t="s">
        <v>170</v>
      </c>
      <c r="F24" s="10" t="s">
        <v>34</v>
      </c>
      <c r="G24" s="20">
        <v>0.16600000000000001</v>
      </c>
      <c r="H24" s="10" t="s">
        <v>34</v>
      </c>
      <c r="I24" s="10" t="s">
        <v>34</v>
      </c>
      <c r="J24" s="10">
        <v>1.64</v>
      </c>
      <c r="K24" s="10" t="s">
        <v>34</v>
      </c>
      <c r="L24" s="10" t="s">
        <v>34</v>
      </c>
      <c r="M24" s="10" t="s">
        <v>34</v>
      </c>
      <c r="N24" s="20">
        <v>1560</v>
      </c>
      <c r="O24" s="10" t="s">
        <v>34</v>
      </c>
      <c r="P24" s="10" t="s">
        <v>34</v>
      </c>
      <c r="Q24" s="10" t="s">
        <v>34</v>
      </c>
      <c r="R24" s="10" t="s">
        <v>34</v>
      </c>
      <c r="S24" s="10" t="s">
        <v>34</v>
      </c>
      <c r="T24" s="10" t="s">
        <v>36</v>
      </c>
      <c r="U24" s="20" t="s">
        <v>37</v>
      </c>
      <c r="V24" s="20" t="s">
        <v>38</v>
      </c>
      <c r="W24" s="10">
        <v>10</v>
      </c>
      <c r="X24" s="10">
        <v>1</v>
      </c>
      <c r="Y24" s="10">
        <v>1</v>
      </c>
      <c r="Z24" s="10" t="s">
        <v>39</v>
      </c>
      <c r="AA24" s="10">
        <v>1.1000000000000001</v>
      </c>
      <c r="AC24" s="10" t="s">
        <v>40</v>
      </c>
      <c r="AD24" s="10" t="s">
        <v>32</v>
      </c>
      <c r="AE24" s="20">
        <f t="shared" si="0"/>
        <v>0.5776</v>
      </c>
      <c r="AF24" s="10" t="s">
        <v>41</v>
      </c>
      <c r="AG24" s="10">
        <v>2010</v>
      </c>
      <c r="AH24" s="21" t="s">
        <v>42</v>
      </c>
      <c r="AI24" s="2">
        <v>49.33</v>
      </c>
      <c r="AJ24" s="2">
        <v>2.19</v>
      </c>
      <c r="AK24" s="2">
        <v>0.1</v>
      </c>
      <c r="AP24" s="2">
        <v>21</v>
      </c>
      <c r="AX24" s="2">
        <v>0.6</v>
      </c>
      <c r="AY24" s="2">
        <v>9.5010200000000005</v>
      </c>
      <c r="BC24" s="2" t="s">
        <v>411</v>
      </c>
      <c r="BD24" s="2" t="s">
        <v>412</v>
      </c>
      <c r="BG24" s="2" t="s">
        <v>414</v>
      </c>
      <c r="BH24" s="2">
        <f>BH23/(1+BH23)</f>
        <v>0.13043478260869565</v>
      </c>
    </row>
    <row r="25" spans="1:60" x14ac:dyDescent="0.3">
      <c r="A25" s="11">
        <v>20.5</v>
      </c>
      <c r="B25" s="11">
        <v>2900</v>
      </c>
      <c r="C25" s="10" t="s">
        <v>33</v>
      </c>
      <c r="D25" s="10" t="s">
        <v>35</v>
      </c>
      <c r="E25" s="10" t="s">
        <v>170</v>
      </c>
      <c r="F25" s="10" t="s">
        <v>34</v>
      </c>
      <c r="G25" s="20">
        <v>0.16600000000000001</v>
      </c>
      <c r="H25" s="10" t="s">
        <v>34</v>
      </c>
      <c r="I25" s="10" t="s">
        <v>34</v>
      </c>
      <c r="J25" s="10">
        <v>1.64</v>
      </c>
      <c r="K25" s="10" t="s">
        <v>34</v>
      </c>
      <c r="L25" s="10" t="s">
        <v>34</v>
      </c>
      <c r="M25" s="10" t="s">
        <v>34</v>
      </c>
      <c r="N25" s="20">
        <v>1560</v>
      </c>
      <c r="O25" s="10" t="s">
        <v>34</v>
      </c>
      <c r="P25" s="10" t="s">
        <v>34</v>
      </c>
      <c r="Q25" s="10" t="s">
        <v>34</v>
      </c>
      <c r="R25" s="10" t="s">
        <v>34</v>
      </c>
      <c r="S25" s="10" t="s">
        <v>34</v>
      </c>
      <c r="T25" s="10" t="s">
        <v>36</v>
      </c>
      <c r="U25" s="20" t="s">
        <v>37</v>
      </c>
      <c r="V25" s="20" t="s">
        <v>38</v>
      </c>
      <c r="W25" s="10">
        <v>10</v>
      </c>
      <c r="X25" s="10">
        <v>1</v>
      </c>
      <c r="Y25" s="10">
        <v>1</v>
      </c>
      <c r="Z25" s="10" t="s">
        <v>39</v>
      </c>
      <c r="AA25" s="10">
        <v>1.1000000000000001</v>
      </c>
      <c r="AC25" s="10" t="s">
        <v>40</v>
      </c>
      <c r="AD25" s="10" t="s">
        <v>32</v>
      </c>
      <c r="AE25" s="20">
        <f t="shared" si="0"/>
        <v>0.5776</v>
      </c>
      <c r="AF25" s="10" t="s">
        <v>41</v>
      </c>
      <c r="AG25" s="10">
        <v>2010</v>
      </c>
      <c r="AH25" s="21" t="s">
        <v>42</v>
      </c>
      <c r="AI25" s="2">
        <v>49.33</v>
      </c>
      <c r="AJ25" s="2">
        <v>2.19</v>
      </c>
      <c r="AK25" s="2">
        <v>0.1</v>
      </c>
      <c r="AP25" s="2">
        <v>22</v>
      </c>
      <c r="AX25" s="2">
        <v>0.61</v>
      </c>
      <c r="AY25" s="2">
        <v>9.62547</v>
      </c>
      <c r="BC25" s="2">
        <v>0.6</v>
      </c>
      <c r="BD25" s="2">
        <v>57.744900000000001</v>
      </c>
    </row>
    <row r="26" spans="1:60" x14ac:dyDescent="0.3">
      <c r="A26" s="11">
        <v>21.4</v>
      </c>
      <c r="B26" s="11">
        <v>3800</v>
      </c>
      <c r="C26" s="10" t="s">
        <v>33</v>
      </c>
      <c r="D26" s="10" t="s">
        <v>35</v>
      </c>
      <c r="E26" s="10" t="s">
        <v>170</v>
      </c>
      <c r="F26" s="10" t="s">
        <v>34</v>
      </c>
      <c r="G26" s="20">
        <v>0.16600000000000001</v>
      </c>
      <c r="H26" s="10" t="s">
        <v>34</v>
      </c>
      <c r="I26" s="10" t="s">
        <v>34</v>
      </c>
      <c r="J26" s="10">
        <v>1.64</v>
      </c>
      <c r="K26" s="10" t="s">
        <v>34</v>
      </c>
      <c r="L26" s="10" t="s">
        <v>34</v>
      </c>
      <c r="M26" s="10" t="s">
        <v>34</v>
      </c>
      <c r="N26" s="20">
        <v>1560</v>
      </c>
      <c r="O26" s="10" t="s">
        <v>34</v>
      </c>
      <c r="P26" s="10" t="s">
        <v>34</v>
      </c>
      <c r="Q26" s="10" t="s">
        <v>34</v>
      </c>
      <c r="R26" s="10" t="s">
        <v>34</v>
      </c>
      <c r="S26" s="10" t="s">
        <v>34</v>
      </c>
      <c r="T26" s="10" t="s">
        <v>36</v>
      </c>
      <c r="U26" s="20" t="s">
        <v>37</v>
      </c>
      <c r="V26" s="20" t="s">
        <v>38</v>
      </c>
      <c r="W26" s="10">
        <v>10</v>
      </c>
      <c r="X26" s="10">
        <v>1</v>
      </c>
      <c r="Y26" s="10">
        <v>1</v>
      </c>
      <c r="Z26" s="10" t="s">
        <v>39</v>
      </c>
      <c r="AA26" s="10">
        <v>1.1000000000000001</v>
      </c>
      <c r="AC26" s="10" t="s">
        <v>40</v>
      </c>
      <c r="AD26" s="10" t="s">
        <v>32</v>
      </c>
      <c r="AE26" s="20">
        <f t="shared" si="0"/>
        <v>0.5776</v>
      </c>
      <c r="AF26" s="10" t="s">
        <v>41</v>
      </c>
      <c r="AG26" s="10">
        <v>2010</v>
      </c>
      <c r="AH26" s="21" t="s">
        <v>42</v>
      </c>
      <c r="AI26" s="2">
        <v>49.33</v>
      </c>
      <c r="AJ26" s="2">
        <v>2.19</v>
      </c>
      <c r="AK26" s="2">
        <v>0.1</v>
      </c>
      <c r="AP26" s="2">
        <v>23</v>
      </c>
      <c r="AX26" s="2">
        <v>0.62</v>
      </c>
      <c r="AY26" s="2">
        <v>9.7521400000000007</v>
      </c>
      <c r="BC26" s="2">
        <v>0.61</v>
      </c>
      <c r="BD26" s="2">
        <v>58.8217</v>
      </c>
    </row>
    <row r="27" spans="1:60" x14ac:dyDescent="0.3">
      <c r="A27" s="11">
        <v>22.5</v>
      </c>
      <c r="B27" s="11">
        <v>4200</v>
      </c>
      <c r="C27" s="10" t="s">
        <v>33</v>
      </c>
      <c r="D27" s="10" t="s">
        <v>35</v>
      </c>
      <c r="E27" s="10" t="s">
        <v>170</v>
      </c>
      <c r="F27" s="10" t="s">
        <v>34</v>
      </c>
      <c r="G27" s="20">
        <v>0.16600000000000001</v>
      </c>
      <c r="H27" s="10" t="s">
        <v>34</v>
      </c>
      <c r="I27" s="10" t="s">
        <v>34</v>
      </c>
      <c r="J27" s="10">
        <v>1.64</v>
      </c>
      <c r="K27" s="10" t="s">
        <v>34</v>
      </c>
      <c r="L27" s="10" t="s">
        <v>34</v>
      </c>
      <c r="M27" s="10" t="s">
        <v>34</v>
      </c>
      <c r="N27" s="20">
        <v>1560</v>
      </c>
      <c r="O27" s="10" t="s">
        <v>34</v>
      </c>
      <c r="P27" s="10" t="s">
        <v>34</v>
      </c>
      <c r="Q27" s="10" t="s">
        <v>34</v>
      </c>
      <c r="R27" s="10" t="s">
        <v>34</v>
      </c>
      <c r="S27" s="10" t="s">
        <v>34</v>
      </c>
      <c r="T27" s="10" t="s">
        <v>36</v>
      </c>
      <c r="U27" s="20" t="s">
        <v>37</v>
      </c>
      <c r="V27" s="20" t="s">
        <v>38</v>
      </c>
      <c r="W27" s="10">
        <v>10</v>
      </c>
      <c r="X27" s="10">
        <v>1</v>
      </c>
      <c r="Y27" s="10">
        <v>1</v>
      </c>
      <c r="Z27" s="10" t="s">
        <v>39</v>
      </c>
      <c r="AA27" s="10">
        <v>1.1000000000000001</v>
      </c>
      <c r="AC27" s="10" t="s">
        <v>40</v>
      </c>
      <c r="AD27" s="10" t="s">
        <v>32</v>
      </c>
      <c r="AE27" s="20">
        <f t="shared" si="0"/>
        <v>0.5776</v>
      </c>
      <c r="AF27" s="10" t="s">
        <v>41</v>
      </c>
      <c r="AG27" s="10">
        <v>2010</v>
      </c>
      <c r="AH27" s="21" t="s">
        <v>42</v>
      </c>
      <c r="AI27" s="2">
        <v>49.33</v>
      </c>
      <c r="AJ27" s="2">
        <v>2.19</v>
      </c>
      <c r="AK27" s="2">
        <v>0.1</v>
      </c>
      <c r="AP27" s="2">
        <v>24</v>
      </c>
      <c r="AX27" s="2">
        <v>0.63</v>
      </c>
      <c r="AY27" s="2">
        <v>9.8811699999999991</v>
      </c>
      <c r="BC27" s="2">
        <v>0.62</v>
      </c>
      <c r="BD27" s="2">
        <v>59.9161</v>
      </c>
    </row>
    <row r="28" spans="1:60" x14ac:dyDescent="0.3">
      <c r="A28" s="11">
        <v>23.4</v>
      </c>
      <c r="B28" s="11">
        <v>2500</v>
      </c>
      <c r="C28" s="10" t="s">
        <v>33</v>
      </c>
      <c r="D28" s="10" t="s">
        <v>35</v>
      </c>
      <c r="E28" s="10" t="s">
        <v>170</v>
      </c>
      <c r="F28" s="10" t="s">
        <v>34</v>
      </c>
      <c r="G28" s="20">
        <v>0.16600000000000001</v>
      </c>
      <c r="H28" s="10" t="s">
        <v>34</v>
      </c>
      <c r="I28" s="10" t="s">
        <v>34</v>
      </c>
      <c r="J28" s="10">
        <v>1.64</v>
      </c>
      <c r="K28" s="10" t="s">
        <v>34</v>
      </c>
      <c r="L28" s="10" t="s">
        <v>34</v>
      </c>
      <c r="M28" s="10" t="s">
        <v>34</v>
      </c>
      <c r="N28" s="20">
        <v>1560</v>
      </c>
      <c r="O28" s="10" t="s">
        <v>34</v>
      </c>
      <c r="P28" s="10" t="s">
        <v>34</v>
      </c>
      <c r="Q28" s="10" t="s">
        <v>34</v>
      </c>
      <c r="R28" s="10" t="s">
        <v>34</v>
      </c>
      <c r="S28" s="10" t="s">
        <v>34</v>
      </c>
      <c r="T28" s="10" t="s">
        <v>36</v>
      </c>
      <c r="U28" s="20" t="s">
        <v>37</v>
      </c>
      <c r="V28" s="20" t="s">
        <v>38</v>
      </c>
      <c r="W28" s="10">
        <v>10</v>
      </c>
      <c r="X28" s="10">
        <v>1</v>
      </c>
      <c r="Y28" s="10">
        <v>1</v>
      </c>
      <c r="Z28" s="10" t="s">
        <v>39</v>
      </c>
      <c r="AA28" s="10">
        <v>1.1000000000000001</v>
      </c>
      <c r="AC28" s="10" t="s">
        <v>40</v>
      </c>
      <c r="AD28" s="10" t="s">
        <v>32</v>
      </c>
      <c r="AE28" s="20">
        <f t="shared" si="0"/>
        <v>0.5776</v>
      </c>
      <c r="AF28" s="10" t="s">
        <v>41</v>
      </c>
      <c r="AG28" s="10">
        <v>2010</v>
      </c>
      <c r="AH28" s="21" t="s">
        <v>42</v>
      </c>
      <c r="AI28" s="2">
        <v>49.33</v>
      </c>
      <c r="AJ28" s="2">
        <v>2.19</v>
      </c>
      <c r="AK28" s="2">
        <v>0.1</v>
      </c>
      <c r="AP28" s="2">
        <v>25</v>
      </c>
      <c r="AX28" s="2">
        <v>0.64</v>
      </c>
      <c r="AY28" s="2">
        <v>10.012700000000001</v>
      </c>
      <c r="BC28" s="2">
        <v>0.63</v>
      </c>
      <c r="BD28" s="2">
        <v>61.0289</v>
      </c>
    </row>
    <row r="29" spans="1:60" x14ac:dyDescent="0.3">
      <c r="A29" s="11">
        <v>22.6</v>
      </c>
      <c r="B29" s="11">
        <v>7600</v>
      </c>
      <c r="C29" s="10" t="s">
        <v>33</v>
      </c>
      <c r="D29" s="10" t="s">
        <v>35</v>
      </c>
      <c r="E29" s="10" t="s">
        <v>170</v>
      </c>
      <c r="F29" s="10" t="s">
        <v>34</v>
      </c>
      <c r="G29" s="20">
        <v>0.16600000000000001</v>
      </c>
      <c r="H29" s="10" t="s">
        <v>34</v>
      </c>
      <c r="I29" s="10" t="s">
        <v>34</v>
      </c>
      <c r="J29" s="10">
        <v>1.64</v>
      </c>
      <c r="K29" s="10" t="s">
        <v>34</v>
      </c>
      <c r="L29" s="10" t="s">
        <v>34</v>
      </c>
      <c r="M29" s="10" t="s">
        <v>34</v>
      </c>
      <c r="N29" s="20">
        <v>1560</v>
      </c>
      <c r="O29" s="10" t="s">
        <v>34</v>
      </c>
      <c r="P29" s="10" t="s">
        <v>34</v>
      </c>
      <c r="Q29" s="10" t="s">
        <v>34</v>
      </c>
      <c r="R29" s="10" t="s">
        <v>34</v>
      </c>
      <c r="S29" s="10" t="s">
        <v>34</v>
      </c>
      <c r="T29" s="10" t="s">
        <v>36</v>
      </c>
      <c r="U29" s="20" t="s">
        <v>37</v>
      </c>
      <c r="V29" s="20" t="s">
        <v>38</v>
      </c>
      <c r="W29" s="10">
        <v>10</v>
      </c>
      <c r="X29" s="10">
        <v>1</v>
      </c>
      <c r="Y29" s="10">
        <v>1</v>
      </c>
      <c r="Z29" s="10" t="s">
        <v>39</v>
      </c>
      <c r="AA29" s="10">
        <v>1.1000000000000001</v>
      </c>
      <c r="AC29" s="10" t="s">
        <v>40</v>
      </c>
      <c r="AD29" s="10" t="s">
        <v>32</v>
      </c>
      <c r="AE29" s="20">
        <f t="shared" si="0"/>
        <v>0.5776</v>
      </c>
      <c r="AF29" s="10" t="s">
        <v>41</v>
      </c>
      <c r="AG29" s="10">
        <v>2010</v>
      </c>
      <c r="AH29" s="21" t="s">
        <v>42</v>
      </c>
      <c r="AI29" s="2">
        <v>49.33</v>
      </c>
      <c r="AJ29" s="2">
        <v>2.19</v>
      </c>
      <c r="AK29" s="2">
        <v>0.1</v>
      </c>
      <c r="AP29" s="2">
        <v>26</v>
      </c>
      <c r="AX29" s="2">
        <v>0.65</v>
      </c>
      <c r="AY29" s="2">
        <v>10.1469</v>
      </c>
      <c r="BC29" s="2">
        <v>0.64</v>
      </c>
      <c r="BD29" s="2">
        <v>62.161499999999997</v>
      </c>
    </row>
    <row r="30" spans="1:60" x14ac:dyDescent="0.3">
      <c r="A30" s="11">
        <v>23.2</v>
      </c>
      <c r="B30" s="11">
        <v>6000</v>
      </c>
      <c r="C30" s="10" t="s">
        <v>33</v>
      </c>
      <c r="D30" s="10" t="s">
        <v>35</v>
      </c>
      <c r="E30" s="10" t="s">
        <v>170</v>
      </c>
      <c r="F30" s="10" t="s">
        <v>34</v>
      </c>
      <c r="G30" s="20">
        <v>0.16600000000000001</v>
      </c>
      <c r="H30" s="10" t="s">
        <v>34</v>
      </c>
      <c r="I30" s="10" t="s">
        <v>34</v>
      </c>
      <c r="J30" s="10">
        <v>1.64</v>
      </c>
      <c r="K30" s="10" t="s">
        <v>34</v>
      </c>
      <c r="L30" s="10" t="s">
        <v>34</v>
      </c>
      <c r="M30" s="10" t="s">
        <v>34</v>
      </c>
      <c r="N30" s="20">
        <v>1560</v>
      </c>
      <c r="O30" s="10" t="s">
        <v>34</v>
      </c>
      <c r="P30" s="10" t="s">
        <v>34</v>
      </c>
      <c r="Q30" s="10" t="s">
        <v>34</v>
      </c>
      <c r="R30" s="10" t="s">
        <v>34</v>
      </c>
      <c r="S30" s="10" t="s">
        <v>34</v>
      </c>
      <c r="T30" s="10" t="s">
        <v>36</v>
      </c>
      <c r="U30" s="20" t="s">
        <v>37</v>
      </c>
      <c r="V30" s="20" t="s">
        <v>38</v>
      </c>
      <c r="W30" s="10">
        <v>10</v>
      </c>
      <c r="X30" s="10">
        <v>1</v>
      </c>
      <c r="Y30" s="10">
        <v>1</v>
      </c>
      <c r="Z30" s="10" t="s">
        <v>39</v>
      </c>
      <c r="AA30" s="10">
        <v>1.1000000000000001</v>
      </c>
      <c r="AC30" s="10" t="s">
        <v>40</v>
      </c>
      <c r="AD30" s="10" t="s">
        <v>32</v>
      </c>
      <c r="AE30" s="20">
        <f t="shared" si="0"/>
        <v>0.5776</v>
      </c>
      <c r="AF30" s="10" t="s">
        <v>41</v>
      </c>
      <c r="AG30" s="10">
        <v>2010</v>
      </c>
      <c r="AH30" s="21" t="s">
        <v>42</v>
      </c>
      <c r="AI30" s="2">
        <v>49.33</v>
      </c>
      <c r="AJ30" s="2">
        <v>2.19</v>
      </c>
      <c r="AK30" s="2">
        <v>0.1</v>
      </c>
      <c r="AP30" s="2">
        <v>27</v>
      </c>
      <c r="AX30" s="2">
        <v>0.66</v>
      </c>
      <c r="AY30" s="2">
        <v>10.283899999999999</v>
      </c>
      <c r="BC30" s="2">
        <v>0.65</v>
      </c>
      <c r="BD30" s="2">
        <v>63.315100000000001</v>
      </c>
    </row>
    <row r="31" spans="1:60" x14ac:dyDescent="0.3">
      <c r="A31" s="11">
        <v>23.1</v>
      </c>
      <c r="B31" s="11">
        <v>4000</v>
      </c>
      <c r="C31" s="10" t="s">
        <v>33</v>
      </c>
      <c r="D31" s="10" t="s">
        <v>35</v>
      </c>
      <c r="E31" s="10" t="s">
        <v>170</v>
      </c>
      <c r="F31" s="10" t="s">
        <v>34</v>
      </c>
      <c r="G31" s="20">
        <v>0.16600000000000001</v>
      </c>
      <c r="H31" s="10" t="s">
        <v>34</v>
      </c>
      <c r="I31" s="10" t="s">
        <v>34</v>
      </c>
      <c r="J31" s="10">
        <v>1.64</v>
      </c>
      <c r="K31" s="10" t="s">
        <v>34</v>
      </c>
      <c r="L31" s="10" t="s">
        <v>34</v>
      </c>
      <c r="M31" s="10" t="s">
        <v>34</v>
      </c>
      <c r="N31" s="20">
        <v>1560</v>
      </c>
      <c r="O31" s="10" t="s">
        <v>34</v>
      </c>
      <c r="P31" s="10" t="s">
        <v>34</v>
      </c>
      <c r="Q31" s="10" t="s">
        <v>34</v>
      </c>
      <c r="R31" s="10" t="s">
        <v>34</v>
      </c>
      <c r="S31" s="10" t="s">
        <v>34</v>
      </c>
      <c r="T31" s="10" t="s">
        <v>36</v>
      </c>
      <c r="U31" s="20" t="s">
        <v>37</v>
      </c>
      <c r="V31" s="20" t="s">
        <v>38</v>
      </c>
      <c r="W31" s="10">
        <v>10</v>
      </c>
      <c r="X31" s="10">
        <v>1</v>
      </c>
      <c r="Y31" s="10">
        <v>1</v>
      </c>
      <c r="Z31" s="10" t="s">
        <v>39</v>
      </c>
      <c r="AA31" s="10">
        <v>1.1000000000000001</v>
      </c>
      <c r="AC31" s="10" t="s">
        <v>40</v>
      </c>
      <c r="AD31" s="10" t="s">
        <v>32</v>
      </c>
      <c r="AE31" s="20">
        <f t="shared" si="0"/>
        <v>0.5776</v>
      </c>
      <c r="AF31" s="10" t="s">
        <v>41</v>
      </c>
      <c r="AG31" s="10">
        <v>2010</v>
      </c>
      <c r="AH31" s="21" t="s">
        <v>42</v>
      </c>
      <c r="AI31" s="2">
        <v>49.33</v>
      </c>
      <c r="AJ31" s="2">
        <v>2.19</v>
      </c>
      <c r="AK31" s="2">
        <v>0.1</v>
      </c>
      <c r="AP31" s="2">
        <v>28</v>
      </c>
      <c r="AX31" s="2">
        <v>0.67</v>
      </c>
      <c r="AY31" s="2">
        <v>10.4239</v>
      </c>
      <c r="BC31" s="2">
        <v>0.66</v>
      </c>
      <c r="BD31" s="2">
        <v>64.491</v>
      </c>
    </row>
    <row r="32" spans="1:60" x14ac:dyDescent="0.3">
      <c r="A32" s="11">
        <v>23.2</v>
      </c>
      <c r="B32" s="11">
        <v>6200</v>
      </c>
      <c r="C32" s="10" t="s">
        <v>33</v>
      </c>
      <c r="D32" s="10" t="s">
        <v>35</v>
      </c>
      <c r="E32" s="10" t="s">
        <v>170</v>
      </c>
      <c r="F32" s="10" t="s">
        <v>34</v>
      </c>
      <c r="G32" s="20">
        <v>0.16600000000000001</v>
      </c>
      <c r="H32" s="10" t="s">
        <v>34</v>
      </c>
      <c r="I32" s="10" t="s">
        <v>34</v>
      </c>
      <c r="J32" s="10">
        <v>1.64</v>
      </c>
      <c r="K32" s="10" t="s">
        <v>34</v>
      </c>
      <c r="L32" s="10" t="s">
        <v>34</v>
      </c>
      <c r="M32" s="10" t="s">
        <v>34</v>
      </c>
      <c r="N32" s="20">
        <v>1560</v>
      </c>
      <c r="O32" s="10" t="s">
        <v>34</v>
      </c>
      <c r="P32" s="10" t="s">
        <v>34</v>
      </c>
      <c r="Q32" s="10" t="s">
        <v>34</v>
      </c>
      <c r="R32" s="10" t="s">
        <v>34</v>
      </c>
      <c r="S32" s="10" t="s">
        <v>34</v>
      </c>
      <c r="T32" s="10" t="s">
        <v>36</v>
      </c>
      <c r="U32" s="20" t="s">
        <v>37</v>
      </c>
      <c r="V32" s="20" t="s">
        <v>38</v>
      </c>
      <c r="W32" s="10">
        <v>10</v>
      </c>
      <c r="X32" s="10">
        <v>1</v>
      </c>
      <c r="Y32" s="10">
        <v>1</v>
      </c>
      <c r="Z32" s="10" t="s">
        <v>39</v>
      </c>
      <c r="AA32" s="10">
        <v>1.1000000000000001</v>
      </c>
      <c r="AC32" s="10" t="s">
        <v>40</v>
      </c>
      <c r="AD32" s="10" t="s">
        <v>32</v>
      </c>
      <c r="AE32" s="20">
        <f t="shared" si="0"/>
        <v>0.5776</v>
      </c>
      <c r="AF32" s="10" t="s">
        <v>41</v>
      </c>
      <c r="AG32" s="10">
        <v>2010</v>
      </c>
      <c r="AH32" s="21" t="s">
        <v>42</v>
      </c>
      <c r="AI32" s="2">
        <v>49.33</v>
      </c>
      <c r="AJ32" s="2">
        <v>2.19</v>
      </c>
      <c r="AK32" s="2">
        <v>0.1</v>
      </c>
      <c r="AP32" s="2">
        <v>29</v>
      </c>
      <c r="AX32" s="2">
        <v>0.68</v>
      </c>
      <c r="AY32" s="2">
        <v>10.5671</v>
      </c>
      <c r="BC32" s="2">
        <v>0.67</v>
      </c>
      <c r="BD32" s="2">
        <v>65.690700000000007</v>
      </c>
    </row>
    <row r="33" spans="1:56" x14ac:dyDescent="0.3">
      <c r="A33" s="11">
        <v>23.8</v>
      </c>
      <c r="B33" s="11">
        <v>8000</v>
      </c>
      <c r="C33" s="10" t="s">
        <v>33</v>
      </c>
      <c r="D33" s="10" t="s">
        <v>35</v>
      </c>
      <c r="E33" s="10" t="s">
        <v>170</v>
      </c>
      <c r="F33" s="10" t="s">
        <v>34</v>
      </c>
      <c r="G33" s="20">
        <v>0.16600000000000001</v>
      </c>
      <c r="H33" s="10" t="s">
        <v>34</v>
      </c>
      <c r="I33" s="10" t="s">
        <v>34</v>
      </c>
      <c r="J33" s="10">
        <v>1.64</v>
      </c>
      <c r="K33" s="10" t="s">
        <v>34</v>
      </c>
      <c r="L33" s="10" t="s">
        <v>34</v>
      </c>
      <c r="M33" s="10" t="s">
        <v>34</v>
      </c>
      <c r="N33" s="20">
        <v>1560</v>
      </c>
      <c r="O33" s="10" t="s">
        <v>34</v>
      </c>
      <c r="P33" s="10" t="s">
        <v>34</v>
      </c>
      <c r="Q33" s="10" t="s">
        <v>34</v>
      </c>
      <c r="R33" s="10" t="s">
        <v>34</v>
      </c>
      <c r="S33" s="10" t="s">
        <v>34</v>
      </c>
      <c r="T33" s="10" t="s">
        <v>36</v>
      </c>
      <c r="U33" s="20" t="s">
        <v>37</v>
      </c>
      <c r="V33" s="20" t="s">
        <v>38</v>
      </c>
      <c r="W33" s="10">
        <v>10</v>
      </c>
      <c r="X33" s="10">
        <v>1</v>
      </c>
      <c r="Y33" s="10">
        <v>1</v>
      </c>
      <c r="Z33" s="10" t="s">
        <v>39</v>
      </c>
      <c r="AA33" s="10">
        <v>1.1000000000000001</v>
      </c>
      <c r="AC33" s="10" t="s">
        <v>40</v>
      </c>
      <c r="AD33" s="10" t="s">
        <v>32</v>
      </c>
      <c r="AE33" s="20">
        <f t="shared" si="0"/>
        <v>0.5776</v>
      </c>
      <c r="AF33" s="10" t="s">
        <v>41</v>
      </c>
      <c r="AG33" s="10">
        <v>2010</v>
      </c>
      <c r="AH33" s="21" t="s">
        <v>42</v>
      </c>
      <c r="AI33" s="2">
        <v>49.33</v>
      </c>
      <c r="AJ33" s="2">
        <v>2.19</v>
      </c>
      <c r="AK33" s="2">
        <v>0.1</v>
      </c>
      <c r="AP33" s="2">
        <v>30</v>
      </c>
      <c r="AX33" s="2">
        <v>0.69</v>
      </c>
      <c r="AY33" s="2">
        <v>10.713800000000001</v>
      </c>
      <c r="BC33" s="2">
        <v>0.68</v>
      </c>
      <c r="BD33" s="2">
        <v>66.915800000000004</v>
      </c>
    </row>
    <row r="34" spans="1:56" x14ac:dyDescent="0.3">
      <c r="A34" s="11">
        <v>24.7</v>
      </c>
      <c r="B34" s="11">
        <v>2700</v>
      </c>
      <c r="C34" s="10" t="s">
        <v>33</v>
      </c>
      <c r="D34" s="10" t="s">
        <v>35</v>
      </c>
      <c r="E34" s="10" t="s">
        <v>170</v>
      </c>
      <c r="F34" s="10" t="s">
        <v>34</v>
      </c>
      <c r="G34" s="20">
        <v>0.16600000000000001</v>
      </c>
      <c r="H34" s="10" t="s">
        <v>34</v>
      </c>
      <c r="I34" s="10" t="s">
        <v>34</v>
      </c>
      <c r="J34" s="10">
        <v>1.64</v>
      </c>
      <c r="K34" s="10" t="s">
        <v>34</v>
      </c>
      <c r="L34" s="10" t="s">
        <v>34</v>
      </c>
      <c r="M34" s="10" t="s">
        <v>34</v>
      </c>
      <c r="N34" s="20">
        <v>1560</v>
      </c>
      <c r="O34" s="10" t="s">
        <v>34</v>
      </c>
      <c r="P34" s="10" t="s">
        <v>34</v>
      </c>
      <c r="Q34" s="10" t="s">
        <v>34</v>
      </c>
      <c r="R34" s="10" t="s">
        <v>34</v>
      </c>
      <c r="S34" s="10" t="s">
        <v>34</v>
      </c>
      <c r="T34" s="10" t="s">
        <v>36</v>
      </c>
      <c r="U34" s="20" t="s">
        <v>37</v>
      </c>
      <c r="V34" s="20" t="s">
        <v>38</v>
      </c>
      <c r="W34" s="10">
        <v>10</v>
      </c>
      <c r="X34" s="10">
        <v>1</v>
      </c>
      <c r="Y34" s="10">
        <v>1</v>
      </c>
      <c r="Z34" s="10" t="s">
        <v>39</v>
      </c>
      <c r="AA34" s="10">
        <v>1.1000000000000001</v>
      </c>
      <c r="AC34" s="10" t="s">
        <v>40</v>
      </c>
      <c r="AD34" s="10" t="s">
        <v>32</v>
      </c>
      <c r="AE34" s="20">
        <f t="shared" si="0"/>
        <v>0.5776</v>
      </c>
      <c r="AF34" s="10" t="s">
        <v>41</v>
      </c>
      <c r="AG34" s="10">
        <v>2010</v>
      </c>
      <c r="AH34" s="21" t="s">
        <v>42</v>
      </c>
      <c r="AI34" s="2">
        <v>49.33</v>
      </c>
      <c r="AJ34" s="2">
        <v>2.19</v>
      </c>
      <c r="AK34" s="2">
        <v>0.1</v>
      </c>
      <c r="AP34" s="2">
        <v>31</v>
      </c>
      <c r="AX34" s="2">
        <v>0.7</v>
      </c>
      <c r="AY34" s="2">
        <v>10.864100000000001</v>
      </c>
      <c r="BC34" s="2">
        <v>0.69</v>
      </c>
      <c r="BD34" s="2">
        <v>68.168099999999995</v>
      </c>
    </row>
    <row r="35" spans="1:56" x14ac:dyDescent="0.3">
      <c r="A35" s="11">
        <v>24.8</v>
      </c>
      <c r="B35" s="11">
        <v>4700</v>
      </c>
      <c r="C35" s="10" t="s">
        <v>33</v>
      </c>
      <c r="D35" s="10" t="s">
        <v>35</v>
      </c>
      <c r="E35" s="10" t="s">
        <v>170</v>
      </c>
      <c r="F35" s="10" t="s">
        <v>34</v>
      </c>
      <c r="G35" s="20">
        <v>0.16600000000000001</v>
      </c>
      <c r="H35" s="10" t="s">
        <v>34</v>
      </c>
      <c r="I35" s="10" t="s">
        <v>34</v>
      </c>
      <c r="J35" s="10">
        <v>1.64</v>
      </c>
      <c r="K35" s="10" t="s">
        <v>34</v>
      </c>
      <c r="L35" s="10" t="s">
        <v>34</v>
      </c>
      <c r="M35" s="10" t="s">
        <v>34</v>
      </c>
      <c r="N35" s="20">
        <v>1560</v>
      </c>
      <c r="O35" s="10" t="s">
        <v>34</v>
      </c>
      <c r="P35" s="10" t="s">
        <v>34</v>
      </c>
      <c r="Q35" s="10" t="s">
        <v>34</v>
      </c>
      <c r="R35" s="10" t="s">
        <v>34</v>
      </c>
      <c r="S35" s="10" t="s">
        <v>34</v>
      </c>
      <c r="T35" s="10" t="s">
        <v>36</v>
      </c>
      <c r="U35" s="20" t="s">
        <v>37</v>
      </c>
      <c r="V35" s="20" t="s">
        <v>38</v>
      </c>
      <c r="W35" s="10">
        <v>10</v>
      </c>
      <c r="X35" s="10">
        <v>1</v>
      </c>
      <c r="Y35" s="10">
        <v>1</v>
      </c>
      <c r="Z35" s="10" t="s">
        <v>39</v>
      </c>
      <c r="AA35" s="10">
        <v>1.1000000000000001</v>
      </c>
      <c r="AC35" s="10" t="s">
        <v>40</v>
      </c>
      <c r="AD35" s="10" t="s">
        <v>32</v>
      </c>
      <c r="AE35" s="20">
        <f t="shared" si="0"/>
        <v>0.5776</v>
      </c>
      <c r="AF35" s="10" t="s">
        <v>41</v>
      </c>
      <c r="AG35" s="10">
        <v>2010</v>
      </c>
      <c r="AH35" s="21" t="s">
        <v>42</v>
      </c>
      <c r="AI35" s="2">
        <v>49.33</v>
      </c>
      <c r="AJ35" s="2">
        <v>2.19</v>
      </c>
      <c r="AK35" s="2">
        <v>0.1</v>
      </c>
      <c r="AP35" s="2">
        <v>32</v>
      </c>
      <c r="AX35" s="2">
        <v>0.71</v>
      </c>
      <c r="AY35" s="2">
        <v>11.0183</v>
      </c>
      <c r="BC35" s="2">
        <v>0.7</v>
      </c>
      <c r="BD35" s="2">
        <v>69.449299999999994</v>
      </c>
    </row>
    <row r="36" spans="1:56" x14ac:dyDescent="0.3">
      <c r="A36" s="11">
        <v>26.2</v>
      </c>
      <c r="B36" s="11">
        <v>4900</v>
      </c>
      <c r="C36" s="10" t="s">
        <v>33</v>
      </c>
      <c r="D36" s="10" t="s">
        <v>35</v>
      </c>
      <c r="E36" s="10" t="s">
        <v>170</v>
      </c>
      <c r="F36" s="10" t="s">
        <v>34</v>
      </c>
      <c r="G36" s="20">
        <v>0.16600000000000001</v>
      </c>
      <c r="H36" s="10" t="s">
        <v>34</v>
      </c>
      <c r="I36" s="10" t="s">
        <v>34</v>
      </c>
      <c r="J36" s="10">
        <v>1.64</v>
      </c>
      <c r="K36" s="10" t="s">
        <v>34</v>
      </c>
      <c r="L36" s="10" t="s">
        <v>34</v>
      </c>
      <c r="M36" s="10" t="s">
        <v>34</v>
      </c>
      <c r="N36" s="20">
        <v>1560</v>
      </c>
      <c r="O36" s="10" t="s">
        <v>34</v>
      </c>
      <c r="P36" s="10" t="s">
        <v>34</v>
      </c>
      <c r="Q36" s="10" t="s">
        <v>34</v>
      </c>
      <c r="R36" s="10" t="s">
        <v>34</v>
      </c>
      <c r="S36" s="10" t="s">
        <v>34</v>
      </c>
      <c r="T36" s="10" t="s">
        <v>36</v>
      </c>
      <c r="U36" s="20" t="s">
        <v>37</v>
      </c>
      <c r="V36" s="20" t="s">
        <v>38</v>
      </c>
      <c r="W36" s="10">
        <v>10</v>
      </c>
      <c r="X36" s="10">
        <v>1</v>
      </c>
      <c r="Y36" s="10">
        <v>1</v>
      </c>
      <c r="Z36" s="10" t="s">
        <v>39</v>
      </c>
      <c r="AA36" s="10">
        <v>1.1000000000000001</v>
      </c>
      <c r="AC36" s="10" t="s">
        <v>40</v>
      </c>
      <c r="AD36" s="10" t="s">
        <v>32</v>
      </c>
      <c r="AE36" s="20">
        <f t="shared" si="0"/>
        <v>0.5776</v>
      </c>
      <c r="AF36" s="10" t="s">
        <v>41</v>
      </c>
      <c r="AG36" s="10">
        <v>2010</v>
      </c>
      <c r="AH36" s="21" t="s">
        <v>42</v>
      </c>
      <c r="AI36" s="2">
        <v>49.33</v>
      </c>
      <c r="AJ36" s="2">
        <v>2.19</v>
      </c>
      <c r="AK36" s="2">
        <v>0.1</v>
      </c>
      <c r="AP36" s="2">
        <v>33</v>
      </c>
      <c r="AX36" s="2">
        <v>0.72</v>
      </c>
      <c r="AY36" s="2">
        <v>11.1767</v>
      </c>
      <c r="BC36" s="2">
        <v>0.71</v>
      </c>
      <c r="BD36" s="2">
        <v>70.761799999999994</v>
      </c>
    </row>
    <row r="37" spans="1:56" x14ac:dyDescent="0.3">
      <c r="A37" s="11">
        <v>25.6</v>
      </c>
      <c r="B37" s="11">
        <v>8600</v>
      </c>
      <c r="C37" s="10" t="s">
        <v>33</v>
      </c>
      <c r="D37" s="10" t="s">
        <v>35</v>
      </c>
      <c r="E37" s="10" t="s">
        <v>170</v>
      </c>
      <c r="F37" s="10" t="s">
        <v>34</v>
      </c>
      <c r="G37" s="20">
        <v>0.16600000000000001</v>
      </c>
      <c r="H37" s="10" t="s">
        <v>34</v>
      </c>
      <c r="I37" s="10" t="s">
        <v>34</v>
      </c>
      <c r="J37" s="10">
        <v>1.64</v>
      </c>
      <c r="K37" s="10" t="s">
        <v>34</v>
      </c>
      <c r="L37" s="10" t="s">
        <v>34</v>
      </c>
      <c r="M37" s="10" t="s">
        <v>34</v>
      </c>
      <c r="N37" s="20">
        <v>1560</v>
      </c>
      <c r="O37" s="10" t="s">
        <v>34</v>
      </c>
      <c r="P37" s="10" t="s">
        <v>34</v>
      </c>
      <c r="Q37" s="10" t="s">
        <v>34</v>
      </c>
      <c r="R37" s="10" t="s">
        <v>34</v>
      </c>
      <c r="S37" s="10" t="s">
        <v>34</v>
      </c>
      <c r="T37" s="10" t="s">
        <v>36</v>
      </c>
      <c r="U37" s="20" t="s">
        <v>37</v>
      </c>
      <c r="V37" s="20" t="s">
        <v>38</v>
      </c>
      <c r="W37" s="10">
        <v>10</v>
      </c>
      <c r="X37" s="10">
        <v>1</v>
      </c>
      <c r="Y37" s="10">
        <v>1</v>
      </c>
      <c r="Z37" s="10" t="s">
        <v>39</v>
      </c>
      <c r="AA37" s="10">
        <v>1.1000000000000001</v>
      </c>
      <c r="AC37" s="10" t="s">
        <v>40</v>
      </c>
      <c r="AD37" s="10" t="s">
        <v>32</v>
      </c>
      <c r="AE37" s="20">
        <f t="shared" si="0"/>
        <v>0.5776</v>
      </c>
      <c r="AF37" s="10" t="s">
        <v>41</v>
      </c>
      <c r="AG37" s="10">
        <v>2010</v>
      </c>
      <c r="AH37" s="21" t="s">
        <v>42</v>
      </c>
      <c r="AI37" s="2">
        <v>49.33</v>
      </c>
      <c r="AJ37" s="2">
        <v>2.19</v>
      </c>
      <c r="AK37" s="2">
        <v>0.1</v>
      </c>
      <c r="AP37" s="2">
        <v>34</v>
      </c>
      <c r="AX37" s="2">
        <v>0.73</v>
      </c>
      <c r="AY37" s="2">
        <v>11.339600000000001</v>
      </c>
      <c r="BC37" s="2">
        <v>0.72</v>
      </c>
      <c r="BD37" s="2">
        <v>72.107600000000005</v>
      </c>
    </row>
    <row r="38" spans="1:56" x14ac:dyDescent="0.3">
      <c r="A38" s="11">
        <v>25.2</v>
      </c>
      <c r="B38" s="11">
        <v>5900</v>
      </c>
      <c r="C38" s="10" t="s">
        <v>33</v>
      </c>
      <c r="D38" s="10" t="s">
        <v>35</v>
      </c>
      <c r="E38" s="10" t="s">
        <v>170</v>
      </c>
      <c r="F38" s="10" t="s">
        <v>34</v>
      </c>
      <c r="G38" s="20">
        <v>0.16600000000000001</v>
      </c>
      <c r="H38" s="10" t="s">
        <v>34</v>
      </c>
      <c r="I38" s="10" t="s">
        <v>34</v>
      </c>
      <c r="J38" s="10">
        <v>1.64</v>
      </c>
      <c r="K38" s="10" t="s">
        <v>34</v>
      </c>
      <c r="L38" s="10" t="s">
        <v>34</v>
      </c>
      <c r="M38" s="10" t="s">
        <v>34</v>
      </c>
      <c r="N38" s="20">
        <v>1560</v>
      </c>
      <c r="O38" s="10" t="s">
        <v>34</v>
      </c>
      <c r="P38" s="10" t="s">
        <v>34</v>
      </c>
      <c r="Q38" s="10" t="s">
        <v>34</v>
      </c>
      <c r="R38" s="10" t="s">
        <v>34</v>
      </c>
      <c r="S38" s="10" t="s">
        <v>34</v>
      </c>
      <c r="T38" s="10" t="s">
        <v>36</v>
      </c>
      <c r="U38" s="20" t="s">
        <v>37</v>
      </c>
      <c r="V38" s="20" t="s">
        <v>38</v>
      </c>
      <c r="W38" s="10">
        <v>10</v>
      </c>
      <c r="X38" s="10">
        <v>1</v>
      </c>
      <c r="Y38" s="10">
        <v>1</v>
      </c>
      <c r="Z38" s="10" t="s">
        <v>39</v>
      </c>
      <c r="AA38" s="10">
        <v>1.1000000000000001</v>
      </c>
      <c r="AC38" s="10" t="s">
        <v>40</v>
      </c>
      <c r="AD38" s="10" t="s">
        <v>32</v>
      </c>
      <c r="AE38" s="20">
        <f t="shared" si="0"/>
        <v>0.5776</v>
      </c>
      <c r="AF38" s="10" t="s">
        <v>41</v>
      </c>
      <c r="AG38" s="10">
        <v>2010</v>
      </c>
      <c r="AH38" s="21" t="s">
        <v>42</v>
      </c>
      <c r="AI38" s="2">
        <v>49.33</v>
      </c>
      <c r="AJ38" s="2">
        <v>2.19</v>
      </c>
      <c r="AK38" s="2">
        <v>0.1</v>
      </c>
      <c r="AP38" s="2">
        <v>35</v>
      </c>
      <c r="AX38" s="2">
        <v>0.74</v>
      </c>
      <c r="AY38" s="2">
        <v>11.507400000000001</v>
      </c>
      <c r="BC38" s="2">
        <v>0.73</v>
      </c>
      <c r="BD38" s="2">
        <v>73.4893</v>
      </c>
    </row>
    <row r="39" spans="1:56" x14ac:dyDescent="0.3">
      <c r="A39" s="11">
        <v>24.8</v>
      </c>
      <c r="B39" s="11">
        <v>12400</v>
      </c>
      <c r="C39" s="10" t="s">
        <v>33</v>
      </c>
      <c r="D39" s="10" t="s">
        <v>35</v>
      </c>
      <c r="E39" s="10" t="s">
        <v>170</v>
      </c>
      <c r="F39" s="10" t="s">
        <v>34</v>
      </c>
      <c r="G39" s="20">
        <v>0.16600000000000001</v>
      </c>
      <c r="H39" s="10" t="s">
        <v>34</v>
      </c>
      <c r="I39" s="10" t="s">
        <v>34</v>
      </c>
      <c r="J39" s="10">
        <v>1.64</v>
      </c>
      <c r="K39" s="10" t="s">
        <v>34</v>
      </c>
      <c r="L39" s="10" t="s">
        <v>34</v>
      </c>
      <c r="M39" s="10" t="s">
        <v>34</v>
      </c>
      <c r="N39" s="20">
        <v>1560</v>
      </c>
      <c r="O39" s="10" t="s">
        <v>34</v>
      </c>
      <c r="P39" s="10" t="s">
        <v>34</v>
      </c>
      <c r="Q39" s="10" t="s">
        <v>34</v>
      </c>
      <c r="R39" s="10" t="s">
        <v>34</v>
      </c>
      <c r="S39" s="10" t="s">
        <v>34</v>
      </c>
      <c r="T39" s="10" t="s">
        <v>36</v>
      </c>
      <c r="U39" s="20" t="s">
        <v>37</v>
      </c>
      <c r="V39" s="20" t="s">
        <v>38</v>
      </c>
      <c r="W39" s="10">
        <v>10</v>
      </c>
      <c r="X39" s="10">
        <v>1</v>
      </c>
      <c r="Y39" s="10">
        <v>1</v>
      </c>
      <c r="Z39" s="10" t="s">
        <v>39</v>
      </c>
      <c r="AA39" s="10">
        <v>1.1000000000000001</v>
      </c>
      <c r="AC39" s="10" t="s">
        <v>40</v>
      </c>
      <c r="AD39" s="10" t="s">
        <v>32</v>
      </c>
      <c r="AE39" s="20">
        <f t="shared" si="0"/>
        <v>0.5776</v>
      </c>
      <c r="AF39" s="10" t="s">
        <v>41</v>
      </c>
      <c r="AG39" s="10">
        <v>2010</v>
      </c>
      <c r="AH39" s="21" t="s">
        <v>42</v>
      </c>
      <c r="AI39" s="2">
        <v>49.33</v>
      </c>
      <c r="AJ39" s="2">
        <v>2.19</v>
      </c>
      <c r="AK39" s="2">
        <v>0.1</v>
      </c>
      <c r="AP39" s="2">
        <v>36</v>
      </c>
      <c r="AX39" s="2">
        <v>0.75</v>
      </c>
      <c r="AY39" s="2">
        <v>11.680400000000001</v>
      </c>
      <c r="BC39" s="2">
        <v>0.74</v>
      </c>
      <c r="BD39" s="2">
        <v>74.909800000000004</v>
      </c>
    </row>
    <row r="40" spans="1:56" s="15" customFormat="1" ht="16.2" thickBot="1" x14ac:dyDescent="0.35">
      <c r="A40" s="17">
        <v>27.3</v>
      </c>
      <c r="B40" s="17">
        <v>5800</v>
      </c>
      <c r="C40" s="14" t="s">
        <v>33</v>
      </c>
      <c r="D40" s="14" t="s">
        <v>35</v>
      </c>
      <c r="E40" s="14" t="s">
        <v>170</v>
      </c>
      <c r="F40" s="14" t="s">
        <v>34</v>
      </c>
      <c r="G40" s="22">
        <v>0.16600000000000001</v>
      </c>
      <c r="H40" s="14" t="s">
        <v>34</v>
      </c>
      <c r="I40" s="14" t="s">
        <v>34</v>
      </c>
      <c r="J40" s="14">
        <v>1.64</v>
      </c>
      <c r="K40" s="14" t="s">
        <v>34</v>
      </c>
      <c r="L40" s="14" t="s">
        <v>34</v>
      </c>
      <c r="M40" s="14" t="s">
        <v>34</v>
      </c>
      <c r="N40" s="22">
        <v>1560</v>
      </c>
      <c r="O40" s="14" t="s">
        <v>34</v>
      </c>
      <c r="P40" s="14" t="s">
        <v>34</v>
      </c>
      <c r="Q40" s="14" t="s">
        <v>34</v>
      </c>
      <c r="R40" s="14" t="s">
        <v>34</v>
      </c>
      <c r="S40" s="14" t="s">
        <v>34</v>
      </c>
      <c r="T40" s="14" t="s">
        <v>36</v>
      </c>
      <c r="U40" s="22" t="s">
        <v>37</v>
      </c>
      <c r="V40" s="22" t="s">
        <v>38</v>
      </c>
      <c r="W40" s="14">
        <v>10</v>
      </c>
      <c r="X40" s="14">
        <v>1</v>
      </c>
      <c r="Y40" s="14">
        <v>1</v>
      </c>
      <c r="Z40" s="14" t="s">
        <v>39</v>
      </c>
      <c r="AA40" s="14">
        <v>1.1000000000000001</v>
      </c>
      <c r="AB40" s="14"/>
      <c r="AC40" s="14" t="s">
        <v>40</v>
      </c>
      <c r="AD40" s="14" t="s">
        <v>32</v>
      </c>
      <c r="AE40" s="22">
        <f t="shared" si="0"/>
        <v>0.5776</v>
      </c>
      <c r="AF40" s="14" t="s">
        <v>41</v>
      </c>
      <c r="AG40" s="14">
        <v>2010</v>
      </c>
      <c r="AH40" s="23" t="s">
        <v>42</v>
      </c>
      <c r="AI40" s="15">
        <v>49.33</v>
      </c>
      <c r="AJ40" s="15">
        <v>2.19</v>
      </c>
      <c r="AK40" s="34">
        <v>0.1</v>
      </c>
      <c r="AP40" s="2">
        <v>37</v>
      </c>
      <c r="AX40" s="15">
        <v>0.76</v>
      </c>
      <c r="AY40" s="15">
        <v>11.8591</v>
      </c>
      <c r="BC40" s="2">
        <v>0.75</v>
      </c>
      <c r="BD40" s="2">
        <v>76.372100000000003</v>
      </c>
    </row>
    <row r="41" spans="1:56" x14ac:dyDescent="0.3">
      <c r="A41" s="12">
        <v>2.6050420168067201</v>
      </c>
      <c r="B41" s="12">
        <v>149.068322981367</v>
      </c>
      <c r="C41" s="13" t="s">
        <v>33</v>
      </c>
      <c r="D41" s="13" t="s">
        <v>35</v>
      </c>
      <c r="E41" s="13" t="s">
        <v>170</v>
      </c>
      <c r="F41" s="10" t="s">
        <v>34</v>
      </c>
      <c r="G41" s="20">
        <v>0.16500000000000001</v>
      </c>
      <c r="H41" s="13" t="s">
        <v>34</v>
      </c>
      <c r="I41" s="13" t="s">
        <v>34</v>
      </c>
      <c r="J41" s="13" t="s">
        <v>34</v>
      </c>
      <c r="K41" s="13" t="s">
        <v>34</v>
      </c>
      <c r="L41" s="13" t="s">
        <v>34</v>
      </c>
      <c r="M41" s="13" t="s">
        <v>43</v>
      </c>
      <c r="N41" s="13" t="s">
        <v>43</v>
      </c>
      <c r="O41" s="13">
        <v>0.98750000000000004</v>
      </c>
      <c r="P41" s="13">
        <v>0.58499999999999996</v>
      </c>
      <c r="Q41" s="13">
        <v>0</v>
      </c>
      <c r="R41" s="13" t="s">
        <v>34</v>
      </c>
      <c r="S41" s="13" t="s">
        <v>43</v>
      </c>
      <c r="T41" s="13" t="s">
        <v>36</v>
      </c>
      <c r="U41" s="13" t="s">
        <v>37</v>
      </c>
      <c r="V41" s="13" t="s">
        <v>38</v>
      </c>
      <c r="W41" s="13" t="s">
        <v>34</v>
      </c>
      <c r="X41" s="13">
        <v>0.1</v>
      </c>
      <c r="Y41" s="13">
        <v>1</v>
      </c>
      <c r="Z41" s="13" t="s">
        <v>39</v>
      </c>
      <c r="AA41" s="13" t="s">
        <v>34</v>
      </c>
      <c r="AB41" s="13"/>
      <c r="AC41" s="13" t="s">
        <v>40</v>
      </c>
      <c r="AD41" s="13" t="s">
        <v>32</v>
      </c>
      <c r="AE41" s="13">
        <v>0.46910000000000002</v>
      </c>
      <c r="AF41" s="21" t="s">
        <v>45</v>
      </c>
      <c r="AG41" s="13">
        <v>2013</v>
      </c>
      <c r="AH41" s="21" t="s">
        <v>46</v>
      </c>
      <c r="AI41" s="2" t="s">
        <v>43</v>
      </c>
      <c r="AJ41" s="2" t="s">
        <v>43</v>
      </c>
      <c r="AK41" s="2" t="s">
        <v>43</v>
      </c>
      <c r="AX41" s="2">
        <v>0.77</v>
      </c>
      <c r="AY41" s="2">
        <v>12.044</v>
      </c>
      <c r="BC41" s="2">
        <v>0.76</v>
      </c>
      <c r="BD41" s="2">
        <v>77.879800000000003</v>
      </c>
    </row>
    <row r="42" spans="1:56" ht="16.2" thickBot="1" x14ac:dyDescent="0.35">
      <c r="A42" s="11">
        <v>3.0882352941176401</v>
      </c>
      <c r="B42" s="11">
        <v>186.335403726707</v>
      </c>
      <c r="C42" s="10" t="s">
        <v>33</v>
      </c>
      <c r="D42" s="10" t="s">
        <v>35</v>
      </c>
      <c r="E42" s="10" t="s">
        <v>170</v>
      </c>
      <c r="F42" s="10" t="s">
        <v>34</v>
      </c>
      <c r="G42" s="20">
        <v>0.16500000000000001</v>
      </c>
      <c r="H42" s="13" t="s">
        <v>34</v>
      </c>
      <c r="I42" s="13" t="s">
        <v>34</v>
      </c>
      <c r="J42" s="13" t="s">
        <v>34</v>
      </c>
      <c r="K42" s="13" t="s">
        <v>34</v>
      </c>
      <c r="L42" s="13" t="s">
        <v>34</v>
      </c>
      <c r="M42" s="13" t="s">
        <v>43</v>
      </c>
      <c r="N42" s="13" t="s">
        <v>43</v>
      </c>
      <c r="O42" s="13">
        <v>0.98750000000000004</v>
      </c>
      <c r="P42" s="13">
        <v>0.58499999999999996</v>
      </c>
      <c r="Q42" s="13">
        <v>0</v>
      </c>
      <c r="R42" s="13" t="s">
        <v>34</v>
      </c>
      <c r="S42" s="13" t="s">
        <v>43</v>
      </c>
      <c r="T42" s="13" t="s">
        <v>36</v>
      </c>
      <c r="U42" s="13" t="s">
        <v>37</v>
      </c>
      <c r="V42" s="13" t="s">
        <v>38</v>
      </c>
      <c r="W42" s="13" t="s">
        <v>34</v>
      </c>
      <c r="X42" s="13">
        <v>0.1</v>
      </c>
      <c r="Y42" s="13">
        <v>1</v>
      </c>
      <c r="Z42" s="13" t="s">
        <v>39</v>
      </c>
      <c r="AA42" s="13" t="s">
        <v>34</v>
      </c>
      <c r="AB42" s="13"/>
      <c r="AC42" s="13" t="s">
        <v>40</v>
      </c>
      <c r="AD42" s="13" t="s">
        <v>32</v>
      </c>
      <c r="AE42" s="13">
        <v>0.46910000000000002</v>
      </c>
      <c r="AF42" s="21" t="s">
        <v>45</v>
      </c>
      <c r="AG42" s="13">
        <v>2013</v>
      </c>
      <c r="AH42" s="21" t="s">
        <v>46</v>
      </c>
      <c r="AI42" s="2" t="s">
        <v>43</v>
      </c>
      <c r="AJ42" s="2" t="s">
        <v>43</v>
      </c>
      <c r="AK42" s="2" t="s">
        <v>43</v>
      </c>
      <c r="AX42" s="2">
        <v>0.78</v>
      </c>
      <c r="AY42" s="2">
        <v>12.2355</v>
      </c>
      <c r="BC42" s="15">
        <v>0.77</v>
      </c>
      <c r="BD42" s="15">
        <v>79.436700000000002</v>
      </c>
    </row>
    <row r="43" spans="1:56" x14ac:dyDescent="0.3">
      <c r="A43" s="11">
        <v>3.52941176470588</v>
      </c>
      <c r="B43" s="11">
        <v>552.79503105590095</v>
      </c>
      <c r="C43" s="10" t="s">
        <v>33</v>
      </c>
      <c r="D43" s="10" t="s">
        <v>35</v>
      </c>
      <c r="E43" s="10" t="s">
        <v>170</v>
      </c>
      <c r="F43" s="10" t="s">
        <v>34</v>
      </c>
      <c r="G43" s="20">
        <v>0.16500000000000001</v>
      </c>
      <c r="H43" s="13" t="s">
        <v>34</v>
      </c>
      <c r="I43" s="13" t="s">
        <v>34</v>
      </c>
      <c r="J43" s="13" t="s">
        <v>34</v>
      </c>
      <c r="K43" s="13" t="s">
        <v>34</v>
      </c>
      <c r="L43" s="13" t="s">
        <v>34</v>
      </c>
      <c r="M43" s="13" t="s">
        <v>43</v>
      </c>
      <c r="N43" s="13" t="s">
        <v>43</v>
      </c>
      <c r="O43" s="13">
        <v>0.98750000000000004</v>
      </c>
      <c r="P43" s="13">
        <v>0.58499999999999996</v>
      </c>
      <c r="Q43" s="13">
        <v>0</v>
      </c>
      <c r="R43" s="13" t="s">
        <v>34</v>
      </c>
      <c r="S43" s="13" t="s">
        <v>43</v>
      </c>
      <c r="T43" s="13" t="s">
        <v>36</v>
      </c>
      <c r="U43" s="13" t="s">
        <v>37</v>
      </c>
      <c r="V43" s="13" t="s">
        <v>38</v>
      </c>
      <c r="W43" s="13" t="s">
        <v>34</v>
      </c>
      <c r="X43" s="13">
        <v>0.1</v>
      </c>
      <c r="Y43" s="13">
        <v>1</v>
      </c>
      <c r="Z43" s="13" t="s">
        <v>39</v>
      </c>
      <c r="AA43" s="13" t="s">
        <v>34</v>
      </c>
      <c r="AB43" s="13"/>
      <c r="AC43" s="13" t="s">
        <v>40</v>
      </c>
      <c r="AD43" s="13" t="s">
        <v>32</v>
      </c>
      <c r="AE43" s="13">
        <v>0.46910000000000002</v>
      </c>
      <c r="AF43" s="21" t="s">
        <v>45</v>
      </c>
      <c r="AG43" s="13">
        <v>2013</v>
      </c>
      <c r="AH43" s="21" t="s">
        <v>46</v>
      </c>
      <c r="AI43" s="2" t="s">
        <v>43</v>
      </c>
      <c r="AJ43" s="2" t="s">
        <v>43</v>
      </c>
      <c r="AK43" s="2" t="s">
        <v>43</v>
      </c>
      <c r="AX43" s="2">
        <v>0.79</v>
      </c>
      <c r="AY43" s="2">
        <v>12.4345</v>
      </c>
      <c r="BC43" s="2">
        <v>0.78</v>
      </c>
      <c r="BD43" s="2">
        <v>81.047200000000004</v>
      </c>
    </row>
    <row r="44" spans="1:56" x14ac:dyDescent="0.3">
      <c r="A44" s="11">
        <v>4.3277310924369701</v>
      </c>
      <c r="B44" s="11">
        <v>590.06211180124296</v>
      </c>
      <c r="C44" s="10" t="s">
        <v>33</v>
      </c>
      <c r="D44" s="10" t="s">
        <v>35</v>
      </c>
      <c r="E44" s="10" t="s">
        <v>170</v>
      </c>
      <c r="F44" s="10" t="s">
        <v>34</v>
      </c>
      <c r="G44" s="20">
        <v>0.16500000000000001</v>
      </c>
      <c r="H44" s="13" t="s">
        <v>34</v>
      </c>
      <c r="I44" s="13" t="s">
        <v>34</v>
      </c>
      <c r="J44" s="13" t="s">
        <v>34</v>
      </c>
      <c r="K44" s="13" t="s">
        <v>34</v>
      </c>
      <c r="L44" s="13" t="s">
        <v>34</v>
      </c>
      <c r="M44" s="13" t="s">
        <v>43</v>
      </c>
      <c r="N44" s="13" t="s">
        <v>43</v>
      </c>
      <c r="O44" s="13">
        <v>0.98750000000000004</v>
      </c>
      <c r="P44" s="13">
        <v>0.58499999999999996</v>
      </c>
      <c r="Q44" s="13">
        <v>0</v>
      </c>
      <c r="R44" s="13" t="s">
        <v>34</v>
      </c>
      <c r="S44" s="13" t="s">
        <v>43</v>
      </c>
      <c r="T44" s="13" t="s">
        <v>36</v>
      </c>
      <c r="U44" s="13" t="s">
        <v>37</v>
      </c>
      <c r="V44" s="13" t="s">
        <v>38</v>
      </c>
      <c r="W44" s="13" t="s">
        <v>34</v>
      </c>
      <c r="X44" s="13">
        <v>0.1</v>
      </c>
      <c r="Y44" s="13">
        <v>1</v>
      </c>
      <c r="Z44" s="13" t="s">
        <v>39</v>
      </c>
      <c r="AA44" s="13" t="s">
        <v>34</v>
      </c>
      <c r="AB44" s="13"/>
      <c r="AC44" s="13" t="s">
        <v>40</v>
      </c>
      <c r="AD44" s="13" t="s">
        <v>32</v>
      </c>
      <c r="AE44" s="13">
        <v>0.46910000000000002</v>
      </c>
      <c r="AF44" s="21" t="s">
        <v>45</v>
      </c>
      <c r="AG44" s="13">
        <v>2013</v>
      </c>
      <c r="AH44" s="21" t="s">
        <v>46</v>
      </c>
      <c r="AI44" s="2" t="s">
        <v>43</v>
      </c>
      <c r="AJ44" s="2" t="s">
        <v>43</v>
      </c>
      <c r="AK44" s="2" t="s">
        <v>43</v>
      </c>
      <c r="AX44" s="2">
        <v>0.8</v>
      </c>
      <c r="AY44" s="2">
        <v>12.641400000000001</v>
      </c>
      <c r="BC44" s="2">
        <v>0.79</v>
      </c>
      <c r="BD44" s="2">
        <v>82.716399999999993</v>
      </c>
    </row>
    <row r="45" spans="1:56" x14ac:dyDescent="0.3">
      <c r="A45" s="11">
        <v>4.5588235294117601</v>
      </c>
      <c r="B45" s="11">
        <v>416.14906832297999</v>
      </c>
      <c r="C45" s="10" t="s">
        <v>33</v>
      </c>
      <c r="D45" s="10" t="s">
        <v>35</v>
      </c>
      <c r="E45" s="10" t="s">
        <v>170</v>
      </c>
      <c r="F45" s="10" t="s">
        <v>34</v>
      </c>
      <c r="G45" s="20">
        <v>0.16500000000000001</v>
      </c>
      <c r="H45" s="13" t="s">
        <v>34</v>
      </c>
      <c r="I45" s="13" t="s">
        <v>34</v>
      </c>
      <c r="J45" s="13" t="s">
        <v>34</v>
      </c>
      <c r="K45" s="13" t="s">
        <v>34</v>
      </c>
      <c r="L45" s="13" t="s">
        <v>34</v>
      </c>
      <c r="M45" s="13" t="s">
        <v>43</v>
      </c>
      <c r="N45" s="13" t="s">
        <v>43</v>
      </c>
      <c r="O45" s="13">
        <v>0.98750000000000004</v>
      </c>
      <c r="P45" s="13">
        <v>0.58499999999999996</v>
      </c>
      <c r="Q45" s="13">
        <v>0</v>
      </c>
      <c r="R45" s="13" t="s">
        <v>34</v>
      </c>
      <c r="S45" s="13" t="s">
        <v>43</v>
      </c>
      <c r="T45" s="13" t="s">
        <v>36</v>
      </c>
      <c r="U45" s="13" t="s">
        <v>37</v>
      </c>
      <c r="V45" s="13" t="s">
        <v>38</v>
      </c>
      <c r="W45" s="13" t="s">
        <v>34</v>
      </c>
      <c r="X45" s="13">
        <v>0.1</v>
      </c>
      <c r="Y45" s="13">
        <v>1</v>
      </c>
      <c r="Z45" s="13" t="s">
        <v>39</v>
      </c>
      <c r="AA45" s="13" t="s">
        <v>34</v>
      </c>
      <c r="AB45" s="13"/>
      <c r="AC45" s="13" t="s">
        <v>40</v>
      </c>
      <c r="AD45" s="13" t="s">
        <v>32</v>
      </c>
      <c r="AE45" s="13">
        <v>0.46910000000000002</v>
      </c>
      <c r="AF45" s="21" t="s">
        <v>45</v>
      </c>
      <c r="AG45" s="13">
        <v>2013</v>
      </c>
      <c r="AH45" s="21" t="s">
        <v>46</v>
      </c>
      <c r="AI45" s="2" t="s">
        <v>43</v>
      </c>
      <c r="AJ45" s="2" t="s">
        <v>43</v>
      </c>
      <c r="AK45" s="2" t="s">
        <v>43</v>
      </c>
      <c r="AX45" s="2">
        <v>0.81</v>
      </c>
      <c r="AY45" s="2">
        <v>12.8573</v>
      </c>
      <c r="BC45" s="2">
        <v>0.8</v>
      </c>
      <c r="BD45" s="2">
        <v>84.4499</v>
      </c>
    </row>
    <row r="46" spans="1:56" x14ac:dyDescent="0.3">
      <c r="A46" s="11">
        <v>4.6218487394957899</v>
      </c>
      <c r="B46" s="11">
        <v>453.41614906832302</v>
      </c>
      <c r="C46" s="10" t="s">
        <v>33</v>
      </c>
      <c r="D46" s="10" t="s">
        <v>35</v>
      </c>
      <c r="E46" s="10" t="s">
        <v>170</v>
      </c>
      <c r="F46" s="10" t="s">
        <v>34</v>
      </c>
      <c r="G46" s="20">
        <v>0.16500000000000001</v>
      </c>
      <c r="H46" s="13" t="s">
        <v>34</v>
      </c>
      <c r="I46" s="13" t="s">
        <v>34</v>
      </c>
      <c r="J46" s="13" t="s">
        <v>34</v>
      </c>
      <c r="K46" s="13" t="s">
        <v>34</v>
      </c>
      <c r="L46" s="13" t="s">
        <v>34</v>
      </c>
      <c r="M46" s="13" t="s">
        <v>43</v>
      </c>
      <c r="N46" s="13" t="s">
        <v>43</v>
      </c>
      <c r="O46" s="13">
        <v>0.98750000000000004</v>
      </c>
      <c r="P46" s="13">
        <v>0.58499999999999996</v>
      </c>
      <c r="Q46" s="13">
        <v>0</v>
      </c>
      <c r="R46" s="13" t="s">
        <v>34</v>
      </c>
      <c r="S46" s="13" t="s">
        <v>43</v>
      </c>
      <c r="T46" s="13" t="s">
        <v>36</v>
      </c>
      <c r="U46" s="13" t="s">
        <v>37</v>
      </c>
      <c r="V46" s="13" t="s">
        <v>38</v>
      </c>
      <c r="W46" s="13" t="s">
        <v>34</v>
      </c>
      <c r="X46" s="13">
        <v>0.1</v>
      </c>
      <c r="Y46" s="13">
        <v>1</v>
      </c>
      <c r="Z46" s="13" t="s">
        <v>39</v>
      </c>
      <c r="AA46" s="13" t="s">
        <v>34</v>
      </c>
      <c r="AB46" s="13"/>
      <c r="AC46" s="13" t="s">
        <v>40</v>
      </c>
      <c r="AD46" s="13" t="s">
        <v>32</v>
      </c>
      <c r="AE46" s="13">
        <v>0.46910000000000002</v>
      </c>
      <c r="AF46" s="21" t="s">
        <v>45</v>
      </c>
      <c r="AG46" s="13">
        <v>2013</v>
      </c>
      <c r="AH46" s="21" t="s">
        <v>46</v>
      </c>
      <c r="AI46" s="2" t="s">
        <v>43</v>
      </c>
      <c r="AJ46" s="2" t="s">
        <v>43</v>
      </c>
      <c r="AK46" s="2" t="s">
        <v>43</v>
      </c>
      <c r="AX46" s="2">
        <v>0.82</v>
      </c>
      <c r="AY46" s="2">
        <v>13.0829</v>
      </c>
      <c r="BC46" s="2">
        <v>0.81</v>
      </c>
      <c r="BD46" s="2">
        <v>86.254400000000004</v>
      </c>
    </row>
    <row r="47" spans="1:56" x14ac:dyDescent="0.3">
      <c r="A47" s="11">
        <v>5.2941176470588198</v>
      </c>
      <c r="B47" s="11">
        <v>863.35403726708205</v>
      </c>
      <c r="C47" s="10" t="s">
        <v>33</v>
      </c>
      <c r="D47" s="10" t="s">
        <v>35</v>
      </c>
      <c r="E47" s="10" t="s">
        <v>170</v>
      </c>
      <c r="F47" s="10" t="s">
        <v>34</v>
      </c>
      <c r="G47" s="20">
        <v>0.16500000000000001</v>
      </c>
      <c r="H47" s="13" t="s">
        <v>34</v>
      </c>
      <c r="I47" s="13" t="s">
        <v>34</v>
      </c>
      <c r="J47" s="13" t="s">
        <v>34</v>
      </c>
      <c r="K47" s="13" t="s">
        <v>34</v>
      </c>
      <c r="L47" s="13" t="s">
        <v>34</v>
      </c>
      <c r="M47" s="13" t="s">
        <v>43</v>
      </c>
      <c r="N47" s="13" t="s">
        <v>43</v>
      </c>
      <c r="O47" s="13">
        <v>0.98750000000000004</v>
      </c>
      <c r="P47" s="13">
        <v>0.58499999999999996</v>
      </c>
      <c r="Q47" s="13">
        <v>0</v>
      </c>
      <c r="R47" s="13" t="s">
        <v>34</v>
      </c>
      <c r="S47" s="13" t="s">
        <v>43</v>
      </c>
      <c r="T47" s="13" t="s">
        <v>36</v>
      </c>
      <c r="U47" s="13" t="s">
        <v>37</v>
      </c>
      <c r="V47" s="13" t="s">
        <v>38</v>
      </c>
      <c r="W47" s="13" t="s">
        <v>34</v>
      </c>
      <c r="X47" s="13">
        <v>0.1</v>
      </c>
      <c r="Y47" s="13">
        <v>1</v>
      </c>
      <c r="Z47" s="13" t="s">
        <v>39</v>
      </c>
      <c r="AA47" s="13" t="s">
        <v>34</v>
      </c>
      <c r="AB47" s="13"/>
      <c r="AC47" s="13" t="s">
        <v>40</v>
      </c>
      <c r="AD47" s="13" t="s">
        <v>32</v>
      </c>
      <c r="AE47" s="13">
        <v>0.46910000000000002</v>
      </c>
      <c r="AF47" s="21" t="s">
        <v>45</v>
      </c>
      <c r="AG47" s="13">
        <v>2013</v>
      </c>
      <c r="AH47" s="21" t="s">
        <v>46</v>
      </c>
      <c r="AI47" s="2" t="s">
        <v>43</v>
      </c>
      <c r="AJ47" s="2" t="s">
        <v>43</v>
      </c>
      <c r="AK47" s="2" t="s">
        <v>43</v>
      </c>
      <c r="AX47" s="2">
        <v>0.83</v>
      </c>
      <c r="AY47" s="2">
        <v>13.3195</v>
      </c>
      <c r="BC47" s="2">
        <v>0.82</v>
      </c>
      <c r="BD47" s="2">
        <v>88.1374</v>
      </c>
    </row>
    <row r="48" spans="1:56" x14ac:dyDescent="0.3">
      <c r="A48" s="11">
        <v>5.5252100840336</v>
      </c>
      <c r="B48" s="11">
        <v>745.34161490683198</v>
      </c>
      <c r="C48" s="10" t="s">
        <v>33</v>
      </c>
      <c r="D48" s="10" t="s">
        <v>35</v>
      </c>
      <c r="E48" s="10" t="s">
        <v>170</v>
      </c>
      <c r="F48" s="10" t="s">
        <v>34</v>
      </c>
      <c r="G48" s="20">
        <v>0.16500000000000001</v>
      </c>
      <c r="H48" s="13" t="s">
        <v>34</v>
      </c>
      <c r="I48" s="13" t="s">
        <v>34</v>
      </c>
      <c r="J48" s="13" t="s">
        <v>34</v>
      </c>
      <c r="K48" s="13" t="s">
        <v>34</v>
      </c>
      <c r="L48" s="13" t="s">
        <v>34</v>
      </c>
      <c r="M48" s="13" t="s">
        <v>43</v>
      </c>
      <c r="N48" s="13" t="s">
        <v>43</v>
      </c>
      <c r="O48" s="13">
        <v>0.98750000000000004</v>
      </c>
      <c r="P48" s="13">
        <v>0.58499999999999996</v>
      </c>
      <c r="Q48" s="13">
        <v>0</v>
      </c>
      <c r="R48" s="13" t="s">
        <v>34</v>
      </c>
      <c r="S48" s="13" t="s">
        <v>43</v>
      </c>
      <c r="T48" s="13" t="s">
        <v>36</v>
      </c>
      <c r="U48" s="13" t="s">
        <v>37</v>
      </c>
      <c r="V48" s="13" t="s">
        <v>38</v>
      </c>
      <c r="W48" s="13" t="s">
        <v>34</v>
      </c>
      <c r="X48" s="13">
        <v>0.1</v>
      </c>
      <c r="Y48" s="13">
        <v>1</v>
      </c>
      <c r="Z48" s="13" t="s">
        <v>39</v>
      </c>
      <c r="AA48" s="13" t="s">
        <v>34</v>
      </c>
      <c r="AB48" s="13"/>
      <c r="AC48" s="13" t="s">
        <v>40</v>
      </c>
      <c r="AD48" s="13" t="s">
        <v>32</v>
      </c>
      <c r="AE48" s="13">
        <v>0.46910000000000002</v>
      </c>
      <c r="AF48" s="21" t="s">
        <v>45</v>
      </c>
      <c r="AG48" s="13">
        <v>2013</v>
      </c>
      <c r="AH48" s="21" t="s">
        <v>46</v>
      </c>
      <c r="AI48" s="2" t="s">
        <v>43</v>
      </c>
      <c r="AJ48" s="2" t="s">
        <v>43</v>
      </c>
      <c r="AK48" s="2" t="s">
        <v>43</v>
      </c>
      <c r="AX48" s="2">
        <v>0.84</v>
      </c>
      <c r="AY48" s="2">
        <v>13.5684</v>
      </c>
      <c r="BC48" s="2">
        <v>0.83</v>
      </c>
      <c r="BD48" s="2">
        <v>90.107799999999997</v>
      </c>
    </row>
    <row r="49" spans="1:56" x14ac:dyDescent="0.3">
      <c r="A49" s="11">
        <v>5.9033613445378101</v>
      </c>
      <c r="B49" s="11">
        <v>354.03726708074498</v>
      </c>
      <c r="C49" s="10" t="s">
        <v>33</v>
      </c>
      <c r="D49" s="10" t="s">
        <v>35</v>
      </c>
      <c r="E49" s="10" t="s">
        <v>170</v>
      </c>
      <c r="F49" s="10" t="s">
        <v>34</v>
      </c>
      <c r="G49" s="20">
        <v>0.16500000000000001</v>
      </c>
      <c r="H49" s="13" t="s">
        <v>34</v>
      </c>
      <c r="I49" s="13" t="s">
        <v>34</v>
      </c>
      <c r="J49" s="13" t="s">
        <v>34</v>
      </c>
      <c r="K49" s="13" t="s">
        <v>34</v>
      </c>
      <c r="L49" s="13" t="s">
        <v>34</v>
      </c>
      <c r="M49" s="13" t="s">
        <v>43</v>
      </c>
      <c r="N49" s="13" t="s">
        <v>43</v>
      </c>
      <c r="O49" s="13">
        <v>0.98750000000000004</v>
      </c>
      <c r="P49" s="13">
        <v>0.58499999999999996</v>
      </c>
      <c r="Q49" s="13">
        <v>0</v>
      </c>
      <c r="R49" s="13" t="s">
        <v>34</v>
      </c>
      <c r="S49" s="13" t="s">
        <v>43</v>
      </c>
      <c r="T49" s="13" t="s">
        <v>36</v>
      </c>
      <c r="U49" s="13" t="s">
        <v>37</v>
      </c>
      <c r="V49" s="13" t="s">
        <v>38</v>
      </c>
      <c r="W49" s="13" t="s">
        <v>34</v>
      </c>
      <c r="X49" s="13">
        <v>0.1</v>
      </c>
      <c r="Y49" s="13">
        <v>1</v>
      </c>
      <c r="Z49" s="13" t="s">
        <v>39</v>
      </c>
      <c r="AA49" s="13" t="s">
        <v>34</v>
      </c>
      <c r="AB49" s="13"/>
      <c r="AC49" s="13" t="s">
        <v>40</v>
      </c>
      <c r="AD49" s="13" t="s">
        <v>32</v>
      </c>
      <c r="AE49" s="13">
        <v>0.46910000000000002</v>
      </c>
      <c r="AF49" s="21" t="s">
        <v>45</v>
      </c>
      <c r="AG49" s="13">
        <v>2013</v>
      </c>
      <c r="AH49" s="21" t="s">
        <v>46</v>
      </c>
      <c r="AI49" s="2" t="s">
        <v>43</v>
      </c>
      <c r="AJ49" s="2" t="s">
        <v>43</v>
      </c>
      <c r="AK49" s="2" t="s">
        <v>43</v>
      </c>
      <c r="AX49" s="2">
        <v>0.85</v>
      </c>
      <c r="AY49" s="2">
        <v>13.831</v>
      </c>
      <c r="BC49" s="2">
        <v>0.84</v>
      </c>
      <c r="BD49" s="2">
        <v>92.176100000000005</v>
      </c>
    </row>
    <row r="50" spans="1:56" x14ac:dyDescent="0.3">
      <c r="A50" s="11">
        <v>6.4495798319327697</v>
      </c>
      <c r="B50" s="11">
        <v>503.10559006211099</v>
      </c>
      <c r="C50" s="10" t="s">
        <v>33</v>
      </c>
      <c r="D50" s="10" t="s">
        <v>35</v>
      </c>
      <c r="E50" s="10" t="s">
        <v>170</v>
      </c>
      <c r="F50" s="10" t="s">
        <v>34</v>
      </c>
      <c r="G50" s="20">
        <v>0.16500000000000001</v>
      </c>
      <c r="H50" s="13" t="s">
        <v>34</v>
      </c>
      <c r="I50" s="13" t="s">
        <v>34</v>
      </c>
      <c r="J50" s="13" t="s">
        <v>34</v>
      </c>
      <c r="K50" s="13" t="s">
        <v>34</v>
      </c>
      <c r="L50" s="13" t="s">
        <v>34</v>
      </c>
      <c r="M50" s="13" t="s">
        <v>43</v>
      </c>
      <c r="N50" s="13" t="s">
        <v>43</v>
      </c>
      <c r="O50" s="13">
        <v>0.98750000000000004</v>
      </c>
      <c r="P50" s="13">
        <v>0.58499999999999996</v>
      </c>
      <c r="Q50" s="13">
        <v>0</v>
      </c>
      <c r="R50" s="13" t="s">
        <v>34</v>
      </c>
      <c r="S50" s="13" t="s">
        <v>43</v>
      </c>
      <c r="T50" s="13" t="s">
        <v>36</v>
      </c>
      <c r="U50" s="13" t="s">
        <v>37</v>
      </c>
      <c r="V50" s="13" t="s">
        <v>38</v>
      </c>
      <c r="W50" s="13" t="s">
        <v>34</v>
      </c>
      <c r="X50" s="13">
        <v>0.1</v>
      </c>
      <c r="Y50" s="13">
        <v>1</v>
      </c>
      <c r="Z50" s="13" t="s">
        <v>39</v>
      </c>
      <c r="AA50" s="13" t="s">
        <v>34</v>
      </c>
      <c r="AB50" s="13"/>
      <c r="AC50" s="13" t="s">
        <v>40</v>
      </c>
      <c r="AD50" s="13" t="s">
        <v>32</v>
      </c>
      <c r="AE50" s="13">
        <v>0.46910000000000002</v>
      </c>
      <c r="AF50" s="21" t="s">
        <v>45</v>
      </c>
      <c r="AG50" s="13">
        <v>2013</v>
      </c>
      <c r="AH50" s="21" t="s">
        <v>46</v>
      </c>
      <c r="AI50" s="2" t="s">
        <v>43</v>
      </c>
      <c r="AJ50" s="2" t="s">
        <v>43</v>
      </c>
      <c r="AK50" s="2" t="s">
        <v>43</v>
      </c>
      <c r="AX50" s="2">
        <v>0.86</v>
      </c>
      <c r="AY50" s="2">
        <v>14.109299999999999</v>
      </c>
      <c r="BC50" s="2">
        <v>0.85</v>
      </c>
      <c r="BD50" s="2">
        <v>94.354600000000005</v>
      </c>
    </row>
    <row r="51" spans="1:56" x14ac:dyDescent="0.3">
      <c r="A51" s="11">
        <v>6.0924369747898997</v>
      </c>
      <c r="B51" s="11">
        <v>838.50931677018605</v>
      </c>
      <c r="C51" s="10" t="s">
        <v>33</v>
      </c>
      <c r="D51" s="10" t="s">
        <v>35</v>
      </c>
      <c r="E51" s="10" t="s">
        <v>170</v>
      </c>
      <c r="F51" s="10" t="s">
        <v>34</v>
      </c>
      <c r="G51" s="20">
        <v>0.16500000000000001</v>
      </c>
      <c r="H51" s="13" t="s">
        <v>34</v>
      </c>
      <c r="I51" s="13" t="s">
        <v>34</v>
      </c>
      <c r="J51" s="13" t="s">
        <v>34</v>
      </c>
      <c r="K51" s="13" t="s">
        <v>34</v>
      </c>
      <c r="L51" s="13" t="s">
        <v>34</v>
      </c>
      <c r="M51" s="13" t="s">
        <v>43</v>
      </c>
      <c r="N51" s="13" t="s">
        <v>43</v>
      </c>
      <c r="O51" s="13">
        <v>0.98750000000000004</v>
      </c>
      <c r="P51" s="13">
        <v>0.58499999999999996</v>
      </c>
      <c r="Q51" s="13">
        <v>0</v>
      </c>
      <c r="R51" s="13" t="s">
        <v>34</v>
      </c>
      <c r="S51" s="13" t="s">
        <v>43</v>
      </c>
      <c r="T51" s="13" t="s">
        <v>36</v>
      </c>
      <c r="U51" s="13" t="s">
        <v>37</v>
      </c>
      <c r="V51" s="13" t="s">
        <v>38</v>
      </c>
      <c r="W51" s="13" t="s">
        <v>34</v>
      </c>
      <c r="X51" s="13">
        <v>0.1</v>
      </c>
      <c r="Y51" s="13">
        <v>1</v>
      </c>
      <c r="Z51" s="13" t="s">
        <v>39</v>
      </c>
      <c r="AA51" s="13" t="s">
        <v>34</v>
      </c>
      <c r="AB51" s="13"/>
      <c r="AC51" s="13" t="s">
        <v>40</v>
      </c>
      <c r="AD51" s="13" t="s">
        <v>32</v>
      </c>
      <c r="AE51" s="13">
        <v>0.46910000000000002</v>
      </c>
      <c r="AF51" s="21" t="s">
        <v>45</v>
      </c>
      <c r="AG51" s="13">
        <v>2013</v>
      </c>
      <c r="AH51" s="21" t="s">
        <v>46</v>
      </c>
      <c r="AI51" s="2" t="s">
        <v>43</v>
      </c>
      <c r="AJ51" s="2" t="s">
        <v>43</v>
      </c>
      <c r="AK51" s="2" t="s">
        <v>43</v>
      </c>
      <c r="AX51" s="2">
        <v>0.87</v>
      </c>
      <c r="AY51" s="2">
        <v>14.4055</v>
      </c>
      <c r="BC51" s="2">
        <v>0.86</v>
      </c>
      <c r="BD51" s="2">
        <v>96.6584</v>
      </c>
    </row>
    <row r="52" spans="1:56" x14ac:dyDescent="0.3">
      <c r="A52" s="11">
        <v>5.5462184873949498</v>
      </c>
      <c r="B52" s="11">
        <v>1658.3850931677</v>
      </c>
      <c r="C52" s="10" t="s">
        <v>33</v>
      </c>
      <c r="D52" s="10" t="s">
        <v>35</v>
      </c>
      <c r="E52" s="10" t="s">
        <v>170</v>
      </c>
      <c r="F52" s="10" t="s">
        <v>34</v>
      </c>
      <c r="G52" s="20">
        <v>0.16500000000000001</v>
      </c>
      <c r="H52" s="13" t="s">
        <v>34</v>
      </c>
      <c r="I52" s="13" t="s">
        <v>34</v>
      </c>
      <c r="J52" s="13" t="s">
        <v>34</v>
      </c>
      <c r="K52" s="13" t="s">
        <v>34</v>
      </c>
      <c r="L52" s="13" t="s">
        <v>34</v>
      </c>
      <c r="M52" s="13" t="s">
        <v>43</v>
      </c>
      <c r="N52" s="13" t="s">
        <v>43</v>
      </c>
      <c r="O52" s="13">
        <v>0.98750000000000004</v>
      </c>
      <c r="P52" s="13">
        <v>0.58499999999999996</v>
      </c>
      <c r="Q52" s="13">
        <v>0</v>
      </c>
      <c r="R52" s="13" t="s">
        <v>34</v>
      </c>
      <c r="S52" s="13" t="s">
        <v>43</v>
      </c>
      <c r="T52" s="13" t="s">
        <v>36</v>
      </c>
      <c r="U52" s="13" t="s">
        <v>37</v>
      </c>
      <c r="V52" s="13" t="s">
        <v>38</v>
      </c>
      <c r="W52" s="13" t="s">
        <v>34</v>
      </c>
      <c r="X52" s="13">
        <v>0.1</v>
      </c>
      <c r="Y52" s="13">
        <v>1</v>
      </c>
      <c r="Z52" s="13" t="s">
        <v>39</v>
      </c>
      <c r="AA52" s="13" t="s">
        <v>34</v>
      </c>
      <c r="AB52" s="13"/>
      <c r="AC52" s="13" t="s">
        <v>40</v>
      </c>
      <c r="AD52" s="13" t="s">
        <v>32</v>
      </c>
      <c r="AE52" s="13">
        <v>0.46910000000000002</v>
      </c>
      <c r="AF52" s="21" t="s">
        <v>45</v>
      </c>
      <c r="AG52" s="13">
        <v>2013</v>
      </c>
      <c r="AH52" s="21" t="s">
        <v>46</v>
      </c>
      <c r="AI52" s="2" t="s">
        <v>43</v>
      </c>
      <c r="AJ52" s="2" t="s">
        <v>43</v>
      </c>
      <c r="AK52" s="2" t="s">
        <v>43</v>
      </c>
      <c r="AX52" s="2">
        <v>0.88</v>
      </c>
      <c r="AY52" s="2">
        <v>14.7225</v>
      </c>
      <c r="BC52" s="2">
        <v>0.87</v>
      </c>
      <c r="BD52" s="2">
        <v>99.105500000000006</v>
      </c>
    </row>
    <row r="53" spans="1:56" x14ac:dyDescent="0.3">
      <c r="A53" s="11">
        <v>6.9747899159663804</v>
      </c>
      <c r="B53" s="11">
        <v>1919.2546583850899</v>
      </c>
      <c r="C53" s="10" t="s">
        <v>33</v>
      </c>
      <c r="D53" s="10" t="s">
        <v>35</v>
      </c>
      <c r="E53" s="10" t="s">
        <v>170</v>
      </c>
      <c r="F53" s="10" t="s">
        <v>34</v>
      </c>
      <c r="G53" s="20">
        <v>0.16500000000000001</v>
      </c>
      <c r="H53" s="13" t="s">
        <v>34</v>
      </c>
      <c r="I53" s="13" t="s">
        <v>34</v>
      </c>
      <c r="J53" s="13" t="s">
        <v>34</v>
      </c>
      <c r="K53" s="13" t="s">
        <v>34</v>
      </c>
      <c r="L53" s="13" t="s">
        <v>34</v>
      </c>
      <c r="M53" s="13" t="s">
        <v>43</v>
      </c>
      <c r="N53" s="13" t="s">
        <v>43</v>
      </c>
      <c r="O53" s="13">
        <v>0.98750000000000004</v>
      </c>
      <c r="P53" s="13">
        <v>0.58499999999999996</v>
      </c>
      <c r="Q53" s="13">
        <v>0</v>
      </c>
      <c r="R53" s="13" t="s">
        <v>34</v>
      </c>
      <c r="S53" s="13" t="s">
        <v>43</v>
      </c>
      <c r="T53" s="13" t="s">
        <v>36</v>
      </c>
      <c r="U53" s="13" t="s">
        <v>37</v>
      </c>
      <c r="V53" s="13" t="s">
        <v>38</v>
      </c>
      <c r="W53" s="13" t="s">
        <v>34</v>
      </c>
      <c r="X53" s="13">
        <v>0.1</v>
      </c>
      <c r="Y53" s="13">
        <v>1</v>
      </c>
      <c r="Z53" s="13" t="s">
        <v>39</v>
      </c>
      <c r="AA53" s="13" t="s">
        <v>34</v>
      </c>
      <c r="AB53" s="13"/>
      <c r="AC53" s="13" t="s">
        <v>40</v>
      </c>
      <c r="AD53" s="13" t="s">
        <v>32</v>
      </c>
      <c r="AE53" s="13">
        <v>0.46910000000000002</v>
      </c>
      <c r="AF53" s="21" t="s">
        <v>45</v>
      </c>
      <c r="AG53" s="13">
        <v>2013</v>
      </c>
      <c r="AH53" s="21" t="s">
        <v>46</v>
      </c>
      <c r="AI53" s="2" t="s">
        <v>43</v>
      </c>
      <c r="AJ53" s="2" t="s">
        <v>43</v>
      </c>
      <c r="AK53" s="2" t="s">
        <v>43</v>
      </c>
      <c r="AX53" s="2">
        <v>0.89</v>
      </c>
      <c r="AY53" s="2">
        <v>15.063800000000001</v>
      </c>
      <c r="BC53" s="2">
        <v>0.88</v>
      </c>
      <c r="BD53" s="2">
        <v>101.718</v>
      </c>
    </row>
    <row r="54" spans="1:56" x14ac:dyDescent="0.3">
      <c r="A54" s="11">
        <v>7.5630252100840298</v>
      </c>
      <c r="B54" s="11">
        <v>1819.87577639751</v>
      </c>
      <c r="C54" s="10" t="s">
        <v>33</v>
      </c>
      <c r="D54" s="10" t="s">
        <v>35</v>
      </c>
      <c r="E54" s="10" t="s">
        <v>170</v>
      </c>
      <c r="F54" s="10" t="s">
        <v>34</v>
      </c>
      <c r="G54" s="20">
        <v>0.16500000000000001</v>
      </c>
      <c r="H54" s="13" t="s">
        <v>34</v>
      </c>
      <c r="I54" s="13" t="s">
        <v>34</v>
      </c>
      <c r="J54" s="13" t="s">
        <v>34</v>
      </c>
      <c r="K54" s="13" t="s">
        <v>34</v>
      </c>
      <c r="L54" s="13" t="s">
        <v>34</v>
      </c>
      <c r="M54" s="13" t="s">
        <v>43</v>
      </c>
      <c r="N54" s="13" t="s">
        <v>43</v>
      </c>
      <c r="O54" s="13">
        <v>0.98750000000000004</v>
      </c>
      <c r="P54" s="13">
        <v>0.58499999999999996</v>
      </c>
      <c r="Q54" s="13">
        <v>0</v>
      </c>
      <c r="R54" s="13" t="s">
        <v>34</v>
      </c>
      <c r="S54" s="13" t="s">
        <v>43</v>
      </c>
      <c r="T54" s="13" t="s">
        <v>36</v>
      </c>
      <c r="U54" s="13" t="s">
        <v>37</v>
      </c>
      <c r="V54" s="13" t="s">
        <v>38</v>
      </c>
      <c r="W54" s="13" t="s">
        <v>34</v>
      </c>
      <c r="X54" s="13">
        <v>0.1</v>
      </c>
      <c r="Y54" s="13">
        <v>1</v>
      </c>
      <c r="Z54" s="13" t="s">
        <v>39</v>
      </c>
      <c r="AA54" s="13" t="s">
        <v>34</v>
      </c>
      <c r="AB54" s="13"/>
      <c r="AC54" s="13" t="s">
        <v>40</v>
      </c>
      <c r="AD54" s="13" t="s">
        <v>32</v>
      </c>
      <c r="AE54" s="13">
        <v>0.46910000000000002</v>
      </c>
      <c r="AF54" s="21" t="s">
        <v>45</v>
      </c>
      <c r="AG54" s="13">
        <v>2013</v>
      </c>
      <c r="AH54" s="21" t="s">
        <v>46</v>
      </c>
      <c r="AI54" s="2" t="s">
        <v>43</v>
      </c>
      <c r="AJ54" s="2" t="s">
        <v>43</v>
      </c>
      <c r="AK54" s="2" t="s">
        <v>43</v>
      </c>
      <c r="AX54" s="2">
        <v>0.9</v>
      </c>
      <c r="AY54" s="2">
        <v>15.4339</v>
      </c>
      <c r="BC54" s="2">
        <v>0.89</v>
      </c>
      <c r="BD54" s="2">
        <v>104.52500000000001</v>
      </c>
    </row>
    <row r="55" spans="1:56" x14ac:dyDescent="0.3">
      <c r="A55" s="11">
        <v>9.3697478991596501</v>
      </c>
      <c r="B55" s="11">
        <v>2950.31055900621</v>
      </c>
      <c r="C55" s="10" t="s">
        <v>33</v>
      </c>
      <c r="D55" s="10" t="s">
        <v>35</v>
      </c>
      <c r="E55" s="10" t="s">
        <v>170</v>
      </c>
      <c r="F55" s="10" t="s">
        <v>34</v>
      </c>
      <c r="G55" s="20">
        <v>0.16500000000000001</v>
      </c>
      <c r="H55" s="13" t="s">
        <v>34</v>
      </c>
      <c r="I55" s="13" t="s">
        <v>34</v>
      </c>
      <c r="J55" s="13" t="s">
        <v>34</v>
      </c>
      <c r="K55" s="13" t="s">
        <v>34</v>
      </c>
      <c r="L55" s="13" t="s">
        <v>34</v>
      </c>
      <c r="M55" s="13" t="s">
        <v>43</v>
      </c>
      <c r="N55" s="13" t="s">
        <v>43</v>
      </c>
      <c r="O55" s="13">
        <v>0.98750000000000004</v>
      </c>
      <c r="P55" s="13">
        <v>0.58499999999999996</v>
      </c>
      <c r="Q55" s="13">
        <v>0</v>
      </c>
      <c r="R55" s="13" t="s">
        <v>34</v>
      </c>
      <c r="S55" s="13" t="s">
        <v>43</v>
      </c>
      <c r="T55" s="13" t="s">
        <v>36</v>
      </c>
      <c r="U55" s="13" t="s">
        <v>37</v>
      </c>
      <c r="V55" s="13" t="s">
        <v>38</v>
      </c>
      <c r="W55" s="13" t="s">
        <v>34</v>
      </c>
      <c r="X55" s="13">
        <v>0.1</v>
      </c>
      <c r="Y55" s="13">
        <v>1</v>
      </c>
      <c r="Z55" s="13" t="s">
        <v>39</v>
      </c>
      <c r="AA55" s="13" t="s">
        <v>34</v>
      </c>
      <c r="AB55" s="13"/>
      <c r="AC55" s="13" t="s">
        <v>40</v>
      </c>
      <c r="AD55" s="13" t="s">
        <v>32</v>
      </c>
      <c r="AE55" s="13">
        <v>0.46910000000000002</v>
      </c>
      <c r="AF55" s="21" t="s">
        <v>45</v>
      </c>
      <c r="AG55" s="13">
        <v>2013</v>
      </c>
      <c r="AH55" s="21" t="s">
        <v>46</v>
      </c>
      <c r="AI55" s="2" t="s">
        <v>43</v>
      </c>
      <c r="AJ55" s="2" t="s">
        <v>43</v>
      </c>
      <c r="AK55" s="2" t="s">
        <v>43</v>
      </c>
      <c r="AX55" s="2">
        <v>0.91</v>
      </c>
      <c r="AY55" s="2">
        <v>15.838699999999999</v>
      </c>
      <c r="BC55" s="2">
        <v>0.9</v>
      </c>
      <c r="BD55" s="2">
        <v>107.562</v>
      </c>
    </row>
    <row r="56" spans="1:56" x14ac:dyDescent="0.3">
      <c r="A56" s="11">
        <v>2.6890756302521002</v>
      </c>
      <c r="B56" s="11">
        <v>298.13664596273298</v>
      </c>
      <c r="C56" s="10" t="s">
        <v>33</v>
      </c>
      <c r="D56" s="10" t="s">
        <v>35</v>
      </c>
      <c r="E56" s="10" t="s">
        <v>170</v>
      </c>
      <c r="F56" s="10" t="s">
        <v>34</v>
      </c>
      <c r="G56" s="20">
        <v>0.16500000000000001</v>
      </c>
      <c r="H56" s="13" t="s">
        <v>34</v>
      </c>
      <c r="I56" s="13" t="s">
        <v>34</v>
      </c>
      <c r="J56" s="13" t="s">
        <v>34</v>
      </c>
      <c r="K56" s="13" t="s">
        <v>34</v>
      </c>
      <c r="L56" s="13" t="s">
        <v>34</v>
      </c>
      <c r="M56" s="13" t="s">
        <v>43</v>
      </c>
      <c r="N56" s="13" t="s">
        <v>43</v>
      </c>
      <c r="O56" s="13">
        <v>0.98750000000000004</v>
      </c>
      <c r="P56" s="13">
        <v>0.58499999999999996</v>
      </c>
      <c r="Q56" s="13">
        <v>0</v>
      </c>
      <c r="R56" s="13" t="s">
        <v>34</v>
      </c>
      <c r="S56" s="13" t="s">
        <v>43</v>
      </c>
      <c r="T56" s="13" t="s">
        <v>36</v>
      </c>
      <c r="U56" s="13" t="s">
        <v>37</v>
      </c>
      <c r="V56" s="13" t="s">
        <v>38</v>
      </c>
      <c r="W56" s="13" t="s">
        <v>34</v>
      </c>
      <c r="X56" s="10">
        <v>0.25</v>
      </c>
      <c r="Y56" s="13">
        <v>1</v>
      </c>
      <c r="Z56" s="13" t="s">
        <v>39</v>
      </c>
      <c r="AA56" s="13" t="s">
        <v>34</v>
      </c>
      <c r="AB56" s="13"/>
      <c r="AC56" s="13" t="s">
        <v>40</v>
      </c>
      <c r="AD56" s="13" t="s">
        <v>32</v>
      </c>
      <c r="AE56" s="13">
        <v>0.46910000000000002</v>
      </c>
      <c r="AF56" s="21" t="s">
        <v>45</v>
      </c>
      <c r="AG56" s="13">
        <v>2013</v>
      </c>
      <c r="AH56" s="21" t="s">
        <v>46</v>
      </c>
      <c r="AI56" s="2" t="s">
        <v>43</v>
      </c>
      <c r="AJ56" s="2" t="s">
        <v>43</v>
      </c>
      <c r="AK56" s="2" t="s">
        <v>43</v>
      </c>
      <c r="AX56" s="2">
        <v>0.92</v>
      </c>
      <c r="AY56" s="2">
        <v>16.2864</v>
      </c>
      <c r="BC56" s="2">
        <v>0.91</v>
      </c>
      <c r="BD56" s="2">
        <v>110.877</v>
      </c>
    </row>
    <row r="57" spans="1:56" x14ac:dyDescent="0.3">
      <c r="A57" s="11">
        <v>3.8865546218487399</v>
      </c>
      <c r="B57" s="11">
        <v>590.06211180124296</v>
      </c>
      <c r="C57" s="10" t="s">
        <v>33</v>
      </c>
      <c r="D57" s="10" t="s">
        <v>35</v>
      </c>
      <c r="E57" s="10" t="s">
        <v>170</v>
      </c>
      <c r="F57" s="10" t="s">
        <v>34</v>
      </c>
      <c r="G57" s="20">
        <v>0.16500000000000001</v>
      </c>
      <c r="H57" s="13" t="s">
        <v>34</v>
      </c>
      <c r="I57" s="13" t="s">
        <v>34</v>
      </c>
      <c r="J57" s="13" t="s">
        <v>34</v>
      </c>
      <c r="K57" s="13" t="s">
        <v>34</v>
      </c>
      <c r="L57" s="13" t="s">
        <v>34</v>
      </c>
      <c r="M57" s="13" t="s">
        <v>43</v>
      </c>
      <c r="N57" s="13" t="s">
        <v>43</v>
      </c>
      <c r="O57" s="13">
        <v>0.98750000000000004</v>
      </c>
      <c r="P57" s="13">
        <v>0.58499999999999996</v>
      </c>
      <c r="Q57" s="13">
        <v>0</v>
      </c>
      <c r="R57" s="13" t="s">
        <v>34</v>
      </c>
      <c r="S57" s="13" t="s">
        <v>43</v>
      </c>
      <c r="T57" s="13" t="s">
        <v>36</v>
      </c>
      <c r="U57" s="13" t="s">
        <v>37</v>
      </c>
      <c r="V57" s="13" t="s">
        <v>38</v>
      </c>
      <c r="W57" s="13" t="s">
        <v>34</v>
      </c>
      <c r="X57" s="10">
        <v>0.25</v>
      </c>
      <c r="Y57" s="13">
        <v>1</v>
      </c>
      <c r="Z57" s="13" t="s">
        <v>39</v>
      </c>
      <c r="AA57" s="13" t="s">
        <v>34</v>
      </c>
      <c r="AB57" s="13"/>
      <c r="AC57" s="13" t="s">
        <v>40</v>
      </c>
      <c r="AD57" s="13" t="s">
        <v>32</v>
      </c>
      <c r="AE57" s="13">
        <v>0.46910000000000002</v>
      </c>
      <c r="AF57" s="21" t="s">
        <v>45</v>
      </c>
      <c r="AG57" s="13">
        <v>2013</v>
      </c>
      <c r="AH57" s="21" t="s">
        <v>46</v>
      </c>
      <c r="AI57" s="2" t="s">
        <v>43</v>
      </c>
      <c r="AJ57" s="2" t="s">
        <v>43</v>
      </c>
      <c r="AK57" s="2" t="s">
        <v>43</v>
      </c>
      <c r="AX57" s="2">
        <v>0.93</v>
      </c>
      <c r="AY57" s="2">
        <v>16.7879</v>
      </c>
      <c r="BC57" s="2">
        <v>0.92</v>
      </c>
      <c r="BD57" s="2">
        <v>114.532</v>
      </c>
    </row>
    <row r="58" spans="1:56" x14ac:dyDescent="0.3">
      <c r="A58" s="11">
        <v>4.2857142857142803</v>
      </c>
      <c r="B58" s="11">
        <v>490.68322981366498</v>
      </c>
      <c r="C58" s="10" t="s">
        <v>33</v>
      </c>
      <c r="D58" s="10" t="s">
        <v>35</v>
      </c>
      <c r="E58" s="10" t="s">
        <v>170</v>
      </c>
      <c r="F58" s="10" t="s">
        <v>34</v>
      </c>
      <c r="G58" s="20">
        <v>0.16500000000000001</v>
      </c>
      <c r="H58" s="13" t="s">
        <v>34</v>
      </c>
      <c r="I58" s="13" t="s">
        <v>34</v>
      </c>
      <c r="J58" s="13" t="s">
        <v>34</v>
      </c>
      <c r="K58" s="13" t="s">
        <v>34</v>
      </c>
      <c r="L58" s="13" t="s">
        <v>34</v>
      </c>
      <c r="M58" s="13" t="s">
        <v>43</v>
      </c>
      <c r="N58" s="13" t="s">
        <v>43</v>
      </c>
      <c r="O58" s="13">
        <v>0.98750000000000004</v>
      </c>
      <c r="P58" s="13">
        <v>0.58499999999999996</v>
      </c>
      <c r="Q58" s="13">
        <v>0</v>
      </c>
      <c r="R58" s="13" t="s">
        <v>34</v>
      </c>
      <c r="S58" s="13" t="s">
        <v>43</v>
      </c>
      <c r="T58" s="13" t="s">
        <v>36</v>
      </c>
      <c r="U58" s="13" t="s">
        <v>37</v>
      </c>
      <c r="V58" s="13" t="s">
        <v>38</v>
      </c>
      <c r="W58" s="13" t="s">
        <v>34</v>
      </c>
      <c r="X58" s="10">
        <v>0.25</v>
      </c>
      <c r="Y58" s="13">
        <v>1</v>
      </c>
      <c r="Z58" s="13" t="s">
        <v>39</v>
      </c>
      <c r="AA58" s="13" t="s">
        <v>34</v>
      </c>
      <c r="AB58" s="13"/>
      <c r="AC58" s="13" t="s">
        <v>40</v>
      </c>
      <c r="AD58" s="13" t="s">
        <v>32</v>
      </c>
      <c r="AE58" s="13">
        <v>0.46910000000000002</v>
      </c>
      <c r="AF58" s="21" t="s">
        <v>45</v>
      </c>
      <c r="AG58" s="13">
        <v>2013</v>
      </c>
      <c r="AH58" s="21" t="s">
        <v>46</v>
      </c>
      <c r="AI58" s="2" t="s">
        <v>43</v>
      </c>
      <c r="AJ58" s="2" t="s">
        <v>43</v>
      </c>
      <c r="AK58" s="2" t="s">
        <v>43</v>
      </c>
      <c r="AX58" s="2">
        <v>0.94</v>
      </c>
      <c r="AY58" s="2">
        <v>17.3597</v>
      </c>
      <c r="BC58" s="2">
        <v>0.93</v>
      </c>
      <c r="BD58" s="2">
        <v>118.617</v>
      </c>
    </row>
    <row r="59" spans="1:56" x14ac:dyDescent="0.3">
      <c r="A59" s="11">
        <v>4.76890756302521</v>
      </c>
      <c r="B59" s="11">
        <v>633.54037267080798</v>
      </c>
      <c r="C59" s="10" t="s">
        <v>33</v>
      </c>
      <c r="D59" s="10" t="s">
        <v>35</v>
      </c>
      <c r="E59" s="10" t="s">
        <v>170</v>
      </c>
      <c r="F59" s="10" t="s">
        <v>34</v>
      </c>
      <c r="G59" s="20">
        <v>0.16500000000000001</v>
      </c>
      <c r="H59" s="13" t="s">
        <v>34</v>
      </c>
      <c r="I59" s="13" t="s">
        <v>34</v>
      </c>
      <c r="J59" s="13" t="s">
        <v>34</v>
      </c>
      <c r="K59" s="13" t="s">
        <v>34</v>
      </c>
      <c r="L59" s="13" t="s">
        <v>34</v>
      </c>
      <c r="M59" s="13" t="s">
        <v>43</v>
      </c>
      <c r="N59" s="13" t="s">
        <v>43</v>
      </c>
      <c r="O59" s="13">
        <v>0.98750000000000004</v>
      </c>
      <c r="P59" s="13">
        <v>0.58499999999999996</v>
      </c>
      <c r="Q59" s="13">
        <v>0</v>
      </c>
      <c r="R59" s="13" t="s">
        <v>34</v>
      </c>
      <c r="S59" s="13" t="s">
        <v>43</v>
      </c>
      <c r="T59" s="13" t="s">
        <v>36</v>
      </c>
      <c r="U59" s="13" t="s">
        <v>37</v>
      </c>
      <c r="V59" s="13" t="s">
        <v>38</v>
      </c>
      <c r="W59" s="13" t="s">
        <v>34</v>
      </c>
      <c r="X59" s="10">
        <v>0.25</v>
      </c>
      <c r="Y59" s="13">
        <v>1</v>
      </c>
      <c r="Z59" s="13" t="s">
        <v>39</v>
      </c>
      <c r="AA59" s="13" t="s">
        <v>34</v>
      </c>
      <c r="AB59" s="13"/>
      <c r="AC59" s="13" t="s">
        <v>40</v>
      </c>
      <c r="AD59" s="13" t="s">
        <v>32</v>
      </c>
      <c r="AE59" s="13">
        <v>0.46910000000000002</v>
      </c>
      <c r="AF59" s="21" t="s">
        <v>45</v>
      </c>
      <c r="AG59" s="13">
        <v>2013</v>
      </c>
      <c r="AH59" s="21" t="s">
        <v>46</v>
      </c>
      <c r="AI59" s="2" t="s">
        <v>43</v>
      </c>
      <c r="AJ59" s="2" t="s">
        <v>43</v>
      </c>
      <c r="AK59" s="2" t="s">
        <v>43</v>
      </c>
      <c r="AX59" s="2">
        <v>0.95</v>
      </c>
      <c r="AY59" s="2">
        <v>18.026800000000001</v>
      </c>
      <c r="BC59" s="2">
        <v>0.94</v>
      </c>
      <c r="BD59" s="2">
        <v>123.26</v>
      </c>
    </row>
    <row r="60" spans="1:56" x14ac:dyDescent="0.3">
      <c r="A60" s="11">
        <v>4.8319327731092399</v>
      </c>
      <c r="B60" s="11">
        <v>534.16149068322898</v>
      </c>
      <c r="C60" s="10" t="s">
        <v>33</v>
      </c>
      <c r="D60" s="10" t="s">
        <v>35</v>
      </c>
      <c r="E60" s="10" t="s">
        <v>170</v>
      </c>
      <c r="F60" s="10" t="s">
        <v>34</v>
      </c>
      <c r="G60" s="20">
        <v>0.16500000000000001</v>
      </c>
      <c r="H60" s="13" t="s">
        <v>34</v>
      </c>
      <c r="I60" s="13" t="s">
        <v>34</v>
      </c>
      <c r="J60" s="13" t="s">
        <v>34</v>
      </c>
      <c r="K60" s="13" t="s">
        <v>34</v>
      </c>
      <c r="L60" s="13" t="s">
        <v>34</v>
      </c>
      <c r="M60" s="13" t="s">
        <v>43</v>
      </c>
      <c r="N60" s="13" t="s">
        <v>43</v>
      </c>
      <c r="O60" s="13">
        <v>0.98750000000000004</v>
      </c>
      <c r="P60" s="13">
        <v>0.58499999999999996</v>
      </c>
      <c r="Q60" s="13">
        <v>0</v>
      </c>
      <c r="R60" s="13" t="s">
        <v>34</v>
      </c>
      <c r="S60" s="13" t="s">
        <v>43</v>
      </c>
      <c r="T60" s="13" t="s">
        <v>36</v>
      </c>
      <c r="U60" s="13" t="s">
        <v>37</v>
      </c>
      <c r="V60" s="13" t="s">
        <v>38</v>
      </c>
      <c r="W60" s="13" t="s">
        <v>34</v>
      </c>
      <c r="X60" s="10">
        <v>0.25</v>
      </c>
      <c r="Y60" s="13">
        <v>1</v>
      </c>
      <c r="Z60" s="13" t="s">
        <v>39</v>
      </c>
      <c r="AA60" s="13" t="s">
        <v>34</v>
      </c>
      <c r="AB60" s="13"/>
      <c r="AC60" s="13" t="s">
        <v>40</v>
      </c>
      <c r="AD60" s="13" t="s">
        <v>32</v>
      </c>
      <c r="AE60" s="13">
        <v>0.46910000000000002</v>
      </c>
      <c r="AF60" s="21" t="s">
        <v>45</v>
      </c>
      <c r="AG60" s="13">
        <v>2013</v>
      </c>
      <c r="AH60" s="21" t="s">
        <v>46</v>
      </c>
      <c r="AI60" s="2" t="s">
        <v>43</v>
      </c>
      <c r="AJ60" s="2" t="s">
        <v>43</v>
      </c>
      <c r="AK60" s="2" t="s">
        <v>43</v>
      </c>
      <c r="BC60" s="2">
        <v>0.95</v>
      </c>
      <c r="BD60" s="2">
        <v>128.661</v>
      </c>
    </row>
    <row r="61" spans="1:56" x14ac:dyDescent="0.3">
      <c r="A61" s="11">
        <v>6.2605042016806696</v>
      </c>
      <c r="B61" s="11">
        <v>639.75155279503099</v>
      </c>
      <c r="C61" s="10" t="s">
        <v>33</v>
      </c>
      <c r="D61" s="10" t="s">
        <v>35</v>
      </c>
      <c r="E61" s="10" t="s">
        <v>170</v>
      </c>
      <c r="F61" s="10" t="s">
        <v>34</v>
      </c>
      <c r="G61" s="20">
        <v>0.16500000000000001</v>
      </c>
      <c r="H61" s="13" t="s">
        <v>34</v>
      </c>
      <c r="I61" s="13" t="s">
        <v>34</v>
      </c>
      <c r="J61" s="13" t="s">
        <v>34</v>
      </c>
      <c r="K61" s="13" t="s">
        <v>34</v>
      </c>
      <c r="L61" s="13" t="s">
        <v>34</v>
      </c>
      <c r="M61" s="13" t="s">
        <v>43</v>
      </c>
      <c r="N61" s="13" t="s">
        <v>43</v>
      </c>
      <c r="O61" s="13">
        <v>0.98750000000000004</v>
      </c>
      <c r="P61" s="13">
        <v>0.58499999999999996</v>
      </c>
      <c r="Q61" s="13">
        <v>0</v>
      </c>
      <c r="R61" s="13" t="s">
        <v>34</v>
      </c>
      <c r="S61" s="13" t="s">
        <v>43</v>
      </c>
      <c r="T61" s="13" t="s">
        <v>36</v>
      </c>
      <c r="U61" s="13" t="s">
        <v>37</v>
      </c>
      <c r="V61" s="13" t="s">
        <v>38</v>
      </c>
      <c r="W61" s="13" t="s">
        <v>34</v>
      </c>
      <c r="X61" s="10">
        <v>0.25</v>
      </c>
      <c r="Y61" s="13">
        <v>1</v>
      </c>
      <c r="Z61" s="13" t="s">
        <v>39</v>
      </c>
      <c r="AA61" s="13" t="s">
        <v>34</v>
      </c>
      <c r="AB61" s="13"/>
      <c r="AC61" s="13" t="s">
        <v>40</v>
      </c>
      <c r="AD61" s="13" t="s">
        <v>32</v>
      </c>
      <c r="AE61" s="13">
        <v>0.46910000000000002</v>
      </c>
      <c r="AF61" s="21" t="s">
        <v>45</v>
      </c>
      <c r="AG61" s="13">
        <v>2013</v>
      </c>
      <c r="AH61" s="21" t="s">
        <v>46</v>
      </c>
      <c r="AI61" s="2" t="s">
        <v>43</v>
      </c>
      <c r="AJ61" s="2" t="s">
        <v>43</v>
      </c>
      <c r="AK61" s="2" t="s">
        <v>43</v>
      </c>
    </row>
    <row r="62" spans="1:56" x14ac:dyDescent="0.3">
      <c r="A62" s="11">
        <v>6.2605042016806696</v>
      </c>
      <c r="B62" s="11">
        <v>571.42857142856997</v>
      </c>
      <c r="C62" s="10" t="s">
        <v>33</v>
      </c>
      <c r="D62" s="10" t="s">
        <v>35</v>
      </c>
      <c r="E62" s="10" t="s">
        <v>170</v>
      </c>
      <c r="F62" s="10" t="s">
        <v>34</v>
      </c>
      <c r="G62" s="20">
        <v>0.16500000000000001</v>
      </c>
      <c r="H62" s="13" t="s">
        <v>34</v>
      </c>
      <c r="I62" s="13" t="s">
        <v>34</v>
      </c>
      <c r="J62" s="13" t="s">
        <v>34</v>
      </c>
      <c r="K62" s="13" t="s">
        <v>34</v>
      </c>
      <c r="L62" s="13" t="s">
        <v>34</v>
      </c>
      <c r="M62" s="13" t="s">
        <v>43</v>
      </c>
      <c r="N62" s="13" t="s">
        <v>43</v>
      </c>
      <c r="O62" s="13">
        <v>0.98750000000000004</v>
      </c>
      <c r="P62" s="13">
        <v>0.58499999999999996</v>
      </c>
      <c r="Q62" s="13">
        <v>0</v>
      </c>
      <c r="R62" s="13" t="s">
        <v>34</v>
      </c>
      <c r="S62" s="13" t="s">
        <v>43</v>
      </c>
      <c r="T62" s="13" t="s">
        <v>36</v>
      </c>
      <c r="U62" s="13" t="s">
        <v>37</v>
      </c>
      <c r="V62" s="13" t="s">
        <v>38</v>
      </c>
      <c r="W62" s="13" t="s">
        <v>34</v>
      </c>
      <c r="X62" s="10">
        <v>0.25</v>
      </c>
      <c r="Y62" s="13">
        <v>1</v>
      </c>
      <c r="Z62" s="13" t="s">
        <v>39</v>
      </c>
      <c r="AA62" s="13" t="s">
        <v>34</v>
      </c>
      <c r="AB62" s="13"/>
      <c r="AC62" s="13" t="s">
        <v>40</v>
      </c>
      <c r="AD62" s="13" t="s">
        <v>32</v>
      </c>
      <c r="AE62" s="13">
        <v>0.46910000000000002</v>
      </c>
      <c r="AF62" s="21" t="s">
        <v>45</v>
      </c>
      <c r="AG62" s="13">
        <v>2013</v>
      </c>
      <c r="AH62" s="21" t="s">
        <v>46</v>
      </c>
      <c r="AI62" s="2" t="s">
        <v>43</v>
      </c>
      <c r="AJ62" s="2" t="s">
        <v>43</v>
      </c>
      <c r="AK62" s="2" t="s">
        <v>43</v>
      </c>
    </row>
    <row r="63" spans="1:56" x14ac:dyDescent="0.3">
      <c r="A63" s="11">
        <v>5.9033613445378101</v>
      </c>
      <c r="B63" s="11">
        <v>819.87577639751498</v>
      </c>
      <c r="C63" s="10" t="s">
        <v>33</v>
      </c>
      <c r="D63" s="10" t="s">
        <v>35</v>
      </c>
      <c r="E63" s="10" t="s">
        <v>170</v>
      </c>
      <c r="F63" s="10" t="s">
        <v>34</v>
      </c>
      <c r="G63" s="20">
        <v>0.16500000000000001</v>
      </c>
      <c r="H63" s="13" t="s">
        <v>34</v>
      </c>
      <c r="I63" s="13" t="s">
        <v>34</v>
      </c>
      <c r="J63" s="13" t="s">
        <v>34</v>
      </c>
      <c r="K63" s="13" t="s">
        <v>34</v>
      </c>
      <c r="L63" s="13" t="s">
        <v>34</v>
      </c>
      <c r="M63" s="13" t="s">
        <v>43</v>
      </c>
      <c r="N63" s="13" t="s">
        <v>43</v>
      </c>
      <c r="O63" s="13">
        <v>0.98750000000000004</v>
      </c>
      <c r="P63" s="13">
        <v>0.58499999999999996</v>
      </c>
      <c r="Q63" s="13">
        <v>0</v>
      </c>
      <c r="R63" s="13" t="s">
        <v>34</v>
      </c>
      <c r="S63" s="13" t="s">
        <v>43</v>
      </c>
      <c r="T63" s="13" t="s">
        <v>36</v>
      </c>
      <c r="U63" s="13" t="s">
        <v>37</v>
      </c>
      <c r="V63" s="13" t="s">
        <v>38</v>
      </c>
      <c r="W63" s="13" t="s">
        <v>34</v>
      </c>
      <c r="X63" s="10">
        <v>0.25</v>
      </c>
      <c r="Y63" s="13">
        <v>1</v>
      </c>
      <c r="Z63" s="13" t="s">
        <v>39</v>
      </c>
      <c r="AA63" s="13" t="s">
        <v>34</v>
      </c>
      <c r="AB63" s="13"/>
      <c r="AC63" s="13" t="s">
        <v>40</v>
      </c>
      <c r="AD63" s="13" t="s">
        <v>32</v>
      </c>
      <c r="AE63" s="13">
        <v>0.46910000000000002</v>
      </c>
      <c r="AF63" s="21" t="s">
        <v>45</v>
      </c>
      <c r="AG63" s="13">
        <v>2013</v>
      </c>
      <c r="AH63" s="21" t="s">
        <v>46</v>
      </c>
      <c r="AI63" s="2" t="s">
        <v>43</v>
      </c>
      <c r="AJ63" s="2" t="s">
        <v>43</v>
      </c>
      <c r="AK63" s="2" t="s">
        <v>43</v>
      </c>
    </row>
    <row r="64" spans="1:56" x14ac:dyDescent="0.3">
      <c r="A64" s="11">
        <v>6.3865546218487301</v>
      </c>
      <c r="B64" s="11">
        <v>869.56521739130403</v>
      </c>
      <c r="C64" s="10" t="s">
        <v>33</v>
      </c>
      <c r="D64" s="10" t="s">
        <v>35</v>
      </c>
      <c r="E64" s="10" t="s">
        <v>170</v>
      </c>
      <c r="F64" s="10" t="s">
        <v>34</v>
      </c>
      <c r="G64" s="20">
        <v>0.16500000000000001</v>
      </c>
      <c r="H64" s="13" t="s">
        <v>34</v>
      </c>
      <c r="I64" s="13" t="s">
        <v>34</v>
      </c>
      <c r="J64" s="13" t="s">
        <v>34</v>
      </c>
      <c r="K64" s="13" t="s">
        <v>34</v>
      </c>
      <c r="L64" s="13" t="s">
        <v>34</v>
      </c>
      <c r="M64" s="13" t="s">
        <v>43</v>
      </c>
      <c r="N64" s="13" t="s">
        <v>43</v>
      </c>
      <c r="O64" s="13">
        <v>0.98750000000000004</v>
      </c>
      <c r="P64" s="13">
        <v>0.58499999999999996</v>
      </c>
      <c r="Q64" s="13">
        <v>0</v>
      </c>
      <c r="R64" s="13" t="s">
        <v>34</v>
      </c>
      <c r="S64" s="13" t="s">
        <v>43</v>
      </c>
      <c r="T64" s="13" t="s">
        <v>36</v>
      </c>
      <c r="U64" s="13" t="s">
        <v>37</v>
      </c>
      <c r="V64" s="13" t="s">
        <v>38</v>
      </c>
      <c r="W64" s="13" t="s">
        <v>34</v>
      </c>
      <c r="X64" s="10">
        <v>0.25</v>
      </c>
      <c r="Y64" s="13">
        <v>1</v>
      </c>
      <c r="Z64" s="13" t="s">
        <v>39</v>
      </c>
      <c r="AA64" s="13" t="s">
        <v>34</v>
      </c>
      <c r="AB64" s="13"/>
      <c r="AC64" s="13" t="s">
        <v>40</v>
      </c>
      <c r="AD64" s="13" t="s">
        <v>32</v>
      </c>
      <c r="AE64" s="13">
        <v>0.46910000000000002</v>
      </c>
      <c r="AF64" s="21" t="s">
        <v>45</v>
      </c>
      <c r="AG64" s="13">
        <v>2013</v>
      </c>
      <c r="AH64" s="21" t="s">
        <v>46</v>
      </c>
      <c r="AI64" s="2" t="s">
        <v>43</v>
      </c>
      <c r="AJ64" s="2" t="s">
        <v>43</v>
      </c>
      <c r="AK64" s="2" t="s">
        <v>43</v>
      </c>
    </row>
    <row r="65" spans="1:37" x14ac:dyDescent="0.3">
      <c r="A65" s="11">
        <v>6.8907563025209999</v>
      </c>
      <c r="B65" s="11">
        <v>975.15527950310502</v>
      </c>
      <c r="C65" s="10" t="s">
        <v>33</v>
      </c>
      <c r="D65" s="10" t="s">
        <v>35</v>
      </c>
      <c r="E65" s="10" t="s">
        <v>170</v>
      </c>
      <c r="F65" s="10" t="s">
        <v>34</v>
      </c>
      <c r="G65" s="20">
        <v>0.16500000000000001</v>
      </c>
      <c r="H65" s="13" t="s">
        <v>34</v>
      </c>
      <c r="I65" s="13" t="s">
        <v>34</v>
      </c>
      <c r="J65" s="13" t="s">
        <v>34</v>
      </c>
      <c r="K65" s="13" t="s">
        <v>34</v>
      </c>
      <c r="L65" s="13" t="s">
        <v>34</v>
      </c>
      <c r="M65" s="13" t="s">
        <v>43</v>
      </c>
      <c r="N65" s="13" t="s">
        <v>43</v>
      </c>
      <c r="O65" s="13">
        <v>0.98750000000000004</v>
      </c>
      <c r="P65" s="13">
        <v>0.58499999999999996</v>
      </c>
      <c r="Q65" s="13">
        <v>0</v>
      </c>
      <c r="R65" s="13" t="s">
        <v>34</v>
      </c>
      <c r="S65" s="13" t="s">
        <v>43</v>
      </c>
      <c r="T65" s="13" t="s">
        <v>36</v>
      </c>
      <c r="U65" s="13" t="s">
        <v>37</v>
      </c>
      <c r="V65" s="13" t="s">
        <v>38</v>
      </c>
      <c r="W65" s="13" t="s">
        <v>34</v>
      </c>
      <c r="X65" s="10">
        <v>0.25</v>
      </c>
      <c r="Y65" s="13">
        <v>1</v>
      </c>
      <c r="Z65" s="13" t="s">
        <v>39</v>
      </c>
      <c r="AA65" s="13" t="s">
        <v>34</v>
      </c>
      <c r="AB65" s="13"/>
      <c r="AC65" s="13" t="s">
        <v>40</v>
      </c>
      <c r="AD65" s="13" t="s">
        <v>32</v>
      </c>
      <c r="AE65" s="13">
        <v>0.46910000000000002</v>
      </c>
      <c r="AF65" s="21" t="s">
        <v>45</v>
      </c>
      <c r="AG65" s="13">
        <v>2013</v>
      </c>
      <c r="AH65" s="21" t="s">
        <v>46</v>
      </c>
      <c r="AI65" s="2" t="s">
        <v>43</v>
      </c>
      <c r="AJ65" s="2" t="s">
        <v>43</v>
      </c>
      <c r="AK65" s="2" t="s">
        <v>43</v>
      </c>
    </row>
    <row r="66" spans="1:37" x14ac:dyDescent="0.3">
      <c r="A66" s="11">
        <v>6.3025210084033496</v>
      </c>
      <c r="B66" s="11">
        <v>1211.1801242235999</v>
      </c>
      <c r="C66" s="10" t="s">
        <v>33</v>
      </c>
      <c r="D66" s="10" t="s">
        <v>35</v>
      </c>
      <c r="E66" s="10" t="s">
        <v>170</v>
      </c>
      <c r="F66" s="10" t="s">
        <v>34</v>
      </c>
      <c r="G66" s="20">
        <v>0.16500000000000001</v>
      </c>
      <c r="H66" s="13" t="s">
        <v>34</v>
      </c>
      <c r="I66" s="13" t="s">
        <v>34</v>
      </c>
      <c r="J66" s="13" t="s">
        <v>34</v>
      </c>
      <c r="K66" s="13" t="s">
        <v>34</v>
      </c>
      <c r="L66" s="13" t="s">
        <v>34</v>
      </c>
      <c r="M66" s="13" t="s">
        <v>43</v>
      </c>
      <c r="N66" s="13" t="s">
        <v>43</v>
      </c>
      <c r="O66" s="13">
        <v>0.98750000000000004</v>
      </c>
      <c r="P66" s="13">
        <v>0.58499999999999996</v>
      </c>
      <c r="Q66" s="13">
        <v>0</v>
      </c>
      <c r="R66" s="13" t="s">
        <v>34</v>
      </c>
      <c r="S66" s="13" t="s">
        <v>43</v>
      </c>
      <c r="T66" s="13" t="s">
        <v>36</v>
      </c>
      <c r="U66" s="13" t="s">
        <v>37</v>
      </c>
      <c r="V66" s="13" t="s">
        <v>38</v>
      </c>
      <c r="W66" s="13" t="s">
        <v>34</v>
      </c>
      <c r="X66" s="10">
        <v>0.25</v>
      </c>
      <c r="Y66" s="13">
        <v>1</v>
      </c>
      <c r="Z66" s="13" t="s">
        <v>39</v>
      </c>
      <c r="AA66" s="13" t="s">
        <v>34</v>
      </c>
      <c r="AB66" s="13"/>
      <c r="AC66" s="13" t="s">
        <v>40</v>
      </c>
      <c r="AD66" s="13" t="s">
        <v>32</v>
      </c>
      <c r="AE66" s="13">
        <v>0.46910000000000002</v>
      </c>
      <c r="AF66" s="21" t="s">
        <v>45</v>
      </c>
      <c r="AG66" s="13">
        <v>2013</v>
      </c>
      <c r="AH66" s="21" t="s">
        <v>46</v>
      </c>
      <c r="AI66" s="2" t="s">
        <v>43</v>
      </c>
      <c r="AJ66" s="2" t="s">
        <v>43</v>
      </c>
      <c r="AK66" s="2" t="s">
        <v>43</v>
      </c>
    </row>
    <row r="67" spans="1:37" x14ac:dyDescent="0.3">
      <c r="A67" s="11">
        <v>5.71428571428571</v>
      </c>
      <c r="B67" s="11">
        <v>1422.3602484472001</v>
      </c>
      <c r="C67" s="10" t="s">
        <v>33</v>
      </c>
      <c r="D67" s="10" t="s">
        <v>35</v>
      </c>
      <c r="E67" s="10" t="s">
        <v>170</v>
      </c>
      <c r="F67" s="10" t="s">
        <v>34</v>
      </c>
      <c r="G67" s="20">
        <v>0.16500000000000001</v>
      </c>
      <c r="H67" s="13" t="s">
        <v>34</v>
      </c>
      <c r="I67" s="13" t="s">
        <v>34</v>
      </c>
      <c r="J67" s="13" t="s">
        <v>34</v>
      </c>
      <c r="K67" s="13" t="s">
        <v>34</v>
      </c>
      <c r="L67" s="13" t="s">
        <v>34</v>
      </c>
      <c r="M67" s="13" t="s">
        <v>43</v>
      </c>
      <c r="N67" s="13" t="s">
        <v>43</v>
      </c>
      <c r="O67" s="13">
        <v>0.98750000000000004</v>
      </c>
      <c r="P67" s="13">
        <v>0.58499999999999996</v>
      </c>
      <c r="Q67" s="13">
        <v>0</v>
      </c>
      <c r="R67" s="13" t="s">
        <v>34</v>
      </c>
      <c r="S67" s="13" t="s">
        <v>43</v>
      </c>
      <c r="T67" s="13" t="s">
        <v>36</v>
      </c>
      <c r="U67" s="13" t="s">
        <v>37</v>
      </c>
      <c r="V67" s="13" t="s">
        <v>38</v>
      </c>
      <c r="W67" s="13" t="s">
        <v>34</v>
      </c>
      <c r="X67" s="10">
        <v>0.25</v>
      </c>
      <c r="Y67" s="13">
        <v>1</v>
      </c>
      <c r="Z67" s="13" t="s">
        <v>39</v>
      </c>
      <c r="AA67" s="13" t="s">
        <v>34</v>
      </c>
      <c r="AB67" s="13"/>
      <c r="AC67" s="13" t="s">
        <v>40</v>
      </c>
      <c r="AD67" s="13" t="s">
        <v>32</v>
      </c>
      <c r="AE67" s="13">
        <v>0.46910000000000002</v>
      </c>
      <c r="AF67" s="21" t="s">
        <v>45</v>
      </c>
      <c r="AG67" s="13">
        <v>2013</v>
      </c>
      <c r="AH67" s="21" t="s">
        <v>46</v>
      </c>
      <c r="AI67" s="2" t="s">
        <v>43</v>
      </c>
      <c r="AJ67" s="2" t="s">
        <v>43</v>
      </c>
      <c r="AK67" s="2" t="s">
        <v>43</v>
      </c>
    </row>
    <row r="68" spans="1:37" x14ac:dyDescent="0.3">
      <c r="A68" s="11">
        <v>6.4705882352941204</v>
      </c>
      <c r="B68" s="11">
        <v>1360.24844720496</v>
      </c>
      <c r="C68" s="10" t="s">
        <v>33</v>
      </c>
      <c r="D68" s="10" t="s">
        <v>35</v>
      </c>
      <c r="E68" s="10" t="s">
        <v>170</v>
      </c>
      <c r="F68" s="10" t="s">
        <v>34</v>
      </c>
      <c r="G68" s="20">
        <v>0.16500000000000001</v>
      </c>
      <c r="H68" s="13" t="s">
        <v>34</v>
      </c>
      <c r="I68" s="13" t="s">
        <v>34</v>
      </c>
      <c r="J68" s="13" t="s">
        <v>34</v>
      </c>
      <c r="K68" s="13" t="s">
        <v>34</v>
      </c>
      <c r="L68" s="13" t="s">
        <v>34</v>
      </c>
      <c r="M68" s="13" t="s">
        <v>43</v>
      </c>
      <c r="N68" s="13" t="s">
        <v>43</v>
      </c>
      <c r="O68" s="13">
        <v>0.98750000000000004</v>
      </c>
      <c r="P68" s="13">
        <v>0.58499999999999996</v>
      </c>
      <c r="Q68" s="13">
        <v>0</v>
      </c>
      <c r="R68" s="13" t="s">
        <v>34</v>
      </c>
      <c r="S68" s="13" t="s">
        <v>43</v>
      </c>
      <c r="T68" s="13" t="s">
        <v>36</v>
      </c>
      <c r="U68" s="13" t="s">
        <v>37</v>
      </c>
      <c r="V68" s="13" t="s">
        <v>38</v>
      </c>
      <c r="W68" s="13" t="s">
        <v>34</v>
      </c>
      <c r="X68" s="10">
        <v>0.25</v>
      </c>
      <c r="Y68" s="13">
        <v>1</v>
      </c>
      <c r="Z68" s="13" t="s">
        <v>39</v>
      </c>
      <c r="AA68" s="13" t="s">
        <v>34</v>
      </c>
      <c r="AB68" s="13"/>
      <c r="AC68" s="13" t="s">
        <v>40</v>
      </c>
      <c r="AD68" s="13" t="s">
        <v>32</v>
      </c>
      <c r="AE68" s="13">
        <v>0.46910000000000002</v>
      </c>
      <c r="AF68" s="21" t="s">
        <v>45</v>
      </c>
      <c r="AG68" s="13">
        <v>2013</v>
      </c>
      <c r="AH68" s="21" t="s">
        <v>46</v>
      </c>
      <c r="AI68" s="2" t="s">
        <v>43</v>
      </c>
      <c r="AJ68" s="2" t="s">
        <v>43</v>
      </c>
      <c r="AK68" s="2" t="s">
        <v>43</v>
      </c>
    </row>
    <row r="69" spans="1:37" x14ac:dyDescent="0.3">
      <c r="A69" s="11">
        <v>3.23529411764705</v>
      </c>
      <c r="B69" s="11">
        <v>223.60248447205001</v>
      </c>
      <c r="C69" s="10" t="s">
        <v>33</v>
      </c>
      <c r="D69" s="10" t="s">
        <v>35</v>
      </c>
      <c r="E69" s="10" t="s">
        <v>170</v>
      </c>
      <c r="F69" s="10" t="s">
        <v>34</v>
      </c>
      <c r="G69" s="20">
        <v>0.16500000000000001</v>
      </c>
      <c r="H69" s="13" t="s">
        <v>34</v>
      </c>
      <c r="I69" s="13" t="s">
        <v>34</v>
      </c>
      <c r="J69" s="13" t="s">
        <v>34</v>
      </c>
      <c r="K69" s="13" t="s">
        <v>34</v>
      </c>
      <c r="L69" s="13" t="s">
        <v>34</v>
      </c>
      <c r="M69" s="13" t="s">
        <v>43</v>
      </c>
      <c r="N69" s="13" t="s">
        <v>43</v>
      </c>
      <c r="O69" s="13">
        <v>0.98750000000000004</v>
      </c>
      <c r="P69" s="13">
        <v>0.58499999999999996</v>
      </c>
      <c r="Q69" s="13">
        <v>0</v>
      </c>
      <c r="R69" s="13" t="s">
        <v>34</v>
      </c>
      <c r="S69" s="13" t="s">
        <v>43</v>
      </c>
      <c r="T69" s="13" t="s">
        <v>36</v>
      </c>
      <c r="U69" s="13" t="s">
        <v>37</v>
      </c>
      <c r="V69" s="13" t="s">
        <v>38</v>
      </c>
      <c r="W69" s="13" t="s">
        <v>34</v>
      </c>
      <c r="X69" s="10">
        <v>0.5</v>
      </c>
      <c r="Y69" s="13">
        <v>1</v>
      </c>
      <c r="Z69" s="13" t="s">
        <v>39</v>
      </c>
      <c r="AA69" s="13" t="s">
        <v>34</v>
      </c>
      <c r="AB69" s="13"/>
      <c r="AC69" s="13" t="s">
        <v>40</v>
      </c>
      <c r="AD69" s="13" t="s">
        <v>32</v>
      </c>
      <c r="AE69" s="13">
        <v>0.46910000000000002</v>
      </c>
      <c r="AF69" s="21" t="s">
        <v>45</v>
      </c>
      <c r="AG69" s="13">
        <v>2013</v>
      </c>
      <c r="AH69" s="21" t="s">
        <v>46</v>
      </c>
      <c r="AI69" s="2" t="s">
        <v>43</v>
      </c>
      <c r="AJ69" s="2" t="s">
        <v>43</v>
      </c>
      <c r="AK69" s="2" t="s">
        <v>43</v>
      </c>
    </row>
    <row r="70" spans="1:37" x14ac:dyDescent="0.3">
      <c r="A70" s="11">
        <v>3.23529411764705</v>
      </c>
      <c r="B70" s="11">
        <v>124.223602484472</v>
      </c>
      <c r="C70" s="10" t="s">
        <v>33</v>
      </c>
      <c r="D70" s="10" t="s">
        <v>35</v>
      </c>
      <c r="E70" s="10" t="s">
        <v>170</v>
      </c>
      <c r="F70" s="10" t="s">
        <v>34</v>
      </c>
      <c r="G70" s="20">
        <v>0.16500000000000001</v>
      </c>
      <c r="H70" s="13" t="s">
        <v>34</v>
      </c>
      <c r="I70" s="13" t="s">
        <v>34</v>
      </c>
      <c r="J70" s="13" t="s">
        <v>34</v>
      </c>
      <c r="K70" s="13" t="s">
        <v>34</v>
      </c>
      <c r="L70" s="13" t="s">
        <v>34</v>
      </c>
      <c r="M70" s="13" t="s">
        <v>43</v>
      </c>
      <c r="N70" s="13" t="s">
        <v>43</v>
      </c>
      <c r="O70" s="13">
        <v>0.98750000000000004</v>
      </c>
      <c r="P70" s="13">
        <v>0.58499999999999996</v>
      </c>
      <c r="Q70" s="13">
        <v>0</v>
      </c>
      <c r="R70" s="13" t="s">
        <v>34</v>
      </c>
      <c r="S70" s="13" t="s">
        <v>43</v>
      </c>
      <c r="T70" s="13" t="s">
        <v>36</v>
      </c>
      <c r="U70" s="13" t="s">
        <v>37</v>
      </c>
      <c r="V70" s="13" t="s">
        <v>38</v>
      </c>
      <c r="W70" s="13" t="s">
        <v>34</v>
      </c>
      <c r="X70" s="10">
        <v>0.5</v>
      </c>
      <c r="Y70" s="13">
        <v>1</v>
      </c>
      <c r="Z70" s="13" t="s">
        <v>39</v>
      </c>
      <c r="AA70" s="13" t="s">
        <v>34</v>
      </c>
      <c r="AB70" s="13"/>
      <c r="AC70" s="13" t="s">
        <v>40</v>
      </c>
      <c r="AD70" s="13" t="s">
        <v>32</v>
      </c>
      <c r="AE70" s="13">
        <v>0.46910000000000002</v>
      </c>
      <c r="AF70" s="21" t="s">
        <v>45</v>
      </c>
      <c r="AG70" s="13">
        <v>2013</v>
      </c>
      <c r="AH70" s="21" t="s">
        <v>46</v>
      </c>
      <c r="AI70" s="2" t="s">
        <v>43</v>
      </c>
      <c r="AJ70" s="2" t="s">
        <v>43</v>
      </c>
      <c r="AK70" s="2" t="s">
        <v>43</v>
      </c>
    </row>
    <row r="71" spans="1:37" x14ac:dyDescent="0.3">
      <c r="A71" s="11">
        <v>3.6344537815126001</v>
      </c>
      <c r="B71" s="11">
        <v>130.434782608695</v>
      </c>
      <c r="C71" s="10" t="s">
        <v>33</v>
      </c>
      <c r="D71" s="10" t="s">
        <v>35</v>
      </c>
      <c r="E71" s="10" t="s">
        <v>170</v>
      </c>
      <c r="F71" s="10" t="s">
        <v>34</v>
      </c>
      <c r="G71" s="20">
        <v>0.16500000000000001</v>
      </c>
      <c r="H71" s="13" t="s">
        <v>34</v>
      </c>
      <c r="I71" s="13" t="s">
        <v>34</v>
      </c>
      <c r="J71" s="13" t="s">
        <v>34</v>
      </c>
      <c r="K71" s="13" t="s">
        <v>34</v>
      </c>
      <c r="L71" s="13" t="s">
        <v>34</v>
      </c>
      <c r="M71" s="13" t="s">
        <v>43</v>
      </c>
      <c r="N71" s="13" t="s">
        <v>43</v>
      </c>
      <c r="O71" s="13">
        <v>0.98750000000000004</v>
      </c>
      <c r="P71" s="13">
        <v>0.58499999999999996</v>
      </c>
      <c r="Q71" s="13">
        <v>0</v>
      </c>
      <c r="R71" s="13" t="s">
        <v>34</v>
      </c>
      <c r="S71" s="13" t="s">
        <v>43</v>
      </c>
      <c r="T71" s="13" t="s">
        <v>36</v>
      </c>
      <c r="U71" s="13" t="s">
        <v>37</v>
      </c>
      <c r="V71" s="13" t="s">
        <v>38</v>
      </c>
      <c r="W71" s="13" t="s">
        <v>34</v>
      </c>
      <c r="X71" s="10">
        <v>0.5</v>
      </c>
      <c r="Y71" s="13">
        <v>1</v>
      </c>
      <c r="Z71" s="13" t="s">
        <v>39</v>
      </c>
      <c r="AA71" s="13" t="s">
        <v>34</v>
      </c>
      <c r="AB71" s="13"/>
      <c r="AC71" s="13" t="s">
        <v>40</v>
      </c>
      <c r="AD71" s="13" t="s">
        <v>32</v>
      </c>
      <c r="AE71" s="13">
        <v>0.46910000000000002</v>
      </c>
      <c r="AF71" s="21" t="s">
        <v>45</v>
      </c>
      <c r="AG71" s="13">
        <v>2013</v>
      </c>
      <c r="AH71" s="21" t="s">
        <v>46</v>
      </c>
      <c r="AI71" s="2" t="s">
        <v>43</v>
      </c>
      <c r="AJ71" s="2" t="s">
        <v>43</v>
      </c>
      <c r="AK71" s="2" t="s">
        <v>43</v>
      </c>
    </row>
    <row r="72" spans="1:37" x14ac:dyDescent="0.3">
      <c r="A72" s="11">
        <v>3.6764705882352802</v>
      </c>
      <c r="B72" s="11">
        <v>186.335403726707</v>
      </c>
      <c r="C72" s="10" t="s">
        <v>33</v>
      </c>
      <c r="D72" s="10" t="s">
        <v>35</v>
      </c>
      <c r="E72" s="10" t="s">
        <v>170</v>
      </c>
      <c r="F72" s="10" t="s">
        <v>34</v>
      </c>
      <c r="G72" s="20">
        <v>0.16500000000000001</v>
      </c>
      <c r="H72" s="13" t="s">
        <v>34</v>
      </c>
      <c r="I72" s="13" t="s">
        <v>34</v>
      </c>
      <c r="J72" s="13" t="s">
        <v>34</v>
      </c>
      <c r="K72" s="13" t="s">
        <v>34</v>
      </c>
      <c r="L72" s="13" t="s">
        <v>34</v>
      </c>
      <c r="M72" s="13" t="s">
        <v>43</v>
      </c>
      <c r="N72" s="13" t="s">
        <v>43</v>
      </c>
      <c r="O72" s="13">
        <v>0.98750000000000004</v>
      </c>
      <c r="P72" s="13">
        <v>0.58499999999999996</v>
      </c>
      <c r="Q72" s="13">
        <v>0</v>
      </c>
      <c r="R72" s="13" t="s">
        <v>34</v>
      </c>
      <c r="S72" s="13" t="s">
        <v>43</v>
      </c>
      <c r="T72" s="13" t="s">
        <v>36</v>
      </c>
      <c r="U72" s="13" t="s">
        <v>37</v>
      </c>
      <c r="V72" s="13" t="s">
        <v>38</v>
      </c>
      <c r="W72" s="13" t="s">
        <v>34</v>
      </c>
      <c r="X72" s="10">
        <v>0.5</v>
      </c>
      <c r="Y72" s="13">
        <v>1</v>
      </c>
      <c r="Z72" s="13" t="s">
        <v>39</v>
      </c>
      <c r="AA72" s="13" t="s">
        <v>34</v>
      </c>
      <c r="AB72" s="13"/>
      <c r="AC72" s="13" t="s">
        <v>40</v>
      </c>
      <c r="AD72" s="13" t="s">
        <v>32</v>
      </c>
      <c r="AE72" s="13">
        <v>0.46910000000000002</v>
      </c>
      <c r="AF72" s="21" t="s">
        <v>45</v>
      </c>
      <c r="AG72" s="13">
        <v>2013</v>
      </c>
      <c r="AH72" s="21" t="s">
        <v>46</v>
      </c>
      <c r="AI72" s="2" t="s">
        <v>43</v>
      </c>
      <c r="AJ72" s="2" t="s">
        <v>43</v>
      </c>
      <c r="AK72" s="2" t="s">
        <v>43</v>
      </c>
    </row>
    <row r="73" spans="1:37" x14ac:dyDescent="0.3">
      <c r="A73" s="11">
        <v>5.6302521008403303</v>
      </c>
      <c r="B73" s="11">
        <v>664.59627329192494</v>
      </c>
      <c r="C73" s="10" t="s">
        <v>33</v>
      </c>
      <c r="D73" s="10" t="s">
        <v>35</v>
      </c>
      <c r="E73" s="10" t="s">
        <v>170</v>
      </c>
      <c r="F73" s="10" t="s">
        <v>34</v>
      </c>
      <c r="G73" s="20">
        <v>0.16500000000000001</v>
      </c>
      <c r="H73" s="13" t="s">
        <v>34</v>
      </c>
      <c r="I73" s="13" t="s">
        <v>34</v>
      </c>
      <c r="J73" s="13" t="s">
        <v>34</v>
      </c>
      <c r="K73" s="13" t="s">
        <v>34</v>
      </c>
      <c r="L73" s="13" t="s">
        <v>34</v>
      </c>
      <c r="M73" s="13" t="s">
        <v>43</v>
      </c>
      <c r="N73" s="13" t="s">
        <v>43</v>
      </c>
      <c r="O73" s="13">
        <v>0.98750000000000004</v>
      </c>
      <c r="P73" s="13">
        <v>0.58499999999999996</v>
      </c>
      <c r="Q73" s="13">
        <v>0</v>
      </c>
      <c r="R73" s="13" t="s">
        <v>34</v>
      </c>
      <c r="S73" s="13" t="s">
        <v>43</v>
      </c>
      <c r="T73" s="13" t="s">
        <v>36</v>
      </c>
      <c r="U73" s="13" t="s">
        <v>37</v>
      </c>
      <c r="V73" s="13" t="s">
        <v>38</v>
      </c>
      <c r="W73" s="13" t="s">
        <v>34</v>
      </c>
      <c r="X73" s="10">
        <v>0.5</v>
      </c>
      <c r="Y73" s="13">
        <v>1</v>
      </c>
      <c r="Z73" s="13" t="s">
        <v>39</v>
      </c>
      <c r="AA73" s="13" t="s">
        <v>34</v>
      </c>
      <c r="AB73" s="13"/>
      <c r="AC73" s="13" t="s">
        <v>40</v>
      </c>
      <c r="AD73" s="13" t="s">
        <v>32</v>
      </c>
      <c r="AE73" s="13">
        <v>0.46910000000000002</v>
      </c>
      <c r="AF73" s="21" t="s">
        <v>45</v>
      </c>
      <c r="AG73" s="13">
        <v>2013</v>
      </c>
      <c r="AH73" s="21" t="s">
        <v>46</v>
      </c>
      <c r="AI73" s="2" t="s">
        <v>43</v>
      </c>
      <c r="AJ73" s="2" t="s">
        <v>43</v>
      </c>
      <c r="AK73" s="2" t="s">
        <v>43</v>
      </c>
    </row>
    <row r="74" spans="1:37" x14ac:dyDescent="0.3">
      <c r="A74" s="11">
        <v>4.9789915966386502</v>
      </c>
      <c r="B74" s="11">
        <v>931.67701863354205</v>
      </c>
      <c r="C74" s="10" t="s">
        <v>33</v>
      </c>
      <c r="D74" s="10" t="s">
        <v>35</v>
      </c>
      <c r="E74" s="10" t="s">
        <v>170</v>
      </c>
      <c r="F74" s="10" t="s">
        <v>34</v>
      </c>
      <c r="G74" s="20">
        <v>0.16500000000000001</v>
      </c>
      <c r="H74" s="13" t="s">
        <v>34</v>
      </c>
      <c r="I74" s="13" t="s">
        <v>34</v>
      </c>
      <c r="J74" s="13" t="s">
        <v>34</v>
      </c>
      <c r="K74" s="13" t="s">
        <v>34</v>
      </c>
      <c r="L74" s="13" t="s">
        <v>34</v>
      </c>
      <c r="M74" s="13" t="s">
        <v>43</v>
      </c>
      <c r="N74" s="13" t="s">
        <v>43</v>
      </c>
      <c r="O74" s="13">
        <v>0.98750000000000004</v>
      </c>
      <c r="P74" s="13">
        <v>0.58499999999999996</v>
      </c>
      <c r="Q74" s="13">
        <v>0</v>
      </c>
      <c r="R74" s="13" t="s">
        <v>34</v>
      </c>
      <c r="S74" s="13" t="s">
        <v>43</v>
      </c>
      <c r="T74" s="13" t="s">
        <v>36</v>
      </c>
      <c r="U74" s="13" t="s">
        <v>37</v>
      </c>
      <c r="V74" s="13" t="s">
        <v>38</v>
      </c>
      <c r="W74" s="13" t="s">
        <v>34</v>
      </c>
      <c r="X74" s="10">
        <v>0.5</v>
      </c>
      <c r="Y74" s="13">
        <v>1</v>
      </c>
      <c r="Z74" s="13" t="s">
        <v>39</v>
      </c>
      <c r="AA74" s="13" t="s">
        <v>34</v>
      </c>
      <c r="AB74" s="13"/>
      <c r="AC74" s="13" t="s">
        <v>40</v>
      </c>
      <c r="AD74" s="13" t="s">
        <v>32</v>
      </c>
      <c r="AE74" s="13">
        <v>0.46910000000000002</v>
      </c>
      <c r="AF74" s="21" t="s">
        <v>45</v>
      </c>
      <c r="AG74" s="13">
        <v>2013</v>
      </c>
      <c r="AH74" s="21" t="s">
        <v>46</v>
      </c>
      <c r="AI74" s="2" t="s">
        <v>43</v>
      </c>
      <c r="AJ74" s="2" t="s">
        <v>43</v>
      </c>
      <c r="AK74" s="2" t="s">
        <v>43</v>
      </c>
    </row>
    <row r="75" spans="1:37" x14ac:dyDescent="0.3">
      <c r="A75" s="11">
        <v>6.8487394957983101</v>
      </c>
      <c r="B75" s="11">
        <v>1273.29192546583</v>
      </c>
      <c r="C75" s="10" t="s">
        <v>33</v>
      </c>
      <c r="D75" s="10" t="s">
        <v>35</v>
      </c>
      <c r="E75" s="10" t="s">
        <v>170</v>
      </c>
      <c r="F75" s="10" t="s">
        <v>34</v>
      </c>
      <c r="G75" s="20">
        <v>0.16500000000000001</v>
      </c>
      <c r="H75" s="13" t="s">
        <v>34</v>
      </c>
      <c r="I75" s="13" t="s">
        <v>34</v>
      </c>
      <c r="J75" s="13" t="s">
        <v>34</v>
      </c>
      <c r="K75" s="13" t="s">
        <v>34</v>
      </c>
      <c r="L75" s="13" t="s">
        <v>34</v>
      </c>
      <c r="M75" s="13" t="s">
        <v>43</v>
      </c>
      <c r="N75" s="13" t="s">
        <v>43</v>
      </c>
      <c r="O75" s="13">
        <v>0.98750000000000004</v>
      </c>
      <c r="P75" s="13">
        <v>0.58499999999999996</v>
      </c>
      <c r="Q75" s="13">
        <v>0</v>
      </c>
      <c r="R75" s="13" t="s">
        <v>34</v>
      </c>
      <c r="S75" s="13" t="s">
        <v>43</v>
      </c>
      <c r="T75" s="13" t="s">
        <v>36</v>
      </c>
      <c r="U75" s="13" t="s">
        <v>37</v>
      </c>
      <c r="V75" s="13" t="s">
        <v>38</v>
      </c>
      <c r="W75" s="13" t="s">
        <v>34</v>
      </c>
      <c r="X75" s="10">
        <v>0.5</v>
      </c>
      <c r="Y75" s="13">
        <v>1</v>
      </c>
      <c r="Z75" s="13" t="s">
        <v>39</v>
      </c>
      <c r="AA75" s="13" t="s">
        <v>34</v>
      </c>
      <c r="AB75" s="13"/>
      <c r="AC75" s="13" t="s">
        <v>40</v>
      </c>
      <c r="AD75" s="13" t="s">
        <v>32</v>
      </c>
      <c r="AE75" s="13">
        <v>0.46910000000000002</v>
      </c>
      <c r="AF75" s="21" t="s">
        <v>45</v>
      </c>
      <c r="AG75" s="13">
        <v>2013</v>
      </c>
      <c r="AH75" s="21" t="s">
        <v>46</v>
      </c>
      <c r="AI75" s="2" t="s">
        <v>43</v>
      </c>
      <c r="AJ75" s="2" t="s">
        <v>43</v>
      </c>
      <c r="AK75" s="2" t="s">
        <v>43</v>
      </c>
    </row>
    <row r="76" spans="1:37" x14ac:dyDescent="0.3">
      <c r="A76" s="11">
        <v>8.1722689075630193</v>
      </c>
      <c r="B76" s="11">
        <v>1658.3850931677</v>
      </c>
      <c r="C76" s="10" t="s">
        <v>33</v>
      </c>
      <c r="D76" s="10" t="s">
        <v>35</v>
      </c>
      <c r="E76" s="10" t="s">
        <v>170</v>
      </c>
      <c r="F76" s="10" t="s">
        <v>34</v>
      </c>
      <c r="G76" s="20">
        <v>0.16500000000000001</v>
      </c>
      <c r="H76" s="13" t="s">
        <v>34</v>
      </c>
      <c r="I76" s="13" t="s">
        <v>34</v>
      </c>
      <c r="J76" s="13" t="s">
        <v>34</v>
      </c>
      <c r="K76" s="13" t="s">
        <v>34</v>
      </c>
      <c r="L76" s="13" t="s">
        <v>34</v>
      </c>
      <c r="M76" s="13" t="s">
        <v>43</v>
      </c>
      <c r="N76" s="13" t="s">
        <v>43</v>
      </c>
      <c r="O76" s="13">
        <v>0.98750000000000004</v>
      </c>
      <c r="P76" s="13">
        <v>0.58499999999999996</v>
      </c>
      <c r="Q76" s="13">
        <v>0</v>
      </c>
      <c r="R76" s="13" t="s">
        <v>34</v>
      </c>
      <c r="S76" s="13" t="s">
        <v>43</v>
      </c>
      <c r="T76" s="13" t="s">
        <v>36</v>
      </c>
      <c r="U76" s="13" t="s">
        <v>37</v>
      </c>
      <c r="V76" s="13" t="s">
        <v>38</v>
      </c>
      <c r="W76" s="13" t="s">
        <v>34</v>
      </c>
      <c r="X76" s="10">
        <v>0.5</v>
      </c>
      <c r="Y76" s="13">
        <v>1</v>
      </c>
      <c r="Z76" s="13" t="s">
        <v>39</v>
      </c>
      <c r="AA76" s="13" t="s">
        <v>34</v>
      </c>
      <c r="AB76" s="13"/>
      <c r="AC76" s="13" t="s">
        <v>40</v>
      </c>
      <c r="AD76" s="13" t="s">
        <v>32</v>
      </c>
      <c r="AE76" s="13">
        <v>0.46910000000000002</v>
      </c>
      <c r="AF76" s="21" t="s">
        <v>45</v>
      </c>
      <c r="AG76" s="13">
        <v>2013</v>
      </c>
      <c r="AH76" s="21" t="s">
        <v>46</v>
      </c>
      <c r="AI76" s="2" t="s">
        <v>43</v>
      </c>
      <c r="AJ76" s="2" t="s">
        <v>43</v>
      </c>
      <c r="AK76" s="2" t="s">
        <v>43</v>
      </c>
    </row>
    <row r="77" spans="1:37" x14ac:dyDescent="0.3">
      <c r="A77" s="11">
        <v>8.2983193277310896</v>
      </c>
      <c r="B77" s="11">
        <v>1267.0807453416101</v>
      </c>
      <c r="C77" s="10" t="s">
        <v>33</v>
      </c>
      <c r="D77" s="10" t="s">
        <v>35</v>
      </c>
      <c r="E77" s="10" t="s">
        <v>170</v>
      </c>
      <c r="F77" s="10" t="s">
        <v>34</v>
      </c>
      <c r="G77" s="20">
        <v>0.16500000000000001</v>
      </c>
      <c r="H77" s="13" t="s">
        <v>34</v>
      </c>
      <c r="I77" s="13" t="s">
        <v>34</v>
      </c>
      <c r="J77" s="13" t="s">
        <v>34</v>
      </c>
      <c r="K77" s="13" t="s">
        <v>34</v>
      </c>
      <c r="L77" s="13" t="s">
        <v>34</v>
      </c>
      <c r="M77" s="13" t="s">
        <v>43</v>
      </c>
      <c r="N77" s="13" t="s">
        <v>43</v>
      </c>
      <c r="O77" s="13">
        <v>0.98750000000000004</v>
      </c>
      <c r="P77" s="13">
        <v>0.58499999999999996</v>
      </c>
      <c r="Q77" s="13">
        <v>0</v>
      </c>
      <c r="R77" s="13" t="s">
        <v>34</v>
      </c>
      <c r="S77" s="13" t="s">
        <v>43</v>
      </c>
      <c r="T77" s="13" t="s">
        <v>36</v>
      </c>
      <c r="U77" s="13" t="s">
        <v>37</v>
      </c>
      <c r="V77" s="13" t="s">
        <v>38</v>
      </c>
      <c r="W77" s="13" t="s">
        <v>34</v>
      </c>
      <c r="X77" s="10">
        <v>0.5</v>
      </c>
      <c r="Y77" s="13">
        <v>1</v>
      </c>
      <c r="Z77" s="13" t="s">
        <v>39</v>
      </c>
      <c r="AA77" s="13" t="s">
        <v>34</v>
      </c>
      <c r="AB77" s="13"/>
      <c r="AC77" s="13" t="s">
        <v>40</v>
      </c>
      <c r="AD77" s="13" t="s">
        <v>32</v>
      </c>
      <c r="AE77" s="13">
        <v>0.46910000000000002</v>
      </c>
      <c r="AF77" s="21" t="s">
        <v>45</v>
      </c>
      <c r="AG77" s="13">
        <v>2013</v>
      </c>
      <c r="AH77" s="21" t="s">
        <v>46</v>
      </c>
      <c r="AI77" s="2" t="s">
        <v>43</v>
      </c>
      <c r="AJ77" s="2" t="s">
        <v>43</v>
      </c>
      <c r="AK77" s="2" t="s">
        <v>43</v>
      </c>
    </row>
    <row r="78" spans="1:37" x14ac:dyDescent="0.3">
      <c r="A78" s="11">
        <v>8.6554621848739401</v>
      </c>
      <c r="B78" s="11">
        <v>881.98757763975198</v>
      </c>
      <c r="C78" s="10" t="s">
        <v>33</v>
      </c>
      <c r="D78" s="10" t="s">
        <v>35</v>
      </c>
      <c r="E78" s="10" t="s">
        <v>170</v>
      </c>
      <c r="F78" s="10" t="s">
        <v>34</v>
      </c>
      <c r="G78" s="20">
        <v>0.16500000000000001</v>
      </c>
      <c r="H78" s="13" t="s">
        <v>34</v>
      </c>
      <c r="I78" s="13" t="s">
        <v>34</v>
      </c>
      <c r="J78" s="13" t="s">
        <v>34</v>
      </c>
      <c r="K78" s="13" t="s">
        <v>34</v>
      </c>
      <c r="L78" s="13" t="s">
        <v>34</v>
      </c>
      <c r="M78" s="13" t="s">
        <v>43</v>
      </c>
      <c r="N78" s="13" t="s">
        <v>43</v>
      </c>
      <c r="O78" s="13">
        <v>0.98750000000000004</v>
      </c>
      <c r="P78" s="13">
        <v>0.58499999999999996</v>
      </c>
      <c r="Q78" s="13">
        <v>0</v>
      </c>
      <c r="R78" s="13" t="s">
        <v>34</v>
      </c>
      <c r="S78" s="13" t="s">
        <v>43</v>
      </c>
      <c r="T78" s="13" t="s">
        <v>36</v>
      </c>
      <c r="U78" s="13" t="s">
        <v>37</v>
      </c>
      <c r="V78" s="13" t="s">
        <v>38</v>
      </c>
      <c r="W78" s="13" t="s">
        <v>34</v>
      </c>
      <c r="X78" s="10">
        <v>0.5</v>
      </c>
      <c r="Y78" s="13">
        <v>1</v>
      </c>
      <c r="Z78" s="13" t="s">
        <v>39</v>
      </c>
      <c r="AA78" s="13" t="s">
        <v>34</v>
      </c>
      <c r="AB78" s="13"/>
      <c r="AC78" s="13" t="s">
        <v>40</v>
      </c>
      <c r="AD78" s="13" t="s">
        <v>32</v>
      </c>
      <c r="AE78" s="13">
        <v>0.46910000000000002</v>
      </c>
      <c r="AF78" s="21" t="s">
        <v>45</v>
      </c>
      <c r="AG78" s="13">
        <v>2013</v>
      </c>
      <c r="AH78" s="21" t="s">
        <v>46</v>
      </c>
      <c r="AI78" s="2" t="s">
        <v>43</v>
      </c>
      <c r="AJ78" s="2" t="s">
        <v>43</v>
      </c>
      <c r="AK78" s="2" t="s">
        <v>43</v>
      </c>
    </row>
    <row r="79" spans="1:37" x14ac:dyDescent="0.3">
      <c r="A79" s="11">
        <v>8.6554621848739401</v>
      </c>
      <c r="B79" s="11">
        <v>832.29813664596395</v>
      </c>
      <c r="C79" s="10" t="s">
        <v>33</v>
      </c>
      <c r="D79" s="10" t="s">
        <v>35</v>
      </c>
      <c r="E79" s="10" t="s">
        <v>170</v>
      </c>
      <c r="F79" s="10" t="s">
        <v>34</v>
      </c>
      <c r="G79" s="20">
        <v>0.16500000000000001</v>
      </c>
      <c r="H79" s="13" t="s">
        <v>34</v>
      </c>
      <c r="I79" s="13" t="s">
        <v>34</v>
      </c>
      <c r="J79" s="13" t="s">
        <v>34</v>
      </c>
      <c r="K79" s="13" t="s">
        <v>34</v>
      </c>
      <c r="L79" s="13" t="s">
        <v>34</v>
      </c>
      <c r="M79" s="13" t="s">
        <v>43</v>
      </c>
      <c r="N79" s="13" t="s">
        <v>43</v>
      </c>
      <c r="O79" s="13">
        <v>0.98750000000000004</v>
      </c>
      <c r="P79" s="13">
        <v>0.58499999999999996</v>
      </c>
      <c r="Q79" s="13">
        <v>0</v>
      </c>
      <c r="R79" s="13" t="s">
        <v>34</v>
      </c>
      <c r="S79" s="13" t="s">
        <v>43</v>
      </c>
      <c r="T79" s="13" t="s">
        <v>36</v>
      </c>
      <c r="U79" s="13" t="s">
        <v>37</v>
      </c>
      <c r="V79" s="13" t="s">
        <v>38</v>
      </c>
      <c r="W79" s="13" t="s">
        <v>34</v>
      </c>
      <c r="X79" s="10">
        <v>0.5</v>
      </c>
      <c r="Y79" s="13">
        <v>1</v>
      </c>
      <c r="Z79" s="13" t="s">
        <v>39</v>
      </c>
      <c r="AA79" s="13" t="s">
        <v>34</v>
      </c>
      <c r="AB79" s="13"/>
      <c r="AC79" s="13" t="s">
        <v>40</v>
      </c>
      <c r="AD79" s="13" t="s">
        <v>32</v>
      </c>
      <c r="AE79" s="13">
        <v>0.46910000000000002</v>
      </c>
      <c r="AF79" s="21" t="s">
        <v>45</v>
      </c>
      <c r="AG79" s="13">
        <v>2013</v>
      </c>
      <c r="AH79" s="21" t="s">
        <v>46</v>
      </c>
      <c r="AI79" s="2" t="s">
        <v>43</v>
      </c>
      <c r="AJ79" s="2" t="s">
        <v>43</v>
      </c>
      <c r="AK79" s="2" t="s">
        <v>43</v>
      </c>
    </row>
    <row r="80" spans="1:37" x14ac:dyDescent="0.3">
      <c r="A80" s="11">
        <v>7.75210084033613</v>
      </c>
      <c r="B80" s="11">
        <v>683.22981366459499</v>
      </c>
      <c r="C80" s="10" t="s">
        <v>33</v>
      </c>
      <c r="D80" s="10" t="s">
        <v>35</v>
      </c>
      <c r="E80" s="10" t="s">
        <v>170</v>
      </c>
      <c r="F80" s="10" t="s">
        <v>34</v>
      </c>
      <c r="G80" s="20">
        <v>0.16500000000000001</v>
      </c>
      <c r="H80" s="13" t="s">
        <v>34</v>
      </c>
      <c r="I80" s="13" t="s">
        <v>34</v>
      </c>
      <c r="J80" s="13" t="s">
        <v>34</v>
      </c>
      <c r="K80" s="13" t="s">
        <v>34</v>
      </c>
      <c r="L80" s="13" t="s">
        <v>34</v>
      </c>
      <c r="M80" s="13" t="s">
        <v>43</v>
      </c>
      <c r="N80" s="13" t="s">
        <v>43</v>
      </c>
      <c r="O80" s="13">
        <v>0.98750000000000004</v>
      </c>
      <c r="P80" s="13">
        <v>0.58499999999999996</v>
      </c>
      <c r="Q80" s="13">
        <v>0</v>
      </c>
      <c r="R80" s="13" t="s">
        <v>34</v>
      </c>
      <c r="S80" s="13" t="s">
        <v>43</v>
      </c>
      <c r="T80" s="13" t="s">
        <v>36</v>
      </c>
      <c r="U80" s="13" t="s">
        <v>37</v>
      </c>
      <c r="V80" s="13" t="s">
        <v>38</v>
      </c>
      <c r="W80" s="13" t="s">
        <v>34</v>
      </c>
      <c r="X80" s="10">
        <v>0.5</v>
      </c>
      <c r="Y80" s="13">
        <v>1</v>
      </c>
      <c r="Z80" s="13" t="s">
        <v>39</v>
      </c>
      <c r="AA80" s="13" t="s">
        <v>34</v>
      </c>
      <c r="AB80" s="13"/>
      <c r="AC80" s="13" t="s">
        <v>40</v>
      </c>
      <c r="AD80" s="13" t="s">
        <v>32</v>
      </c>
      <c r="AE80" s="13">
        <v>0.46910000000000002</v>
      </c>
      <c r="AF80" s="21" t="s">
        <v>45</v>
      </c>
      <c r="AG80" s="13">
        <v>2013</v>
      </c>
      <c r="AH80" s="21" t="s">
        <v>46</v>
      </c>
      <c r="AI80" s="2" t="s">
        <v>43</v>
      </c>
      <c r="AJ80" s="2" t="s">
        <v>43</v>
      </c>
      <c r="AK80" s="2" t="s">
        <v>43</v>
      </c>
    </row>
    <row r="81" spans="1:37" x14ac:dyDescent="0.3">
      <c r="A81" s="11">
        <v>7.7100840336134402</v>
      </c>
      <c r="B81" s="11">
        <v>490.68322981366498</v>
      </c>
      <c r="C81" s="10" t="s">
        <v>33</v>
      </c>
      <c r="D81" s="10" t="s">
        <v>35</v>
      </c>
      <c r="E81" s="10" t="s">
        <v>170</v>
      </c>
      <c r="F81" s="10" t="s">
        <v>34</v>
      </c>
      <c r="G81" s="20">
        <v>0.16500000000000001</v>
      </c>
      <c r="H81" s="13" t="s">
        <v>34</v>
      </c>
      <c r="I81" s="13" t="s">
        <v>34</v>
      </c>
      <c r="J81" s="13" t="s">
        <v>34</v>
      </c>
      <c r="K81" s="13" t="s">
        <v>34</v>
      </c>
      <c r="L81" s="13" t="s">
        <v>34</v>
      </c>
      <c r="M81" s="13" t="s">
        <v>43</v>
      </c>
      <c r="N81" s="13" t="s">
        <v>43</v>
      </c>
      <c r="O81" s="13">
        <v>0.98750000000000004</v>
      </c>
      <c r="P81" s="13">
        <v>0.58499999999999996</v>
      </c>
      <c r="Q81" s="13">
        <v>0</v>
      </c>
      <c r="R81" s="13" t="s">
        <v>34</v>
      </c>
      <c r="S81" s="13" t="s">
        <v>43</v>
      </c>
      <c r="T81" s="13" t="s">
        <v>36</v>
      </c>
      <c r="U81" s="13" t="s">
        <v>37</v>
      </c>
      <c r="V81" s="13" t="s">
        <v>38</v>
      </c>
      <c r="W81" s="13" t="s">
        <v>34</v>
      </c>
      <c r="X81" s="10">
        <v>0.5</v>
      </c>
      <c r="Y81" s="13">
        <v>1</v>
      </c>
      <c r="Z81" s="13" t="s">
        <v>39</v>
      </c>
      <c r="AA81" s="13" t="s">
        <v>34</v>
      </c>
      <c r="AB81" s="13"/>
      <c r="AC81" s="13" t="s">
        <v>40</v>
      </c>
      <c r="AD81" s="13" t="s">
        <v>32</v>
      </c>
      <c r="AE81" s="13">
        <v>0.46910000000000002</v>
      </c>
      <c r="AF81" s="21" t="s">
        <v>45</v>
      </c>
      <c r="AG81" s="13">
        <v>2013</v>
      </c>
      <c r="AH81" s="21" t="s">
        <v>46</v>
      </c>
      <c r="AI81" s="2" t="s">
        <v>43</v>
      </c>
      <c r="AJ81" s="2" t="s">
        <v>43</v>
      </c>
      <c r="AK81" s="2" t="s">
        <v>43</v>
      </c>
    </row>
    <row r="82" spans="1:37" x14ac:dyDescent="0.3">
      <c r="A82" s="11">
        <v>6.0714285714285596</v>
      </c>
      <c r="B82" s="11">
        <v>540.37267080745301</v>
      </c>
      <c r="C82" s="10" t="s">
        <v>33</v>
      </c>
      <c r="D82" s="10" t="s">
        <v>35</v>
      </c>
      <c r="E82" s="10" t="s">
        <v>170</v>
      </c>
      <c r="F82" s="10" t="s">
        <v>34</v>
      </c>
      <c r="G82" s="20">
        <v>0.16500000000000001</v>
      </c>
      <c r="H82" s="13" t="s">
        <v>34</v>
      </c>
      <c r="I82" s="13" t="s">
        <v>34</v>
      </c>
      <c r="J82" s="13" t="s">
        <v>34</v>
      </c>
      <c r="K82" s="13" t="s">
        <v>34</v>
      </c>
      <c r="L82" s="13" t="s">
        <v>34</v>
      </c>
      <c r="M82" s="13" t="s">
        <v>43</v>
      </c>
      <c r="N82" s="13" t="s">
        <v>43</v>
      </c>
      <c r="O82" s="13">
        <v>0.98750000000000004</v>
      </c>
      <c r="P82" s="13">
        <v>0.58499999999999996</v>
      </c>
      <c r="Q82" s="13">
        <v>0</v>
      </c>
      <c r="R82" s="13" t="s">
        <v>34</v>
      </c>
      <c r="S82" s="13" t="s">
        <v>43</v>
      </c>
      <c r="T82" s="13" t="s">
        <v>36</v>
      </c>
      <c r="U82" s="13" t="s">
        <v>37</v>
      </c>
      <c r="V82" s="13" t="s">
        <v>38</v>
      </c>
      <c r="W82" s="13" t="s">
        <v>34</v>
      </c>
      <c r="X82" s="10">
        <v>0.5</v>
      </c>
      <c r="Y82" s="13">
        <v>1</v>
      </c>
      <c r="Z82" s="13" t="s">
        <v>39</v>
      </c>
      <c r="AA82" s="13" t="s">
        <v>34</v>
      </c>
      <c r="AB82" s="13"/>
      <c r="AC82" s="13" t="s">
        <v>40</v>
      </c>
      <c r="AD82" s="13" t="s">
        <v>32</v>
      </c>
      <c r="AE82" s="13">
        <v>0.46910000000000002</v>
      </c>
      <c r="AF82" s="21" t="s">
        <v>45</v>
      </c>
      <c r="AG82" s="13">
        <v>2013</v>
      </c>
      <c r="AH82" s="21" t="s">
        <v>46</v>
      </c>
      <c r="AI82" s="2" t="s">
        <v>43</v>
      </c>
      <c r="AJ82" s="2" t="s">
        <v>43</v>
      </c>
      <c r="AK82" s="2" t="s">
        <v>43</v>
      </c>
    </row>
    <row r="83" spans="1:37" x14ac:dyDescent="0.3">
      <c r="A83" s="11">
        <v>6.3025210084033603</v>
      </c>
      <c r="B83" s="11">
        <v>490.68322981366202</v>
      </c>
      <c r="C83" s="10" t="s">
        <v>33</v>
      </c>
      <c r="D83" s="10" t="s">
        <v>35</v>
      </c>
      <c r="E83" s="10" t="s">
        <v>170</v>
      </c>
      <c r="F83" s="10" t="s">
        <v>34</v>
      </c>
      <c r="G83" s="20">
        <v>0.16500000000000001</v>
      </c>
      <c r="H83" s="13" t="s">
        <v>34</v>
      </c>
      <c r="I83" s="13" t="s">
        <v>34</v>
      </c>
      <c r="J83" s="13" t="s">
        <v>34</v>
      </c>
      <c r="K83" s="13" t="s">
        <v>34</v>
      </c>
      <c r="L83" s="13" t="s">
        <v>34</v>
      </c>
      <c r="M83" s="13" t="s">
        <v>43</v>
      </c>
      <c r="N83" s="13" t="s">
        <v>43</v>
      </c>
      <c r="O83" s="13">
        <v>0.98750000000000004</v>
      </c>
      <c r="P83" s="13">
        <v>0.58499999999999996</v>
      </c>
      <c r="Q83" s="13">
        <v>0</v>
      </c>
      <c r="R83" s="13" t="s">
        <v>34</v>
      </c>
      <c r="S83" s="13" t="s">
        <v>43</v>
      </c>
      <c r="T83" s="13" t="s">
        <v>36</v>
      </c>
      <c r="U83" s="13" t="s">
        <v>37</v>
      </c>
      <c r="V83" s="13" t="s">
        <v>38</v>
      </c>
      <c r="W83" s="13" t="s">
        <v>34</v>
      </c>
      <c r="X83" s="10">
        <v>0.5</v>
      </c>
      <c r="Y83" s="13">
        <v>1</v>
      </c>
      <c r="Z83" s="13" t="s">
        <v>39</v>
      </c>
      <c r="AA83" s="13" t="s">
        <v>34</v>
      </c>
      <c r="AB83" s="13"/>
      <c r="AC83" s="13" t="s">
        <v>40</v>
      </c>
      <c r="AD83" s="13" t="s">
        <v>32</v>
      </c>
      <c r="AE83" s="13">
        <v>0.46910000000000002</v>
      </c>
      <c r="AF83" s="21" t="s">
        <v>45</v>
      </c>
      <c r="AG83" s="13">
        <v>2013</v>
      </c>
      <c r="AH83" s="21" t="s">
        <v>46</v>
      </c>
      <c r="AI83" s="2" t="s">
        <v>43</v>
      </c>
      <c r="AJ83" s="2" t="s">
        <v>43</v>
      </c>
      <c r="AK83" s="2" t="s">
        <v>43</v>
      </c>
    </row>
    <row r="84" spans="1:37" x14ac:dyDescent="0.3">
      <c r="A84" s="11">
        <v>5.7563025210083998</v>
      </c>
      <c r="B84" s="11">
        <v>832.29813664596202</v>
      </c>
      <c r="C84" s="10" t="s">
        <v>33</v>
      </c>
      <c r="D84" s="10" t="s">
        <v>35</v>
      </c>
      <c r="E84" s="10" t="s">
        <v>170</v>
      </c>
      <c r="F84" s="10" t="s">
        <v>34</v>
      </c>
      <c r="G84" s="20">
        <v>0.16500000000000001</v>
      </c>
      <c r="H84" s="13" t="s">
        <v>34</v>
      </c>
      <c r="I84" s="13" t="s">
        <v>34</v>
      </c>
      <c r="J84" s="13" t="s">
        <v>34</v>
      </c>
      <c r="K84" s="13" t="s">
        <v>34</v>
      </c>
      <c r="L84" s="13" t="s">
        <v>34</v>
      </c>
      <c r="M84" s="13" t="s">
        <v>43</v>
      </c>
      <c r="N84" s="13" t="s">
        <v>43</v>
      </c>
      <c r="O84" s="13">
        <v>0.98750000000000004</v>
      </c>
      <c r="P84" s="13">
        <v>0.58499999999999996</v>
      </c>
      <c r="Q84" s="13">
        <v>0</v>
      </c>
      <c r="R84" s="13" t="s">
        <v>34</v>
      </c>
      <c r="S84" s="13" t="s">
        <v>43</v>
      </c>
      <c r="T84" s="13" t="s">
        <v>36</v>
      </c>
      <c r="U84" s="13" t="s">
        <v>37</v>
      </c>
      <c r="V84" s="13" t="s">
        <v>38</v>
      </c>
      <c r="W84" s="13" t="s">
        <v>34</v>
      </c>
      <c r="X84" s="10">
        <v>1</v>
      </c>
      <c r="Y84" s="13">
        <v>1</v>
      </c>
      <c r="Z84" s="13" t="s">
        <v>39</v>
      </c>
      <c r="AA84" s="13" t="s">
        <v>34</v>
      </c>
      <c r="AB84" s="13"/>
      <c r="AC84" s="13" t="s">
        <v>40</v>
      </c>
      <c r="AD84" s="13" t="s">
        <v>32</v>
      </c>
      <c r="AE84" s="13">
        <v>0.46910000000000002</v>
      </c>
      <c r="AF84" s="21" t="s">
        <v>45</v>
      </c>
      <c r="AG84" s="13">
        <v>2013</v>
      </c>
      <c r="AH84" s="21" t="s">
        <v>46</v>
      </c>
      <c r="AI84" s="2" t="s">
        <v>43</v>
      </c>
      <c r="AJ84" s="2" t="s">
        <v>43</v>
      </c>
      <c r="AK84" s="2" t="s">
        <v>43</v>
      </c>
    </row>
    <row r="85" spans="1:37" s="15" customFormat="1" ht="16.2" thickBot="1" x14ac:dyDescent="0.35">
      <c r="A85" s="17">
        <v>4.5798319327731001</v>
      </c>
      <c r="B85" s="17">
        <v>440.99378881987502</v>
      </c>
      <c r="C85" s="14" t="s">
        <v>33</v>
      </c>
      <c r="D85" s="14" t="s">
        <v>35</v>
      </c>
      <c r="E85" s="10" t="s">
        <v>170</v>
      </c>
      <c r="F85" s="14" t="s">
        <v>34</v>
      </c>
      <c r="G85" s="22">
        <v>0.16500000000000001</v>
      </c>
      <c r="H85" s="18" t="s">
        <v>34</v>
      </c>
      <c r="I85" s="18" t="s">
        <v>34</v>
      </c>
      <c r="J85" s="18" t="s">
        <v>34</v>
      </c>
      <c r="K85" s="18" t="s">
        <v>34</v>
      </c>
      <c r="L85" s="18" t="s">
        <v>34</v>
      </c>
      <c r="M85" s="18" t="s">
        <v>43</v>
      </c>
      <c r="N85" s="18" t="s">
        <v>43</v>
      </c>
      <c r="O85" s="18">
        <v>0.98750000000000004</v>
      </c>
      <c r="P85" s="18">
        <v>0.58499999999999996</v>
      </c>
      <c r="Q85" s="18">
        <v>0</v>
      </c>
      <c r="R85" s="18" t="s">
        <v>34</v>
      </c>
      <c r="S85" s="18" t="s">
        <v>43</v>
      </c>
      <c r="T85" s="18" t="s">
        <v>36</v>
      </c>
      <c r="U85" s="18" t="s">
        <v>37</v>
      </c>
      <c r="V85" s="18" t="s">
        <v>38</v>
      </c>
      <c r="W85" s="18" t="s">
        <v>34</v>
      </c>
      <c r="X85" s="14">
        <v>1</v>
      </c>
      <c r="Y85" s="18">
        <v>1</v>
      </c>
      <c r="Z85" s="18" t="s">
        <v>39</v>
      </c>
      <c r="AA85" s="18" t="s">
        <v>34</v>
      </c>
      <c r="AB85" s="18"/>
      <c r="AC85" s="18" t="s">
        <v>40</v>
      </c>
      <c r="AD85" s="18" t="s">
        <v>32</v>
      </c>
      <c r="AE85" s="18">
        <v>0.46910000000000002</v>
      </c>
      <c r="AF85" s="23" t="s">
        <v>45</v>
      </c>
      <c r="AG85" s="18">
        <v>2013</v>
      </c>
      <c r="AH85" s="23" t="s">
        <v>46</v>
      </c>
      <c r="AI85" s="34" t="s">
        <v>43</v>
      </c>
      <c r="AJ85" s="34" t="s">
        <v>43</v>
      </c>
      <c r="AK85" s="34" t="s">
        <v>43</v>
      </c>
    </row>
    <row r="86" spans="1:37" x14ac:dyDescent="0.3">
      <c r="A86" s="12">
        <v>1.87045938503582</v>
      </c>
      <c r="B86" s="12">
        <v>122.88088665752601</v>
      </c>
      <c r="C86" s="13" t="s">
        <v>33</v>
      </c>
      <c r="D86" s="13" t="s">
        <v>47</v>
      </c>
      <c r="E86" s="10" t="s">
        <v>170</v>
      </c>
      <c r="F86" s="13" t="s">
        <v>34</v>
      </c>
      <c r="G86" s="13">
        <v>0.46</v>
      </c>
      <c r="H86" s="13" t="s">
        <v>34</v>
      </c>
      <c r="I86" s="13" t="s">
        <v>34</v>
      </c>
      <c r="J86" s="13" t="s">
        <v>34</v>
      </c>
      <c r="K86" s="13" t="s">
        <v>34</v>
      </c>
      <c r="L86" s="13">
        <v>0</v>
      </c>
      <c r="M86" s="13">
        <v>48.5</v>
      </c>
      <c r="N86" s="13">
        <v>1610</v>
      </c>
      <c r="O86" s="13" t="s">
        <v>34</v>
      </c>
      <c r="P86" s="13" t="s">
        <v>34</v>
      </c>
      <c r="Q86" s="13" t="s">
        <v>34</v>
      </c>
      <c r="R86" s="13" t="s">
        <v>34</v>
      </c>
      <c r="S86" s="20">
        <f>0.001/100</f>
        <v>1.0000000000000001E-5</v>
      </c>
      <c r="T86" s="13" t="s">
        <v>36</v>
      </c>
      <c r="U86" s="13" t="s">
        <v>37</v>
      </c>
      <c r="V86" s="20" t="s">
        <v>48</v>
      </c>
      <c r="W86" s="13" t="s">
        <v>34</v>
      </c>
      <c r="X86" s="13" t="s">
        <v>43</v>
      </c>
      <c r="Y86" s="13">
        <v>1</v>
      </c>
      <c r="Z86" s="13" t="s">
        <v>39</v>
      </c>
      <c r="AA86" s="13" t="s">
        <v>43</v>
      </c>
      <c r="AB86" s="13">
        <v>6</v>
      </c>
      <c r="AC86" s="13" t="s">
        <v>53</v>
      </c>
      <c r="AD86" s="13" t="s">
        <v>32</v>
      </c>
      <c r="AE86" s="13">
        <v>0.9</v>
      </c>
      <c r="AF86" s="21" t="s">
        <v>125</v>
      </c>
      <c r="AG86" s="13">
        <v>2014</v>
      </c>
      <c r="AH86" s="21" t="s">
        <v>126</v>
      </c>
      <c r="AI86" s="2">
        <v>51</v>
      </c>
      <c r="AJ86" s="2">
        <v>2</v>
      </c>
      <c r="AK86" s="2">
        <v>1.5</v>
      </c>
    </row>
    <row r="87" spans="1:37" x14ac:dyDescent="0.3">
      <c r="A87" s="11">
        <v>1.97469671431841</v>
      </c>
      <c r="B87" s="11">
        <v>77.259809625575201</v>
      </c>
      <c r="C87" s="13" t="s">
        <v>33</v>
      </c>
      <c r="D87" s="13" t="s">
        <v>47</v>
      </c>
      <c r="E87" s="10" t="s">
        <v>170</v>
      </c>
      <c r="F87" s="13" t="s">
        <v>34</v>
      </c>
      <c r="G87" s="13">
        <v>0.46</v>
      </c>
      <c r="H87" s="13" t="s">
        <v>34</v>
      </c>
      <c r="I87" s="13" t="s">
        <v>34</v>
      </c>
      <c r="J87" s="13" t="s">
        <v>34</v>
      </c>
      <c r="K87" s="13" t="s">
        <v>34</v>
      </c>
      <c r="L87" s="13">
        <v>0</v>
      </c>
      <c r="M87" s="13">
        <v>48.5</v>
      </c>
      <c r="N87" s="13">
        <v>1610</v>
      </c>
      <c r="O87" s="13" t="s">
        <v>34</v>
      </c>
      <c r="P87" s="13" t="s">
        <v>34</v>
      </c>
      <c r="Q87" s="13" t="s">
        <v>34</v>
      </c>
      <c r="R87" s="13" t="s">
        <v>34</v>
      </c>
      <c r="S87" s="20">
        <f t="shared" ref="S87:S150" si="1">0.001/100</f>
        <v>1.0000000000000001E-5</v>
      </c>
      <c r="T87" s="13" t="s">
        <v>36</v>
      </c>
      <c r="U87" s="13" t="s">
        <v>37</v>
      </c>
      <c r="V87" s="20" t="s">
        <v>48</v>
      </c>
      <c r="W87" s="13" t="s">
        <v>34</v>
      </c>
      <c r="X87" s="13" t="s">
        <v>43</v>
      </c>
      <c r="Y87" s="13">
        <v>1</v>
      </c>
      <c r="Z87" s="13" t="s">
        <v>39</v>
      </c>
      <c r="AA87" s="13" t="s">
        <v>43</v>
      </c>
      <c r="AB87" s="13">
        <v>6</v>
      </c>
      <c r="AC87" s="13" t="s">
        <v>54</v>
      </c>
      <c r="AD87" s="13" t="s">
        <v>32</v>
      </c>
      <c r="AE87" s="13">
        <v>0.9</v>
      </c>
      <c r="AF87" s="21" t="s">
        <v>125</v>
      </c>
      <c r="AG87" s="13">
        <v>2014</v>
      </c>
      <c r="AH87" s="21" t="s">
        <v>126</v>
      </c>
      <c r="AI87" s="2">
        <v>51</v>
      </c>
      <c r="AJ87" s="2">
        <v>2</v>
      </c>
      <c r="AK87" s="2">
        <v>1.5</v>
      </c>
    </row>
    <row r="88" spans="1:37" x14ac:dyDescent="0.3">
      <c r="A88" s="11">
        <v>2.1190253240943</v>
      </c>
      <c r="B88" s="11">
        <v>157.41555954267</v>
      </c>
      <c r="C88" s="13" t="s">
        <v>33</v>
      </c>
      <c r="D88" s="13" t="s">
        <v>47</v>
      </c>
      <c r="E88" s="10" t="s">
        <v>170</v>
      </c>
      <c r="F88" s="13" t="s">
        <v>34</v>
      </c>
      <c r="G88" s="13">
        <v>0.46</v>
      </c>
      <c r="H88" s="13" t="s">
        <v>34</v>
      </c>
      <c r="I88" s="13" t="s">
        <v>34</v>
      </c>
      <c r="J88" s="13" t="s">
        <v>34</v>
      </c>
      <c r="K88" s="13" t="s">
        <v>34</v>
      </c>
      <c r="L88" s="13">
        <v>0</v>
      </c>
      <c r="M88" s="13">
        <v>48.5</v>
      </c>
      <c r="N88" s="13">
        <v>1610</v>
      </c>
      <c r="O88" s="13" t="s">
        <v>34</v>
      </c>
      <c r="P88" s="13" t="s">
        <v>34</v>
      </c>
      <c r="Q88" s="13" t="s">
        <v>34</v>
      </c>
      <c r="R88" s="13" t="s">
        <v>34</v>
      </c>
      <c r="S88" s="20">
        <f t="shared" si="1"/>
        <v>1.0000000000000001E-5</v>
      </c>
      <c r="T88" s="13" t="s">
        <v>36</v>
      </c>
      <c r="U88" s="13" t="s">
        <v>37</v>
      </c>
      <c r="V88" s="20" t="s">
        <v>48</v>
      </c>
      <c r="W88" s="13" t="s">
        <v>34</v>
      </c>
      <c r="X88" s="13" t="s">
        <v>43</v>
      </c>
      <c r="Y88" s="13">
        <v>1</v>
      </c>
      <c r="Z88" s="13" t="s">
        <v>39</v>
      </c>
      <c r="AA88" s="13" t="s">
        <v>43</v>
      </c>
      <c r="AB88" s="13">
        <v>6</v>
      </c>
      <c r="AC88" s="13" t="s">
        <v>55</v>
      </c>
      <c r="AD88" s="13" t="s">
        <v>32</v>
      </c>
      <c r="AE88" s="13">
        <v>0.9</v>
      </c>
      <c r="AF88" s="21" t="s">
        <v>125</v>
      </c>
      <c r="AG88" s="13">
        <v>2014</v>
      </c>
      <c r="AH88" s="21" t="s">
        <v>126</v>
      </c>
      <c r="AI88" s="2">
        <v>51</v>
      </c>
      <c r="AJ88" s="2">
        <v>2</v>
      </c>
      <c r="AK88" s="2">
        <v>1.5</v>
      </c>
    </row>
    <row r="89" spans="1:37" x14ac:dyDescent="0.3">
      <c r="A89" s="11">
        <v>2.1080913385052198</v>
      </c>
      <c r="B89" s="11">
        <v>113.99703559549199</v>
      </c>
      <c r="C89" s="13" t="s">
        <v>33</v>
      </c>
      <c r="D89" s="13" t="s">
        <v>47</v>
      </c>
      <c r="E89" s="10" t="s">
        <v>170</v>
      </c>
      <c r="F89" s="13" t="s">
        <v>34</v>
      </c>
      <c r="G89" s="13">
        <v>0.46</v>
      </c>
      <c r="H89" s="13" t="s">
        <v>34</v>
      </c>
      <c r="I89" s="13" t="s">
        <v>34</v>
      </c>
      <c r="J89" s="13" t="s">
        <v>34</v>
      </c>
      <c r="K89" s="13" t="s">
        <v>34</v>
      </c>
      <c r="L89" s="13">
        <v>0</v>
      </c>
      <c r="M89" s="13">
        <v>48.5</v>
      </c>
      <c r="N89" s="13">
        <v>1610</v>
      </c>
      <c r="O89" s="13" t="s">
        <v>34</v>
      </c>
      <c r="P89" s="13" t="s">
        <v>34</v>
      </c>
      <c r="Q89" s="13" t="s">
        <v>34</v>
      </c>
      <c r="R89" s="13" t="s">
        <v>34</v>
      </c>
      <c r="S89" s="20">
        <f t="shared" si="1"/>
        <v>1.0000000000000001E-5</v>
      </c>
      <c r="T89" s="13" t="s">
        <v>36</v>
      </c>
      <c r="U89" s="13" t="s">
        <v>37</v>
      </c>
      <c r="V89" s="20" t="s">
        <v>48</v>
      </c>
      <c r="W89" s="13" t="s">
        <v>34</v>
      </c>
      <c r="X89" s="13" t="s">
        <v>43</v>
      </c>
      <c r="Y89" s="13">
        <v>1</v>
      </c>
      <c r="Z89" s="13" t="s">
        <v>39</v>
      </c>
      <c r="AA89" s="13" t="s">
        <v>43</v>
      </c>
      <c r="AB89" s="13">
        <v>6</v>
      </c>
      <c r="AC89" s="13" t="s">
        <v>56</v>
      </c>
      <c r="AD89" s="13" t="s">
        <v>32</v>
      </c>
      <c r="AE89" s="13">
        <v>0.9</v>
      </c>
      <c r="AF89" s="21" t="s">
        <v>125</v>
      </c>
      <c r="AG89" s="13">
        <v>2014</v>
      </c>
      <c r="AH89" s="21" t="s">
        <v>126</v>
      </c>
      <c r="AI89" s="2">
        <v>51</v>
      </c>
      <c r="AJ89" s="2">
        <v>2</v>
      </c>
      <c r="AK89" s="2">
        <v>1.5</v>
      </c>
    </row>
    <row r="90" spans="1:37" x14ac:dyDescent="0.3">
      <c r="A90" s="11">
        <v>2.3716003912021102</v>
      </c>
      <c r="B90" s="11">
        <v>158.60510814396201</v>
      </c>
      <c r="C90" s="13" t="s">
        <v>33</v>
      </c>
      <c r="D90" s="13" t="s">
        <v>47</v>
      </c>
      <c r="E90" s="10" t="s">
        <v>170</v>
      </c>
      <c r="F90" s="13" t="s">
        <v>34</v>
      </c>
      <c r="G90" s="13">
        <v>0.46</v>
      </c>
      <c r="H90" s="13" t="s">
        <v>34</v>
      </c>
      <c r="I90" s="13" t="s">
        <v>34</v>
      </c>
      <c r="J90" s="13" t="s">
        <v>34</v>
      </c>
      <c r="K90" s="13" t="s">
        <v>34</v>
      </c>
      <c r="L90" s="13">
        <v>0</v>
      </c>
      <c r="M90" s="13">
        <v>48.5</v>
      </c>
      <c r="N90" s="13">
        <v>1610</v>
      </c>
      <c r="O90" s="13" t="s">
        <v>34</v>
      </c>
      <c r="P90" s="13" t="s">
        <v>34</v>
      </c>
      <c r="Q90" s="13" t="s">
        <v>34</v>
      </c>
      <c r="R90" s="13" t="s">
        <v>34</v>
      </c>
      <c r="S90" s="20">
        <f t="shared" si="1"/>
        <v>1.0000000000000001E-5</v>
      </c>
      <c r="T90" s="13" t="s">
        <v>36</v>
      </c>
      <c r="U90" s="13" t="s">
        <v>37</v>
      </c>
      <c r="V90" s="20" t="s">
        <v>48</v>
      </c>
      <c r="W90" s="13" t="s">
        <v>34</v>
      </c>
      <c r="X90" s="13" t="s">
        <v>43</v>
      </c>
      <c r="Y90" s="13">
        <v>1</v>
      </c>
      <c r="Z90" s="13" t="s">
        <v>39</v>
      </c>
      <c r="AA90" s="13" t="s">
        <v>43</v>
      </c>
      <c r="AB90" s="13">
        <v>6</v>
      </c>
      <c r="AC90" s="13" t="s">
        <v>57</v>
      </c>
      <c r="AD90" s="13" t="s">
        <v>32</v>
      </c>
      <c r="AE90" s="13">
        <v>0.9</v>
      </c>
      <c r="AF90" s="21" t="s">
        <v>125</v>
      </c>
      <c r="AG90" s="13">
        <v>2014</v>
      </c>
      <c r="AH90" s="21" t="s">
        <v>126</v>
      </c>
      <c r="AI90" s="2">
        <v>51</v>
      </c>
      <c r="AJ90" s="2">
        <v>2</v>
      </c>
      <c r="AK90" s="2">
        <v>1.5</v>
      </c>
    </row>
    <row r="91" spans="1:37" x14ac:dyDescent="0.3">
      <c r="A91" s="11">
        <v>2.6241754583099199</v>
      </c>
      <c r="B91" s="11">
        <v>206.58356839609399</v>
      </c>
      <c r="C91" s="13" t="s">
        <v>33</v>
      </c>
      <c r="D91" s="13" t="s">
        <v>47</v>
      </c>
      <c r="E91" s="10" t="s">
        <v>170</v>
      </c>
      <c r="F91" s="13" t="s">
        <v>34</v>
      </c>
      <c r="G91" s="13">
        <v>0.46</v>
      </c>
      <c r="H91" s="13" t="s">
        <v>34</v>
      </c>
      <c r="I91" s="13" t="s">
        <v>34</v>
      </c>
      <c r="J91" s="13" t="s">
        <v>34</v>
      </c>
      <c r="K91" s="13" t="s">
        <v>34</v>
      </c>
      <c r="L91" s="13">
        <v>0</v>
      </c>
      <c r="M91" s="13">
        <v>48.5</v>
      </c>
      <c r="N91" s="13">
        <v>1610</v>
      </c>
      <c r="O91" s="13" t="s">
        <v>34</v>
      </c>
      <c r="P91" s="13" t="s">
        <v>34</v>
      </c>
      <c r="Q91" s="13" t="s">
        <v>34</v>
      </c>
      <c r="R91" s="13" t="s">
        <v>34</v>
      </c>
      <c r="S91" s="20">
        <f t="shared" si="1"/>
        <v>1.0000000000000001E-5</v>
      </c>
      <c r="T91" s="13" t="s">
        <v>36</v>
      </c>
      <c r="U91" s="13" t="s">
        <v>37</v>
      </c>
      <c r="V91" s="20" t="s">
        <v>48</v>
      </c>
      <c r="W91" s="13" t="s">
        <v>34</v>
      </c>
      <c r="X91" s="13" t="s">
        <v>43</v>
      </c>
      <c r="Y91" s="13">
        <v>1</v>
      </c>
      <c r="Z91" s="13" t="s">
        <v>39</v>
      </c>
      <c r="AA91" s="13" t="s">
        <v>43</v>
      </c>
      <c r="AB91" s="13">
        <v>6</v>
      </c>
      <c r="AC91" s="13" t="s">
        <v>58</v>
      </c>
      <c r="AD91" s="13" t="s">
        <v>32</v>
      </c>
      <c r="AE91" s="13">
        <v>0.9</v>
      </c>
      <c r="AF91" s="21" t="s">
        <v>125</v>
      </c>
      <c r="AG91" s="13">
        <v>2014</v>
      </c>
      <c r="AH91" s="21" t="s">
        <v>126</v>
      </c>
      <c r="AI91" s="2">
        <v>51</v>
      </c>
      <c r="AJ91" s="2">
        <v>2</v>
      </c>
      <c r="AK91" s="2">
        <v>1.5</v>
      </c>
    </row>
    <row r="92" spans="1:37" x14ac:dyDescent="0.3">
      <c r="A92" s="11">
        <v>2.8767505254177301</v>
      </c>
      <c r="B92" s="11">
        <v>255.43436428917499</v>
      </c>
      <c r="C92" s="13" t="s">
        <v>33</v>
      </c>
      <c r="D92" s="13" t="s">
        <v>47</v>
      </c>
      <c r="E92" s="10" t="s">
        <v>170</v>
      </c>
      <c r="F92" s="13" t="s">
        <v>34</v>
      </c>
      <c r="G92" s="13">
        <v>0.46</v>
      </c>
      <c r="H92" s="13" t="s">
        <v>34</v>
      </c>
      <c r="I92" s="13" t="s">
        <v>34</v>
      </c>
      <c r="J92" s="13" t="s">
        <v>34</v>
      </c>
      <c r="K92" s="13" t="s">
        <v>34</v>
      </c>
      <c r="L92" s="13">
        <v>0</v>
      </c>
      <c r="M92" s="13">
        <v>48.5</v>
      </c>
      <c r="N92" s="13">
        <v>1610</v>
      </c>
      <c r="O92" s="13" t="s">
        <v>34</v>
      </c>
      <c r="P92" s="13" t="s">
        <v>34</v>
      </c>
      <c r="Q92" s="13" t="s">
        <v>34</v>
      </c>
      <c r="R92" s="13" t="s">
        <v>34</v>
      </c>
      <c r="S92" s="20">
        <f t="shared" si="1"/>
        <v>1.0000000000000001E-5</v>
      </c>
      <c r="T92" s="13" t="s">
        <v>36</v>
      </c>
      <c r="U92" s="13" t="s">
        <v>37</v>
      </c>
      <c r="V92" s="20" t="s">
        <v>48</v>
      </c>
      <c r="W92" s="13" t="s">
        <v>34</v>
      </c>
      <c r="X92" s="13" t="s">
        <v>43</v>
      </c>
      <c r="Y92" s="13">
        <v>1</v>
      </c>
      <c r="Z92" s="13" t="s">
        <v>39</v>
      </c>
      <c r="AA92" s="13" t="s">
        <v>43</v>
      </c>
      <c r="AB92" s="13">
        <v>6</v>
      </c>
      <c r="AC92" s="13" t="s">
        <v>59</v>
      </c>
      <c r="AD92" s="13" t="s">
        <v>32</v>
      </c>
      <c r="AE92" s="13">
        <v>0.9</v>
      </c>
      <c r="AF92" s="21" t="s">
        <v>125</v>
      </c>
      <c r="AG92" s="13">
        <v>2014</v>
      </c>
      <c r="AH92" s="21" t="s">
        <v>126</v>
      </c>
      <c r="AI92" s="2">
        <v>51</v>
      </c>
      <c r="AJ92" s="2">
        <v>2</v>
      </c>
      <c r="AK92" s="2">
        <v>1.5</v>
      </c>
    </row>
    <row r="93" spans="1:37" x14ac:dyDescent="0.3">
      <c r="A93" s="11">
        <v>3.1052708242295601</v>
      </c>
      <c r="B93" s="11">
        <v>296.72491796070597</v>
      </c>
      <c r="C93" s="13" t="s">
        <v>33</v>
      </c>
      <c r="D93" s="13" t="s">
        <v>47</v>
      </c>
      <c r="E93" s="10" t="s">
        <v>170</v>
      </c>
      <c r="F93" s="13" t="s">
        <v>34</v>
      </c>
      <c r="G93" s="13">
        <v>0.46</v>
      </c>
      <c r="H93" s="13" t="s">
        <v>34</v>
      </c>
      <c r="I93" s="13" t="s">
        <v>34</v>
      </c>
      <c r="J93" s="13" t="s">
        <v>34</v>
      </c>
      <c r="K93" s="13" t="s">
        <v>34</v>
      </c>
      <c r="L93" s="13">
        <v>0</v>
      </c>
      <c r="M93" s="13">
        <v>48.5</v>
      </c>
      <c r="N93" s="13">
        <v>1610</v>
      </c>
      <c r="O93" s="13" t="s">
        <v>34</v>
      </c>
      <c r="P93" s="13" t="s">
        <v>34</v>
      </c>
      <c r="Q93" s="13" t="s">
        <v>34</v>
      </c>
      <c r="R93" s="13" t="s">
        <v>34</v>
      </c>
      <c r="S93" s="20">
        <f t="shared" si="1"/>
        <v>1.0000000000000001E-5</v>
      </c>
      <c r="T93" s="13" t="s">
        <v>36</v>
      </c>
      <c r="U93" s="13" t="s">
        <v>37</v>
      </c>
      <c r="V93" s="20" t="s">
        <v>48</v>
      </c>
      <c r="W93" s="13" t="s">
        <v>34</v>
      </c>
      <c r="X93" s="13" t="s">
        <v>43</v>
      </c>
      <c r="Y93" s="13">
        <v>1</v>
      </c>
      <c r="Z93" s="13" t="s">
        <v>39</v>
      </c>
      <c r="AA93" s="13" t="s">
        <v>43</v>
      </c>
      <c r="AB93" s="13">
        <v>6</v>
      </c>
      <c r="AC93" s="13" t="s">
        <v>60</v>
      </c>
      <c r="AD93" s="13" t="s">
        <v>32</v>
      </c>
      <c r="AE93" s="13">
        <v>0.9</v>
      </c>
      <c r="AF93" s="21" t="s">
        <v>125</v>
      </c>
      <c r="AG93" s="13">
        <v>2014</v>
      </c>
      <c r="AH93" s="21" t="s">
        <v>126</v>
      </c>
      <c r="AI93" s="2">
        <v>51</v>
      </c>
      <c r="AJ93" s="2">
        <v>2</v>
      </c>
      <c r="AK93" s="2">
        <v>1.5</v>
      </c>
    </row>
    <row r="94" spans="1:37" x14ac:dyDescent="0.3">
      <c r="A94" s="11">
        <v>3.5053396022048302</v>
      </c>
      <c r="B94" s="11">
        <v>428.98506635636301</v>
      </c>
      <c r="C94" s="13" t="s">
        <v>33</v>
      </c>
      <c r="D94" s="13" t="s">
        <v>47</v>
      </c>
      <c r="E94" s="10" t="s">
        <v>170</v>
      </c>
      <c r="F94" s="13" t="s">
        <v>34</v>
      </c>
      <c r="G94" s="13">
        <v>0.46</v>
      </c>
      <c r="H94" s="13" t="s">
        <v>34</v>
      </c>
      <c r="I94" s="13" t="s">
        <v>34</v>
      </c>
      <c r="J94" s="13" t="s">
        <v>34</v>
      </c>
      <c r="K94" s="13" t="s">
        <v>34</v>
      </c>
      <c r="L94" s="13">
        <v>0</v>
      </c>
      <c r="M94" s="13">
        <v>48.5</v>
      </c>
      <c r="N94" s="13">
        <v>1610</v>
      </c>
      <c r="O94" s="13" t="s">
        <v>34</v>
      </c>
      <c r="P94" s="13" t="s">
        <v>34</v>
      </c>
      <c r="Q94" s="13" t="s">
        <v>34</v>
      </c>
      <c r="R94" s="13" t="s">
        <v>34</v>
      </c>
      <c r="S94" s="20">
        <f t="shared" si="1"/>
        <v>1.0000000000000001E-5</v>
      </c>
      <c r="T94" s="13" t="s">
        <v>36</v>
      </c>
      <c r="U94" s="13" t="s">
        <v>37</v>
      </c>
      <c r="V94" s="20" t="s">
        <v>48</v>
      </c>
      <c r="W94" s="13" t="s">
        <v>34</v>
      </c>
      <c r="X94" s="13" t="s">
        <v>43</v>
      </c>
      <c r="Y94" s="13">
        <v>1</v>
      </c>
      <c r="Z94" s="13" t="s">
        <v>39</v>
      </c>
      <c r="AA94" s="13" t="s">
        <v>43</v>
      </c>
      <c r="AB94" s="13">
        <v>6</v>
      </c>
      <c r="AC94" s="13" t="s">
        <v>61</v>
      </c>
      <c r="AD94" s="13" t="s">
        <v>32</v>
      </c>
      <c r="AE94" s="13">
        <v>0.9</v>
      </c>
      <c r="AF94" s="21" t="s">
        <v>125</v>
      </c>
      <c r="AG94" s="13">
        <v>2014</v>
      </c>
      <c r="AH94" s="21" t="s">
        <v>126</v>
      </c>
      <c r="AI94" s="2">
        <v>51</v>
      </c>
      <c r="AJ94" s="2">
        <v>2</v>
      </c>
      <c r="AK94" s="2">
        <v>1.5</v>
      </c>
    </row>
    <row r="95" spans="1:37" x14ac:dyDescent="0.3">
      <c r="A95" s="11">
        <v>3.49549262103104</v>
      </c>
      <c r="B95" s="11">
        <v>372.32734017618702</v>
      </c>
      <c r="C95" s="13" t="s">
        <v>33</v>
      </c>
      <c r="D95" s="13" t="s">
        <v>47</v>
      </c>
      <c r="E95" s="10" t="s">
        <v>170</v>
      </c>
      <c r="F95" s="13" t="s">
        <v>34</v>
      </c>
      <c r="G95" s="13">
        <v>0.46</v>
      </c>
      <c r="H95" s="13" t="s">
        <v>34</v>
      </c>
      <c r="I95" s="13" t="s">
        <v>34</v>
      </c>
      <c r="J95" s="13" t="s">
        <v>34</v>
      </c>
      <c r="K95" s="13" t="s">
        <v>34</v>
      </c>
      <c r="L95" s="13">
        <v>0</v>
      </c>
      <c r="M95" s="13">
        <v>48.5</v>
      </c>
      <c r="N95" s="13">
        <v>1610</v>
      </c>
      <c r="O95" s="13" t="s">
        <v>34</v>
      </c>
      <c r="P95" s="13" t="s">
        <v>34</v>
      </c>
      <c r="Q95" s="13" t="s">
        <v>34</v>
      </c>
      <c r="R95" s="13" t="s">
        <v>34</v>
      </c>
      <c r="S95" s="20">
        <f t="shared" si="1"/>
        <v>1.0000000000000001E-5</v>
      </c>
      <c r="T95" s="13" t="s">
        <v>36</v>
      </c>
      <c r="U95" s="13" t="s">
        <v>37</v>
      </c>
      <c r="V95" s="20" t="s">
        <v>48</v>
      </c>
      <c r="W95" s="13" t="s">
        <v>34</v>
      </c>
      <c r="X95" s="13" t="s">
        <v>43</v>
      </c>
      <c r="Y95" s="13">
        <v>1</v>
      </c>
      <c r="Z95" s="13" t="s">
        <v>39</v>
      </c>
      <c r="AA95" s="13" t="s">
        <v>43</v>
      </c>
      <c r="AB95" s="13">
        <v>6</v>
      </c>
      <c r="AC95" s="13" t="s">
        <v>62</v>
      </c>
      <c r="AD95" s="13" t="s">
        <v>32</v>
      </c>
      <c r="AE95" s="13">
        <v>0.9</v>
      </c>
      <c r="AF95" s="21" t="s">
        <v>125</v>
      </c>
      <c r="AG95" s="13">
        <v>2014</v>
      </c>
      <c r="AH95" s="21" t="s">
        <v>126</v>
      </c>
      <c r="AI95" s="2">
        <v>51</v>
      </c>
      <c r="AJ95" s="2">
        <v>2</v>
      </c>
      <c r="AK95" s="2">
        <v>1.5</v>
      </c>
    </row>
    <row r="96" spans="1:37" x14ac:dyDescent="0.3">
      <c r="A96" s="11">
        <v>3.6681524023555299</v>
      </c>
      <c r="B96" s="11">
        <v>436.44400978585503</v>
      </c>
      <c r="C96" s="13" t="s">
        <v>33</v>
      </c>
      <c r="D96" s="13" t="s">
        <v>47</v>
      </c>
      <c r="E96" s="10" t="s">
        <v>170</v>
      </c>
      <c r="F96" s="13" t="s">
        <v>34</v>
      </c>
      <c r="G96" s="13">
        <v>0.46</v>
      </c>
      <c r="H96" s="13" t="s">
        <v>34</v>
      </c>
      <c r="I96" s="13" t="s">
        <v>34</v>
      </c>
      <c r="J96" s="13" t="s">
        <v>34</v>
      </c>
      <c r="K96" s="13" t="s">
        <v>34</v>
      </c>
      <c r="L96" s="13">
        <v>0</v>
      </c>
      <c r="M96" s="13">
        <v>48.5</v>
      </c>
      <c r="N96" s="13">
        <v>1610</v>
      </c>
      <c r="O96" s="13" t="s">
        <v>34</v>
      </c>
      <c r="P96" s="13" t="s">
        <v>34</v>
      </c>
      <c r="Q96" s="13" t="s">
        <v>34</v>
      </c>
      <c r="R96" s="13" t="s">
        <v>34</v>
      </c>
      <c r="S96" s="20">
        <f t="shared" si="1"/>
        <v>1.0000000000000001E-5</v>
      </c>
      <c r="T96" s="13" t="s">
        <v>36</v>
      </c>
      <c r="U96" s="13" t="s">
        <v>37</v>
      </c>
      <c r="V96" s="20" t="s">
        <v>48</v>
      </c>
      <c r="W96" s="13" t="s">
        <v>34</v>
      </c>
      <c r="X96" s="13" t="s">
        <v>43</v>
      </c>
      <c r="Y96" s="13">
        <v>1</v>
      </c>
      <c r="Z96" s="13" t="s">
        <v>39</v>
      </c>
      <c r="AA96" s="13" t="s">
        <v>43</v>
      </c>
      <c r="AB96" s="13">
        <v>6</v>
      </c>
      <c r="AC96" s="13" t="s">
        <v>63</v>
      </c>
      <c r="AD96" s="13" t="s">
        <v>32</v>
      </c>
      <c r="AE96" s="13">
        <v>0.9</v>
      </c>
      <c r="AF96" s="21" t="s">
        <v>125</v>
      </c>
      <c r="AG96" s="13">
        <v>2014</v>
      </c>
      <c r="AH96" s="21" t="s">
        <v>126</v>
      </c>
      <c r="AI96" s="2">
        <v>51</v>
      </c>
      <c r="AJ96" s="2">
        <v>2</v>
      </c>
      <c r="AK96" s="2">
        <v>1.5</v>
      </c>
    </row>
    <row r="97" spans="1:37" x14ac:dyDescent="0.3">
      <c r="A97" s="11">
        <v>4.7876011819297899</v>
      </c>
      <c r="B97" s="11">
        <v>573.48919382665997</v>
      </c>
      <c r="C97" s="13" t="s">
        <v>33</v>
      </c>
      <c r="D97" s="13" t="s">
        <v>47</v>
      </c>
      <c r="E97" s="10" t="s">
        <v>170</v>
      </c>
      <c r="F97" s="13" t="s">
        <v>34</v>
      </c>
      <c r="G97" s="13">
        <v>0.46</v>
      </c>
      <c r="H97" s="13" t="s">
        <v>34</v>
      </c>
      <c r="I97" s="13" t="s">
        <v>34</v>
      </c>
      <c r="J97" s="13" t="s">
        <v>34</v>
      </c>
      <c r="K97" s="13" t="s">
        <v>34</v>
      </c>
      <c r="L97" s="13">
        <v>0</v>
      </c>
      <c r="M97" s="13">
        <v>48.5</v>
      </c>
      <c r="N97" s="13">
        <v>1610</v>
      </c>
      <c r="O97" s="13" t="s">
        <v>34</v>
      </c>
      <c r="P97" s="13" t="s">
        <v>34</v>
      </c>
      <c r="Q97" s="13" t="s">
        <v>34</v>
      </c>
      <c r="R97" s="13" t="s">
        <v>34</v>
      </c>
      <c r="S97" s="20">
        <f t="shared" si="1"/>
        <v>1.0000000000000001E-5</v>
      </c>
      <c r="T97" s="13" t="s">
        <v>36</v>
      </c>
      <c r="U97" s="13" t="s">
        <v>37</v>
      </c>
      <c r="V97" s="20" t="s">
        <v>48</v>
      </c>
      <c r="W97" s="13" t="s">
        <v>34</v>
      </c>
      <c r="X97" s="13" t="s">
        <v>43</v>
      </c>
      <c r="Y97" s="13">
        <v>1</v>
      </c>
      <c r="Z97" s="13" t="s">
        <v>39</v>
      </c>
      <c r="AA97" s="13" t="s">
        <v>43</v>
      </c>
      <c r="AB97" s="13">
        <v>6</v>
      </c>
      <c r="AC97" s="13" t="s">
        <v>64</v>
      </c>
      <c r="AD97" s="13" t="s">
        <v>32</v>
      </c>
      <c r="AE97" s="13">
        <v>0.9</v>
      </c>
      <c r="AF97" s="21" t="s">
        <v>125</v>
      </c>
      <c r="AG97" s="13">
        <v>2014</v>
      </c>
      <c r="AH97" s="21" t="s">
        <v>126</v>
      </c>
      <c r="AI97" s="2">
        <v>51</v>
      </c>
      <c r="AJ97" s="2">
        <v>2</v>
      </c>
      <c r="AK97" s="2">
        <v>1.5</v>
      </c>
    </row>
    <row r="98" spans="1:37" x14ac:dyDescent="0.3">
      <c r="A98" s="11">
        <v>4.9442578604573697</v>
      </c>
      <c r="B98" s="11">
        <v>503.89736322214793</v>
      </c>
      <c r="C98" s="13" t="s">
        <v>33</v>
      </c>
      <c r="D98" s="13" t="s">
        <v>47</v>
      </c>
      <c r="E98" s="10" t="s">
        <v>170</v>
      </c>
      <c r="F98" s="13" t="s">
        <v>34</v>
      </c>
      <c r="G98" s="13">
        <v>0.46</v>
      </c>
      <c r="H98" s="13" t="s">
        <v>34</v>
      </c>
      <c r="I98" s="13" t="s">
        <v>34</v>
      </c>
      <c r="J98" s="13" t="s">
        <v>34</v>
      </c>
      <c r="K98" s="13" t="s">
        <v>34</v>
      </c>
      <c r="L98" s="13">
        <v>0</v>
      </c>
      <c r="M98" s="13">
        <v>48.5</v>
      </c>
      <c r="N98" s="13">
        <v>1610</v>
      </c>
      <c r="O98" s="13" t="s">
        <v>34</v>
      </c>
      <c r="P98" s="13" t="s">
        <v>34</v>
      </c>
      <c r="Q98" s="13" t="s">
        <v>34</v>
      </c>
      <c r="R98" s="13" t="s">
        <v>34</v>
      </c>
      <c r="S98" s="20">
        <f t="shared" si="1"/>
        <v>1.0000000000000001E-5</v>
      </c>
      <c r="T98" s="13" t="s">
        <v>36</v>
      </c>
      <c r="U98" s="13" t="s">
        <v>37</v>
      </c>
      <c r="V98" s="20" t="s">
        <v>48</v>
      </c>
      <c r="W98" s="13" t="s">
        <v>34</v>
      </c>
      <c r="X98" s="13" t="s">
        <v>43</v>
      </c>
      <c r="Y98" s="13">
        <v>1</v>
      </c>
      <c r="Z98" s="13" t="s">
        <v>39</v>
      </c>
      <c r="AA98" s="13" t="s">
        <v>43</v>
      </c>
      <c r="AB98" s="13">
        <v>6</v>
      </c>
      <c r="AC98" s="13" t="s">
        <v>65</v>
      </c>
      <c r="AD98" s="13" t="s">
        <v>32</v>
      </c>
      <c r="AE98" s="13">
        <v>0.9</v>
      </c>
      <c r="AF98" s="21" t="s">
        <v>125</v>
      </c>
      <c r="AG98" s="13">
        <v>2014</v>
      </c>
      <c r="AH98" s="21" t="s">
        <v>126</v>
      </c>
      <c r="AI98" s="2">
        <v>51</v>
      </c>
      <c r="AJ98" s="2">
        <v>2</v>
      </c>
      <c r="AK98" s="2">
        <v>1.5</v>
      </c>
    </row>
    <row r="99" spans="1:37" x14ac:dyDescent="0.3">
      <c r="A99" s="11">
        <v>5.1121257792086103</v>
      </c>
      <c r="B99" s="11">
        <v>539.62885417225903</v>
      </c>
      <c r="C99" s="13" t="s">
        <v>33</v>
      </c>
      <c r="D99" s="13" t="s">
        <v>47</v>
      </c>
      <c r="E99" s="10" t="s">
        <v>170</v>
      </c>
      <c r="F99" s="13" t="s">
        <v>34</v>
      </c>
      <c r="G99" s="13">
        <v>0.46</v>
      </c>
      <c r="H99" s="13" t="s">
        <v>34</v>
      </c>
      <c r="I99" s="13" t="s">
        <v>34</v>
      </c>
      <c r="J99" s="13" t="s">
        <v>34</v>
      </c>
      <c r="K99" s="13" t="s">
        <v>34</v>
      </c>
      <c r="L99" s="13">
        <v>0</v>
      </c>
      <c r="M99" s="13">
        <v>48.5</v>
      </c>
      <c r="N99" s="13">
        <v>1610</v>
      </c>
      <c r="O99" s="13" t="s">
        <v>34</v>
      </c>
      <c r="P99" s="13" t="s">
        <v>34</v>
      </c>
      <c r="Q99" s="13" t="s">
        <v>34</v>
      </c>
      <c r="R99" s="13" t="s">
        <v>34</v>
      </c>
      <c r="S99" s="20">
        <f t="shared" si="1"/>
        <v>1.0000000000000001E-5</v>
      </c>
      <c r="T99" s="13" t="s">
        <v>36</v>
      </c>
      <c r="U99" s="13" t="s">
        <v>37</v>
      </c>
      <c r="V99" s="20" t="s">
        <v>48</v>
      </c>
      <c r="W99" s="13" t="s">
        <v>34</v>
      </c>
      <c r="X99" s="13" t="s">
        <v>43</v>
      </c>
      <c r="Y99" s="13">
        <v>1</v>
      </c>
      <c r="Z99" s="13" t="s">
        <v>39</v>
      </c>
      <c r="AA99" s="13" t="s">
        <v>43</v>
      </c>
      <c r="AB99" s="13">
        <v>6</v>
      </c>
      <c r="AC99" s="13" t="s">
        <v>66</v>
      </c>
      <c r="AD99" s="13" t="s">
        <v>32</v>
      </c>
      <c r="AE99" s="13">
        <v>0.9</v>
      </c>
      <c r="AF99" s="21" t="s">
        <v>125</v>
      </c>
      <c r="AG99" s="13">
        <v>2014</v>
      </c>
      <c r="AH99" s="21" t="s">
        <v>126</v>
      </c>
      <c r="AI99" s="2">
        <v>51</v>
      </c>
      <c r="AJ99" s="2">
        <v>2</v>
      </c>
      <c r="AK99" s="2">
        <v>1.5</v>
      </c>
    </row>
    <row r="100" spans="1:37" x14ac:dyDescent="0.3">
      <c r="A100" s="11">
        <v>5.2581725867199296</v>
      </c>
      <c r="B100" s="11">
        <v>419.397117468999</v>
      </c>
      <c r="C100" s="13" t="s">
        <v>33</v>
      </c>
      <c r="D100" s="13" t="s">
        <v>47</v>
      </c>
      <c r="E100" s="10" t="s">
        <v>170</v>
      </c>
      <c r="F100" s="13" t="s">
        <v>34</v>
      </c>
      <c r="G100" s="13">
        <v>0.46</v>
      </c>
      <c r="H100" s="13" t="s">
        <v>34</v>
      </c>
      <c r="I100" s="13" t="s">
        <v>34</v>
      </c>
      <c r="J100" s="13" t="s">
        <v>34</v>
      </c>
      <c r="K100" s="13" t="s">
        <v>34</v>
      </c>
      <c r="L100" s="13">
        <v>0</v>
      </c>
      <c r="M100" s="13">
        <v>48.5</v>
      </c>
      <c r="N100" s="13">
        <v>1610</v>
      </c>
      <c r="O100" s="13" t="s">
        <v>34</v>
      </c>
      <c r="P100" s="13" t="s">
        <v>34</v>
      </c>
      <c r="Q100" s="13" t="s">
        <v>34</v>
      </c>
      <c r="R100" s="13" t="s">
        <v>34</v>
      </c>
      <c r="S100" s="20">
        <f t="shared" si="1"/>
        <v>1.0000000000000001E-5</v>
      </c>
      <c r="T100" s="13" t="s">
        <v>36</v>
      </c>
      <c r="U100" s="13" t="s">
        <v>37</v>
      </c>
      <c r="V100" s="20" t="s">
        <v>48</v>
      </c>
      <c r="W100" s="13" t="s">
        <v>34</v>
      </c>
      <c r="X100" s="13" t="s">
        <v>43</v>
      </c>
      <c r="Y100" s="13">
        <v>1</v>
      </c>
      <c r="Z100" s="13" t="s">
        <v>39</v>
      </c>
      <c r="AA100" s="13" t="s">
        <v>43</v>
      </c>
      <c r="AB100" s="13">
        <v>6</v>
      </c>
      <c r="AC100" s="13" t="s">
        <v>67</v>
      </c>
      <c r="AD100" s="13" t="s">
        <v>32</v>
      </c>
      <c r="AE100" s="13">
        <v>0.9</v>
      </c>
      <c r="AF100" s="21" t="s">
        <v>125</v>
      </c>
      <c r="AG100" s="13">
        <v>2014</v>
      </c>
      <c r="AH100" s="21" t="s">
        <v>126</v>
      </c>
      <c r="AI100" s="2">
        <v>51</v>
      </c>
      <c r="AJ100" s="2">
        <v>2</v>
      </c>
      <c r="AK100" s="2">
        <v>1.5</v>
      </c>
    </row>
    <row r="101" spans="1:37" x14ac:dyDescent="0.3">
      <c r="A101" s="11">
        <v>5.3423642757558696</v>
      </c>
      <c r="B101" s="11">
        <v>487.91181260177802</v>
      </c>
      <c r="C101" s="13" t="s">
        <v>33</v>
      </c>
      <c r="D101" s="13" t="s">
        <v>47</v>
      </c>
      <c r="E101" s="10" t="s">
        <v>170</v>
      </c>
      <c r="F101" s="13" t="s">
        <v>34</v>
      </c>
      <c r="G101" s="13">
        <v>0.46</v>
      </c>
      <c r="H101" s="13" t="s">
        <v>34</v>
      </c>
      <c r="I101" s="13" t="s">
        <v>34</v>
      </c>
      <c r="J101" s="13" t="s">
        <v>34</v>
      </c>
      <c r="K101" s="13" t="s">
        <v>34</v>
      </c>
      <c r="L101" s="13">
        <v>0</v>
      </c>
      <c r="M101" s="13">
        <v>48.5</v>
      </c>
      <c r="N101" s="13">
        <v>1610</v>
      </c>
      <c r="O101" s="13" t="s">
        <v>34</v>
      </c>
      <c r="P101" s="13" t="s">
        <v>34</v>
      </c>
      <c r="Q101" s="13" t="s">
        <v>34</v>
      </c>
      <c r="R101" s="13" t="s">
        <v>34</v>
      </c>
      <c r="S101" s="20">
        <f t="shared" si="1"/>
        <v>1.0000000000000001E-5</v>
      </c>
      <c r="T101" s="13" t="s">
        <v>36</v>
      </c>
      <c r="U101" s="13" t="s">
        <v>37</v>
      </c>
      <c r="V101" s="20" t="s">
        <v>48</v>
      </c>
      <c r="W101" s="13" t="s">
        <v>34</v>
      </c>
      <c r="X101" s="13" t="s">
        <v>43</v>
      </c>
      <c r="Y101" s="13">
        <v>1</v>
      </c>
      <c r="Z101" s="13" t="s">
        <v>39</v>
      </c>
      <c r="AA101" s="13" t="s">
        <v>43</v>
      </c>
      <c r="AB101" s="13">
        <v>6</v>
      </c>
      <c r="AC101" s="13" t="s">
        <v>68</v>
      </c>
      <c r="AD101" s="13" t="s">
        <v>32</v>
      </c>
      <c r="AE101" s="13">
        <v>0.9</v>
      </c>
      <c r="AF101" s="21" t="s">
        <v>125</v>
      </c>
      <c r="AG101" s="13">
        <v>2014</v>
      </c>
      <c r="AH101" s="21" t="s">
        <v>126</v>
      </c>
      <c r="AI101" s="2">
        <v>51</v>
      </c>
      <c r="AJ101" s="2">
        <v>2</v>
      </c>
      <c r="AK101" s="2">
        <v>1.5</v>
      </c>
    </row>
    <row r="102" spans="1:37" x14ac:dyDescent="0.3">
      <c r="A102" s="11">
        <v>5.8583390557046799</v>
      </c>
      <c r="B102" s="11">
        <v>611.02017993054505</v>
      </c>
      <c r="C102" s="13" t="s">
        <v>33</v>
      </c>
      <c r="D102" s="13" t="s">
        <v>47</v>
      </c>
      <c r="E102" s="10" t="s">
        <v>170</v>
      </c>
      <c r="F102" s="13" t="s">
        <v>34</v>
      </c>
      <c r="G102" s="13">
        <v>0.46</v>
      </c>
      <c r="H102" s="13" t="s">
        <v>34</v>
      </c>
      <c r="I102" s="13" t="s">
        <v>34</v>
      </c>
      <c r="J102" s="13" t="s">
        <v>34</v>
      </c>
      <c r="K102" s="13" t="s">
        <v>34</v>
      </c>
      <c r="L102" s="13">
        <v>0</v>
      </c>
      <c r="M102" s="13">
        <v>48.5</v>
      </c>
      <c r="N102" s="13">
        <v>1610</v>
      </c>
      <c r="O102" s="13" t="s">
        <v>34</v>
      </c>
      <c r="P102" s="13" t="s">
        <v>34</v>
      </c>
      <c r="Q102" s="13" t="s">
        <v>34</v>
      </c>
      <c r="R102" s="13" t="s">
        <v>34</v>
      </c>
      <c r="S102" s="20">
        <f t="shared" si="1"/>
        <v>1.0000000000000001E-5</v>
      </c>
      <c r="T102" s="13" t="s">
        <v>36</v>
      </c>
      <c r="U102" s="13" t="s">
        <v>37</v>
      </c>
      <c r="V102" s="20" t="s">
        <v>48</v>
      </c>
      <c r="W102" s="13" t="s">
        <v>34</v>
      </c>
      <c r="X102" s="13" t="s">
        <v>43</v>
      </c>
      <c r="Y102" s="13">
        <v>1</v>
      </c>
      <c r="Z102" s="13" t="s">
        <v>39</v>
      </c>
      <c r="AA102" s="13" t="s">
        <v>43</v>
      </c>
      <c r="AB102" s="13">
        <v>6</v>
      </c>
      <c r="AC102" s="13" t="s">
        <v>69</v>
      </c>
      <c r="AD102" s="13" t="s">
        <v>32</v>
      </c>
      <c r="AE102" s="13">
        <v>0.9</v>
      </c>
      <c r="AF102" s="21" t="s">
        <v>125</v>
      </c>
      <c r="AG102" s="13">
        <v>2014</v>
      </c>
      <c r="AH102" s="21" t="s">
        <v>126</v>
      </c>
      <c r="AI102" s="2">
        <v>51</v>
      </c>
      <c r="AJ102" s="2">
        <v>2</v>
      </c>
      <c r="AK102" s="2">
        <v>1.5</v>
      </c>
    </row>
    <row r="103" spans="1:37" x14ac:dyDescent="0.3">
      <c r="A103" s="11">
        <v>6.0279251721913498</v>
      </c>
      <c r="B103" s="11">
        <v>617.12652941718</v>
      </c>
      <c r="C103" s="13" t="s">
        <v>33</v>
      </c>
      <c r="D103" s="13" t="s">
        <v>47</v>
      </c>
      <c r="E103" s="10" t="s">
        <v>170</v>
      </c>
      <c r="F103" s="13" t="s">
        <v>34</v>
      </c>
      <c r="G103" s="13">
        <v>0.46</v>
      </c>
      <c r="H103" s="13" t="s">
        <v>34</v>
      </c>
      <c r="I103" s="13" t="s">
        <v>34</v>
      </c>
      <c r="J103" s="13" t="s">
        <v>34</v>
      </c>
      <c r="K103" s="13" t="s">
        <v>34</v>
      </c>
      <c r="L103" s="13">
        <v>0</v>
      </c>
      <c r="M103" s="13">
        <v>48.5</v>
      </c>
      <c r="N103" s="13">
        <v>1610</v>
      </c>
      <c r="O103" s="13" t="s">
        <v>34</v>
      </c>
      <c r="P103" s="13" t="s">
        <v>34</v>
      </c>
      <c r="Q103" s="13" t="s">
        <v>34</v>
      </c>
      <c r="R103" s="13" t="s">
        <v>34</v>
      </c>
      <c r="S103" s="20">
        <f t="shared" si="1"/>
        <v>1.0000000000000001E-5</v>
      </c>
      <c r="T103" s="13" t="s">
        <v>36</v>
      </c>
      <c r="U103" s="13" t="s">
        <v>37</v>
      </c>
      <c r="V103" s="20" t="s">
        <v>48</v>
      </c>
      <c r="W103" s="13" t="s">
        <v>34</v>
      </c>
      <c r="X103" s="13" t="s">
        <v>43</v>
      </c>
      <c r="Y103" s="13">
        <v>1</v>
      </c>
      <c r="Z103" s="13" t="s">
        <v>39</v>
      </c>
      <c r="AA103" s="13" t="s">
        <v>43</v>
      </c>
      <c r="AB103" s="13">
        <v>6</v>
      </c>
      <c r="AC103" s="13" t="s">
        <v>70</v>
      </c>
      <c r="AD103" s="13" t="s">
        <v>32</v>
      </c>
      <c r="AE103" s="13">
        <v>0.9</v>
      </c>
      <c r="AF103" s="21" t="s">
        <v>125</v>
      </c>
      <c r="AG103" s="13">
        <v>2014</v>
      </c>
      <c r="AH103" s="21" t="s">
        <v>126</v>
      </c>
      <c r="AI103" s="2">
        <v>51</v>
      </c>
      <c r="AJ103" s="2">
        <v>2</v>
      </c>
      <c r="AK103" s="2">
        <v>1.5</v>
      </c>
    </row>
    <row r="104" spans="1:37" x14ac:dyDescent="0.3">
      <c r="A104" s="11">
        <v>6.20299043034544</v>
      </c>
      <c r="B104" s="11">
        <v>976.05629834885099</v>
      </c>
      <c r="C104" s="13" t="s">
        <v>33</v>
      </c>
      <c r="D104" s="13" t="s">
        <v>47</v>
      </c>
      <c r="E104" s="10" t="s">
        <v>170</v>
      </c>
      <c r="F104" s="13" t="s">
        <v>34</v>
      </c>
      <c r="G104" s="13">
        <v>0.46</v>
      </c>
      <c r="H104" s="13" t="s">
        <v>34</v>
      </c>
      <c r="I104" s="13" t="s">
        <v>34</v>
      </c>
      <c r="J104" s="13" t="s">
        <v>34</v>
      </c>
      <c r="K104" s="13" t="s">
        <v>34</v>
      </c>
      <c r="L104" s="13">
        <v>0</v>
      </c>
      <c r="M104" s="13">
        <v>48.5</v>
      </c>
      <c r="N104" s="13">
        <v>1610</v>
      </c>
      <c r="O104" s="13" t="s">
        <v>34</v>
      </c>
      <c r="P104" s="13" t="s">
        <v>34</v>
      </c>
      <c r="Q104" s="13" t="s">
        <v>34</v>
      </c>
      <c r="R104" s="13" t="s">
        <v>34</v>
      </c>
      <c r="S104" s="20">
        <f t="shared" si="1"/>
        <v>1.0000000000000001E-5</v>
      </c>
      <c r="T104" s="13" t="s">
        <v>36</v>
      </c>
      <c r="U104" s="13" t="s">
        <v>37</v>
      </c>
      <c r="V104" s="20" t="s">
        <v>48</v>
      </c>
      <c r="W104" s="13" t="s">
        <v>34</v>
      </c>
      <c r="X104" s="13" t="s">
        <v>43</v>
      </c>
      <c r="Y104" s="13">
        <v>1</v>
      </c>
      <c r="Z104" s="13" t="s">
        <v>39</v>
      </c>
      <c r="AA104" s="13" t="s">
        <v>43</v>
      </c>
      <c r="AB104" s="13">
        <v>6</v>
      </c>
      <c r="AC104" s="13" t="s">
        <v>71</v>
      </c>
      <c r="AD104" s="13" t="s">
        <v>32</v>
      </c>
      <c r="AE104" s="13">
        <v>0.9</v>
      </c>
      <c r="AF104" s="21" t="s">
        <v>125</v>
      </c>
      <c r="AG104" s="13">
        <v>2014</v>
      </c>
      <c r="AH104" s="21" t="s">
        <v>126</v>
      </c>
      <c r="AI104" s="2">
        <v>51</v>
      </c>
      <c r="AJ104" s="2">
        <v>2</v>
      </c>
      <c r="AK104" s="2">
        <v>1.5</v>
      </c>
    </row>
    <row r="105" spans="1:37" x14ac:dyDescent="0.3">
      <c r="A105" s="11">
        <v>6.45790415548203</v>
      </c>
      <c r="B105" s="11">
        <v>975.46565442529197</v>
      </c>
      <c r="C105" s="13" t="s">
        <v>33</v>
      </c>
      <c r="D105" s="13" t="s">
        <v>47</v>
      </c>
      <c r="E105" s="10" t="s">
        <v>170</v>
      </c>
      <c r="F105" s="13" t="s">
        <v>34</v>
      </c>
      <c r="G105" s="13">
        <v>0.46</v>
      </c>
      <c r="H105" s="13" t="s">
        <v>34</v>
      </c>
      <c r="I105" s="13" t="s">
        <v>34</v>
      </c>
      <c r="J105" s="13" t="s">
        <v>34</v>
      </c>
      <c r="K105" s="13" t="s">
        <v>34</v>
      </c>
      <c r="L105" s="13">
        <v>0</v>
      </c>
      <c r="M105" s="13">
        <v>48.5</v>
      </c>
      <c r="N105" s="13">
        <v>1610</v>
      </c>
      <c r="O105" s="13" t="s">
        <v>34</v>
      </c>
      <c r="P105" s="13" t="s">
        <v>34</v>
      </c>
      <c r="Q105" s="13" t="s">
        <v>34</v>
      </c>
      <c r="R105" s="13" t="s">
        <v>34</v>
      </c>
      <c r="S105" s="20">
        <f t="shared" si="1"/>
        <v>1.0000000000000001E-5</v>
      </c>
      <c r="T105" s="13" t="s">
        <v>36</v>
      </c>
      <c r="U105" s="13" t="s">
        <v>37</v>
      </c>
      <c r="V105" s="20" t="s">
        <v>48</v>
      </c>
      <c r="W105" s="13" t="s">
        <v>34</v>
      </c>
      <c r="X105" s="13" t="s">
        <v>43</v>
      </c>
      <c r="Y105" s="13">
        <v>1</v>
      </c>
      <c r="Z105" s="13" t="s">
        <v>39</v>
      </c>
      <c r="AA105" s="13" t="s">
        <v>43</v>
      </c>
      <c r="AB105" s="13">
        <v>6</v>
      </c>
      <c r="AC105" s="13" t="s">
        <v>72</v>
      </c>
      <c r="AD105" s="13" t="s">
        <v>32</v>
      </c>
      <c r="AE105" s="13">
        <v>0.9</v>
      </c>
      <c r="AF105" s="21" t="s">
        <v>125</v>
      </c>
      <c r="AG105" s="13">
        <v>2014</v>
      </c>
      <c r="AH105" s="21" t="s">
        <v>126</v>
      </c>
      <c r="AI105" s="2">
        <v>51</v>
      </c>
      <c r="AJ105" s="2">
        <v>2</v>
      </c>
      <c r="AK105" s="2">
        <v>1.5</v>
      </c>
    </row>
    <row r="106" spans="1:37" x14ac:dyDescent="0.3">
      <c r="A106" s="11">
        <v>6.5559273362881498</v>
      </c>
      <c r="B106" s="11">
        <v>1099.9643066818098</v>
      </c>
      <c r="C106" s="13" t="s">
        <v>33</v>
      </c>
      <c r="D106" s="13" t="s">
        <v>47</v>
      </c>
      <c r="E106" s="10" t="s">
        <v>170</v>
      </c>
      <c r="F106" s="13" t="s">
        <v>34</v>
      </c>
      <c r="G106" s="13">
        <v>0.46</v>
      </c>
      <c r="H106" s="13" t="s">
        <v>34</v>
      </c>
      <c r="I106" s="13" t="s">
        <v>34</v>
      </c>
      <c r="J106" s="13" t="s">
        <v>34</v>
      </c>
      <c r="K106" s="13" t="s">
        <v>34</v>
      </c>
      <c r="L106" s="13">
        <v>0</v>
      </c>
      <c r="M106" s="13">
        <v>48.5</v>
      </c>
      <c r="N106" s="13">
        <v>1610</v>
      </c>
      <c r="O106" s="13" t="s">
        <v>34</v>
      </c>
      <c r="P106" s="13" t="s">
        <v>34</v>
      </c>
      <c r="Q106" s="13" t="s">
        <v>34</v>
      </c>
      <c r="R106" s="13" t="s">
        <v>34</v>
      </c>
      <c r="S106" s="20">
        <f t="shared" si="1"/>
        <v>1.0000000000000001E-5</v>
      </c>
      <c r="T106" s="13" t="s">
        <v>36</v>
      </c>
      <c r="U106" s="13" t="s">
        <v>37</v>
      </c>
      <c r="V106" s="20" t="s">
        <v>48</v>
      </c>
      <c r="W106" s="13" t="s">
        <v>34</v>
      </c>
      <c r="X106" s="13" t="s">
        <v>43</v>
      </c>
      <c r="Y106" s="13">
        <v>1</v>
      </c>
      <c r="Z106" s="13" t="s">
        <v>39</v>
      </c>
      <c r="AA106" s="13" t="s">
        <v>43</v>
      </c>
      <c r="AB106" s="13">
        <v>6</v>
      </c>
      <c r="AC106" s="13" t="s">
        <v>73</v>
      </c>
      <c r="AD106" s="13" t="s">
        <v>32</v>
      </c>
      <c r="AE106" s="13">
        <v>0.9</v>
      </c>
      <c r="AF106" s="21" t="s">
        <v>125</v>
      </c>
      <c r="AG106" s="13">
        <v>2014</v>
      </c>
      <c r="AH106" s="21" t="s">
        <v>126</v>
      </c>
      <c r="AI106" s="2">
        <v>51</v>
      </c>
      <c r="AJ106" s="2">
        <v>2</v>
      </c>
      <c r="AK106" s="2">
        <v>1.5</v>
      </c>
    </row>
    <row r="107" spans="1:37" x14ac:dyDescent="0.3">
      <c r="A107" s="11">
        <v>6.5932122271469202</v>
      </c>
      <c r="B107" s="11">
        <v>978.600610634948</v>
      </c>
      <c r="C107" s="13" t="s">
        <v>33</v>
      </c>
      <c r="D107" s="13" t="s">
        <v>47</v>
      </c>
      <c r="E107" s="10" t="s">
        <v>170</v>
      </c>
      <c r="F107" s="13" t="s">
        <v>34</v>
      </c>
      <c r="G107" s="13">
        <v>0.46</v>
      </c>
      <c r="H107" s="13" t="s">
        <v>34</v>
      </c>
      <c r="I107" s="13" t="s">
        <v>34</v>
      </c>
      <c r="J107" s="13" t="s">
        <v>34</v>
      </c>
      <c r="K107" s="13" t="s">
        <v>34</v>
      </c>
      <c r="L107" s="13">
        <v>0</v>
      </c>
      <c r="M107" s="13">
        <v>48.5</v>
      </c>
      <c r="N107" s="13">
        <v>1610</v>
      </c>
      <c r="O107" s="13" t="s">
        <v>34</v>
      </c>
      <c r="P107" s="13" t="s">
        <v>34</v>
      </c>
      <c r="Q107" s="13" t="s">
        <v>34</v>
      </c>
      <c r="R107" s="13" t="s">
        <v>34</v>
      </c>
      <c r="S107" s="20">
        <f t="shared" si="1"/>
        <v>1.0000000000000001E-5</v>
      </c>
      <c r="T107" s="13" t="s">
        <v>36</v>
      </c>
      <c r="U107" s="13" t="s">
        <v>37</v>
      </c>
      <c r="V107" s="20" t="s">
        <v>48</v>
      </c>
      <c r="W107" s="13" t="s">
        <v>34</v>
      </c>
      <c r="X107" s="13" t="s">
        <v>43</v>
      </c>
      <c r="Y107" s="13">
        <v>1</v>
      </c>
      <c r="Z107" s="13" t="s">
        <v>39</v>
      </c>
      <c r="AA107" s="13" t="s">
        <v>43</v>
      </c>
      <c r="AB107" s="13">
        <v>6</v>
      </c>
      <c r="AC107" s="13" t="s">
        <v>74</v>
      </c>
      <c r="AD107" s="13" t="s">
        <v>32</v>
      </c>
      <c r="AE107" s="13">
        <v>0.9</v>
      </c>
      <c r="AF107" s="21" t="s">
        <v>125</v>
      </c>
      <c r="AG107" s="13">
        <v>2014</v>
      </c>
      <c r="AH107" s="21" t="s">
        <v>126</v>
      </c>
      <c r="AI107" s="2">
        <v>51</v>
      </c>
      <c r="AJ107" s="2">
        <v>2</v>
      </c>
      <c r="AK107" s="2">
        <v>1.5</v>
      </c>
    </row>
    <row r="108" spans="1:37" x14ac:dyDescent="0.3">
      <c r="A108" s="11">
        <v>6.7174951966761602</v>
      </c>
      <c r="B108" s="11">
        <v>1098.18328808155</v>
      </c>
      <c r="C108" s="13" t="s">
        <v>33</v>
      </c>
      <c r="D108" s="13" t="s">
        <v>47</v>
      </c>
      <c r="E108" s="10" t="s">
        <v>170</v>
      </c>
      <c r="F108" s="13" t="s">
        <v>34</v>
      </c>
      <c r="G108" s="13">
        <v>0.46</v>
      </c>
      <c r="H108" s="13" t="s">
        <v>34</v>
      </c>
      <c r="I108" s="13" t="s">
        <v>34</v>
      </c>
      <c r="J108" s="13" t="s">
        <v>34</v>
      </c>
      <c r="K108" s="13" t="s">
        <v>34</v>
      </c>
      <c r="L108" s="13">
        <v>0</v>
      </c>
      <c r="M108" s="13">
        <v>48.5</v>
      </c>
      <c r="N108" s="13">
        <v>1610</v>
      </c>
      <c r="O108" s="13" t="s">
        <v>34</v>
      </c>
      <c r="P108" s="13" t="s">
        <v>34</v>
      </c>
      <c r="Q108" s="13" t="s">
        <v>34</v>
      </c>
      <c r="R108" s="13" t="s">
        <v>34</v>
      </c>
      <c r="S108" s="20">
        <f t="shared" si="1"/>
        <v>1.0000000000000001E-5</v>
      </c>
      <c r="T108" s="13" t="s">
        <v>36</v>
      </c>
      <c r="U108" s="13" t="s">
        <v>37</v>
      </c>
      <c r="V108" s="20" t="s">
        <v>48</v>
      </c>
      <c r="W108" s="13" t="s">
        <v>34</v>
      </c>
      <c r="X108" s="13" t="s">
        <v>43</v>
      </c>
      <c r="Y108" s="13">
        <v>1</v>
      </c>
      <c r="Z108" s="13" t="s">
        <v>39</v>
      </c>
      <c r="AA108" s="13" t="s">
        <v>43</v>
      </c>
      <c r="AB108" s="13">
        <v>6</v>
      </c>
      <c r="AC108" s="13" t="s">
        <v>75</v>
      </c>
      <c r="AD108" s="13" t="s">
        <v>32</v>
      </c>
      <c r="AE108" s="13">
        <v>0.9</v>
      </c>
      <c r="AF108" s="21" t="s">
        <v>125</v>
      </c>
      <c r="AG108" s="13">
        <v>2014</v>
      </c>
      <c r="AH108" s="21" t="s">
        <v>126</v>
      </c>
      <c r="AI108" s="2">
        <v>51</v>
      </c>
      <c r="AJ108" s="2">
        <v>2</v>
      </c>
      <c r="AK108" s="2">
        <v>1.5</v>
      </c>
    </row>
    <row r="109" spans="1:37" x14ac:dyDescent="0.3">
      <c r="A109" s="11">
        <v>7.18135131198368</v>
      </c>
      <c r="B109" s="11">
        <v>1270.6149664422398</v>
      </c>
      <c r="C109" s="13" t="s">
        <v>33</v>
      </c>
      <c r="D109" s="13" t="s">
        <v>47</v>
      </c>
      <c r="E109" s="10" t="s">
        <v>170</v>
      </c>
      <c r="F109" s="13" t="s">
        <v>34</v>
      </c>
      <c r="G109" s="13">
        <v>0.46</v>
      </c>
      <c r="H109" s="13" t="s">
        <v>34</v>
      </c>
      <c r="I109" s="13" t="s">
        <v>34</v>
      </c>
      <c r="J109" s="13" t="s">
        <v>34</v>
      </c>
      <c r="K109" s="13" t="s">
        <v>34</v>
      </c>
      <c r="L109" s="13">
        <v>0</v>
      </c>
      <c r="M109" s="13">
        <v>48.5</v>
      </c>
      <c r="N109" s="13">
        <v>1610</v>
      </c>
      <c r="O109" s="13" t="s">
        <v>34</v>
      </c>
      <c r="P109" s="13" t="s">
        <v>34</v>
      </c>
      <c r="Q109" s="13" t="s">
        <v>34</v>
      </c>
      <c r="R109" s="13" t="s">
        <v>34</v>
      </c>
      <c r="S109" s="20">
        <f t="shared" si="1"/>
        <v>1.0000000000000001E-5</v>
      </c>
      <c r="T109" s="13" t="s">
        <v>36</v>
      </c>
      <c r="U109" s="13" t="s">
        <v>37</v>
      </c>
      <c r="V109" s="20" t="s">
        <v>48</v>
      </c>
      <c r="W109" s="13" t="s">
        <v>34</v>
      </c>
      <c r="X109" s="13" t="s">
        <v>43</v>
      </c>
      <c r="Y109" s="13">
        <v>1</v>
      </c>
      <c r="Z109" s="13" t="s">
        <v>39</v>
      </c>
      <c r="AA109" s="13" t="s">
        <v>43</v>
      </c>
      <c r="AB109" s="13">
        <v>6</v>
      </c>
      <c r="AC109" s="13" t="s">
        <v>76</v>
      </c>
      <c r="AD109" s="13" t="s">
        <v>32</v>
      </c>
      <c r="AE109" s="13">
        <v>0.9</v>
      </c>
      <c r="AF109" s="21" t="s">
        <v>125</v>
      </c>
      <c r="AG109" s="13">
        <v>2014</v>
      </c>
      <c r="AH109" s="21" t="s">
        <v>126</v>
      </c>
      <c r="AI109" s="2">
        <v>51</v>
      </c>
      <c r="AJ109" s="2">
        <v>2</v>
      </c>
      <c r="AK109" s="2">
        <v>1.5</v>
      </c>
    </row>
    <row r="110" spans="1:37" x14ac:dyDescent="0.3">
      <c r="A110" s="11">
        <v>7.4243044717730999</v>
      </c>
      <c r="B110" s="11">
        <v>1282.6095815052699</v>
      </c>
      <c r="C110" s="13" t="s">
        <v>33</v>
      </c>
      <c r="D110" s="13" t="s">
        <v>47</v>
      </c>
      <c r="E110" s="10" t="s">
        <v>170</v>
      </c>
      <c r="F110" s="13" t="s">
        <v>34</v>
      </c>
      <c r="G110" s="13">
        <v>0.46</v>
      </c>
      <c r="H110" s="13" t="s">
        <v>34</v>
      </c>
      <c r="I110" s="13" t="s">
        <v>34</v>
      </c>
      <c r="J110" s="13" t="s">
        <v>34</v>
      </c>
      <c r="K110" s="13" t="s">
        <v>34</v>
      </c>
      <c r="L110" s="13">
        <v>0</v>
      </c>
      <c r="M110" s="13">
        <v>48.5</v>
      </c>
      <c r="N110" s="13">
        <v>1610</v>
      </c>
      <c r="O110" s="13" t="s">
        <v>34</v>
      </c>
      <c r="P110" s="13" t="s">
        <v>34</v>
      </c>
      <c r="Q110" s="13" t="s">
        <v>34</v>
      </c>
      <c r="R110" s="13" t="s">
        <v>34</v>
      </c>
      <c r="S110" s="20">
        <f t="shared" si="1"/>
        <v>1.0000000000000001E-5</v>
      </c>
      <c r="T110" s="13" t="s">
        <v>36</v>
      </c>
      <c r="U110" s="13" t="s">
        <v>37</v>
      </c>
      <c r="V110" s="20" t="s">
        <v>48</v>
      </c>
      <c r="W110" s="13" t="s">
        <v>34</v>
      </c>
      <c r="X110" s="13" t="s">
        <v>43</v>
      </c>
      <c r="Y110" s="13">
        <v>1</v>
      </c>
      <c r="Z110" s="13" t="s">
        <v>39</v>
      </c>
      <c r="AA110" s="13" t="s">
        <v>43</v>
      </c>
      <c r="AB110" s="13">
        <v>6</v>
      </c>
      <c r="AC110" s="13" t="s">
        <v>77</v>
      </c>
      <c r="AD110" s="13" t="s">
        <v>32</v>
      </c>
      <c r="AE110" s="13">
        <v>0.9</v>
      </c>
      <c r="AF110" s="21" t="s">
        <v>125</v>
      </c>
      <c r="AG110" s="13">
        <v>2014</v>
      </c>
      <c r="AH110" s="21" t="s">
        <v>126</v>
      </c>
      <c r="AI110" s="2">
        <v>51</v>
      </c>
      <c r="AJ110" s="2">
        <v>2</v>
      </c>
      <c r="AK110" s="2">
        <v>1.5</v>
      </c>
    </row>
    <row r="111" spans="1:37" x14ac:dyDescent="0.3">
      <c r="A111" s="11">
        <v>7.7418274132800597</v>
      </c>
      <c r="B111" s="11">
        <v>1321.53755948257</v>
      </c>
      <c r="C111" s="13" t="s">
        <v>33</v>
      </c>
      <c r="D111" s="13" t="s">
        <v>47</v>
      </c>
      <c r="E111" s="10" t="s">
        <v>170</v>
      </c>
      <c r="F111" s="13" t="s">
        <v>34</v>
      </c>
      <c r="G111" s="13">
        <v>0.46</v>
      </c>
      <c r="H111" s="13" t="s">
        <v>34</v>
      </c>
      <c r="I111" s="13" t="s">
        <v>34</v>
      </c>
      <c r="J111" s="13" t="s">
        <v>34</v>
      </c>
      <c r="K111" s="13" t="s">
        <v>34</v>
      </c>
      <c r="L111" s="13">
        <v>0</v>
      </c>
      <c r="M111" s="13">
        <v>48.5</v>
      </c>
      <c r="N111" s="13">
        <v>1610</v>
      </c>
      <c r="O111" s="13" t="s">
        <v>34</v>
      </c>
      <c r="P111" s="13" t="s">
        <v>34</v>
      </c>
      <c r="Q111" s="13" t="s">
        <v>34</v>
      </c>
      <c r="R111" s="13" t="s">
        <v>34</v>
      </c>
      <c r="S111" s="20">
        <f t="shared" si="1"/>
        <v>1.0000000000000001E-5</v>
      </c>
      <c r="T111" s="13" t="s">
        <v>36</v>
      </c>
      <c r="U111" s="13" t="s">
        <v>37</v>
      </c>
      <c r="V111" s="20" t="s">
        <v>48</v>
      </c>
      <c r="W111" s="13" t="s">
        <v>34</v>
      </c>
      <c r="X111" s="13" t="s">
        <v>43</v>
      </c>
      <c r="Y111" s="13">
        <v>1</v>
      </c>
      <c r="Z111" s="13" t="s">
        <v>39</v>
      </c>
      <c r="AA111" s="13" t="s">
        <v>43</v>
      </c>
      <c r="AB111" s="13">
        <v>6</v>
      </c>
      <c r="AC111" s="13" t="s">
        <v>78</v>
      </c>
      <c r="AD111" s="13" t="s">
        <v>32</v>
      </c>
      <c r="AE111" s="13">
        <v>0.9</v>
      </c>
      <c r="AF111" s="21" t="s">
        <v>125</v>
      </c>
      <c r="AG111" s="13">
        <v>2014</v>
      </c>
      <c r="AH111" s="21" t="s">
        <v>126</v>
      </c>
      <c r="AI111" s="2">
        <v>51</v>
      </c>
      <c r="AJ111" s="2">
        <v>2</v>
      </c>
      <c r="AK111" s="2">
        <v>1.5</v>
      </c>
    </row>
    <row r="112" spans="1:37" x14ac:dyDescent="0.3">
      <c r="A112" s="11">
        <v>7.8652849740932602</v>
      </c>
      <c r="B112" s="11">
        <v>1351.1392431809099</v>
      </c>
      <c r="C112" s="13" t="s">
        <v>33</v>
      </c>
      <c r="D112" s="13" t="s">
        <v>47</v>
      </c>
      <c r="E112" s="10" t="s">
        <v>170</v>
      </c>
      <c r="F112" s="13" t="s">
        <v>34</v>
      </c>
      <c r="G112" s="13">
        <v>0.46</v>
      </c>
      <c r="H112" s="13" t="s">
        <v>34</v>
      </c>
      <c r="I112" s="13" t="s">
        <v>34</v>
      </c>
      <c r="J112" s="13" t="s">
        <v>34</v>
      </c>
      <c r="K112" s="13" t="s">
        <v>34</v>
      </c>
      <c r="L112" s="13">
        <v>0</v>
      </c>
      <c r="M112" s="13">
        <v>48.5</v>
      </c>
      <c r="N112" s="13">
        <v>1610</v>
      </c>
      <c r="O112" s="13" t="s">
        <v>34</v>
      </c>
      <c r="P112" s="13" t="s">
        <v>34</v>
      </c>
      <c r="Q112" s="13" t="s">
        <v>34</v>
      </c>
      <c r="R112" s="13" t="s">
        <v>34</v>
      </c>
      <c r="S112" s="20">
        <f t="shared" si="1"/>
        <v>1.0000000000000001E-5</v>
      </c>
      <c r="T112" s="13" t="s">
        <v>36</v>
      </c>
      <c r="U112" s="13" t="s">
        <v>37</v>
      </c>
      <c r="V112" s="20" t="s">
        <v>48</v>
      </c>
      <c r="W112" s="13" t="s">
        <v>34</v>
      </c>
      <c r="X112" s="13" t="s">
        <v>43</v>
      </c>
      <c r="Y112" s="13">
        <v>1</v>
      </c>
      <c r="Z112" s="13" t="s">
        <v>39</v>
      </c>
      <c r="AA112" s="13" t="s">
        <v>43</v>
      </c>
      <c r="AB112" s="13">
        <v>6</v>
      </c>
      <c r="AC112" s="13" t="s">
        <v>79</v>
      </c>
      <c r="AD112" s="13" t="s">
        <v>32</v>
      </c>
      <c r="AE112" s="13">
        <v>0.9</v>
      </c>
      <c r="AF112" s="21" t="s">
        <v>125</v>
      </c>
      <c r="AG112" s="13">
        <v>2014</v>
      </c>
      <c r="AH112" s="21" t="s">
        <v>126</v>
      </c>
      <c r="AI112" s="2">
        <v>51</v>
      </c>
      <c r="AJ112" s="2">
        <v>2</v>
      </c>
      <c r="AK112" s="2">
        <v>1.5</v>
      </c>
    </row>
    <row r="113" spans="1:37" x14ac:dyDescent="0.3">
      <c r="A113" s="11">
        <v>8.0164526846591802</v>
      </c>
      <c r="B113" s="11">
        <v>1346.0719993842301</v>
      </c>
      <c r="C113" s="13" t="s">
        <v>33</v>
      </c>
      <c r="D113" s="13" t="s">
        <v>47</v>
      </c>
      <c r="E113" s="10" t="s">
        <v>170</v>
      </c>
      <c r="F113" s="13" t="s">
        <v>34</v>
      </c>
      <c r="G113" s="13">
        <v>0.46</v>
      </c>
      <c r="H113" s="13" t="s">
        <v>34</v>
      </c>
      <c r="I113" s="13" t="s">
        <v>34</v>
      </c>
      <c r="J113" s="13" t="s">
        <v>34</v>
      </c>
      <c r="K113" s="13" t="s">
        <v>34</v>
      </c>
      <c r="L113" s="13">
        <v>0</v>
      </c>
      <c r="M113" s="13">
        <v>48.5</v>
      </c>
      <c r="N113" s="13">
        <v>1610</v>
      </c>
      <c r="O113" s="13" t="s">
        <v>34</v>
      </c>
      <c r="P113" s="13" t="s">
        <v>34</v>
      </c>
      <c r="Q113" s="13" t="s">
        <v>34</v>
      </c>
      <c r="R113" s="13" t="s">
        <v>34</v>
      </c>
      <c r="S113" s="20">
        <f t="shared" si="1"/>
        <v>1.0000000000000001E-5</v>
      </c>
      <c r="T113" s="13" t="s">
        <v>36</v>
      </c>
      <c r="U113" s="13" t="s">
        <v>37</v>
      </c>
      <c r="V113" s="20" t="s">
        <v>48</v>
      </c>
      <c r="W113" s="13" t="s">
        <v>34</v>
      </c>
      <c r="X113" s="13" t="s">
        <v>43</v>
      </c>
      <c r="Y113" s="13">
        <v>1</v>
      </c>
      <c r="Z113" s="13" t="s">
        <v>39</v>
      </c>
      <c r="AA113" s="13" t="s">
        <v>43</v>
      </c>
      <c r="AB113" s="13">
        <v>6</v>
      </c>
      <c r="AC113" s="13" t="s">
        <v>80</v>
      </c>
      <c r="AD113" s="13" t="s">
        <v>32</v>
      </c>
      <c r="AE113" s="13">
        <v>0.9</v>
      </c>
      <c r="AF113" s="21" t="s">
        <v>125</v>
      </c>
      <c r="AG113" s="13">
        <v>2014</v>
      </c>
      <c r="AH113" s="21" t="s">
        <v>126</v>
      </c>
      <c r="AI113" s="2">
        <v>51</v>
      </c>
      <c r="AJ113" s="2">
        <v>2</v>
      </c>
      <c r="AK113" s="2">
        <v>1.5</v>
      </c>
    </row>
    <row r="114" spans="1:37" x14ac:dyDescent="0.3">
      <c r="A114" s="11">
        <v>8.5524731048546503</v>
      </c>
      <c r="B114" s="11">
        <v>1381.54698211611</v>
      </c>
      <c r="C114" s="13" t="s">
        <v>33</v>
      </c>
      <c r="D114" s="13" t="s">
        <v>47</v>
      </c>
      <c r="E114" s="10" t="s">
        <v>170</v>
      </c>
      <c r="F114" s="13" t="s">
        <v>34</v>
      </c>
      <c r="G114" s="13">
        <v>0.46</v>
      </c>
      <c r="H114" s="13" t="s">
        <v>34</v>
      </c>
      <c r="I114" s="13" t="s">
        <v>34</v>
      </c>
      <c r="J114" s="13" t="s">
        <v>34</v>
      </c>
      <c r="K114" s="13" t="s">
        <v>34</v>
      </c>
      <c r="L114" s="13">
        <v>0</v>
      </c>
      <c r="M114" s="13">
        <v>48.5</v>
      </c>
      <c r="N114" s="13">
        <v>1610</v>
      </c>
      <c r="O114" s="13" t="s">
        <v>34</v>
      </c>
      <c r="P114" s="13" t="s">
        <v>34</v>
      </c>
      <c r="Q114" s="13" t="s">
        <v>34</v>
      </c>
      <c r="R114" s="13" t="s">
        <v>34</v>
      </c>
      <c r="S114" s="20">
        <f t="shared" si="1"/>
        <v>1.0000000000000001E-5</v>
      </c>
      <c r="T114" s="13" t="s">
        <v>36</v>
      </c>
      <c r="U114" s="13" t="s">
        <v>37</v>
      </c>
      <c r="V114" s="20" t="s">
        <v>48</v>
      </c>
      <c r="W114" s="13" t="s">
        <v>34</v>
      </c>
      <c r="X114" s="13" t="s">
        <v>43</v>
      </c>
      <c r="Y114" s="13">
        <v>1</v>
      </c>
      <c r="Z114" s="13" t="s">
        <v>39</v>
      </c>
      <c r="AA114" s="13" t="s">
        <v>43</v>
      </c>
      <c r="AB114" s="13">
        <v>6</v>
      </c>
      <c r="AC114" s="13" t="s">
        <v>81</v>
      </c>
      <c r="AD114" s="13" t="s">
        <v>32</v>
      </c>
      <c r="AE114" s="13">
        <v>0.9</v>
      </c>
      <c r="AF114" s="21" t="s">
        <v>125</v>
      </c>
      <c r="AG114" s="13">
        <v>2014</v>
      </c>
      <c r="AH114" s="21" t="s">
        <v>126</v>
      </c>
      <c r="AI114" s="2">
        <v>51</v>
      </c>
      <c r="AJ114" s="2">
        <v>2</v>
      </c>
      <c r="AK114" s="2">
        <v>1.5</v>
      </c>
    </row>
    <row r="115" spans="1:37" x14ac:dyDescent="0.3">
      <c r="A115" s="11">
        <v>8.7856325375521305</v>
      </c>
      <c r="B115" s="11">
        <v>1385.4828774484799</v>
      </c>
      <c r="C115" s="13" t="s">
        <v>33</v>
      </c>
      <c r="D115" s="13" t="s">
        <v>47</v>
      </c>
      <c r="E115" s="10" t="s">
        <v>170</v>
      </c>
      <c r="F115" s="13" t="s">
        <v>34</v>
      </c>
      <c r="G115" s="13">
        <v>0.46</v>
      </c>
      <c r="H115" s="13" t="s">
        <v>34</v>
      </c>
      <c r="I115" s="13" t="s">
        <v>34</v>
      </c>
      <c r="J115" s="13" t="s">
        <v>34</v>
      </c>
      <c r="K115" s="13" t="s">
        <v>34</v>
      </c>
      <c r="L115" s="13">
        <v>0</v>
      </c>
      <c r="M115" s="13">
        <v>48.5</v>
      </c>
      <c r="N115" s="13">
        <v>1610</v>
      </c>
      <c r="O115" s="13" t="s">
        <v>34</v>
      </c>
      <c r="P115" s="13" t="s">
        <v>34</v>
      </c>
      <c r="Q115" s="13" t="s">
        <v>34</v>
      </c>
      <c r="R115" s="13" t="s">
        <v>34</v>
      </c>
      <c r="S115" s="20">
        <f t="shared" si="1"/>
        <v>1.0000000000000001E-5</v>
      </c>
      <c r="T115" s="13" t="s">
        <v>36</v>
      </c>
      <c r="U115" s="13" t="s">
        <v>37</v>
      </c>
      <c r="V115" s="20" t="s">
        <v>48</v>
      </c>
      <c r="W115" s="13" t="s">
        <v>34</v>
      </c>
      <c r="X115" s="13" t="s">
        <v>43</v>
      </c>
      <c r="Y115" s="13">
        <v>1</v>
      </c>
      <c r="Z115" s="13" t="s">
        <v>39</v>
      </c>
      <c r="AA115" s="13" t="s">
        <v>43</v>
      </c>
      <c r="AB115" s="13">
        <v>6</v>
      </c>
      <c r="AC115" s="13" t="s">
        <v>82</v>
      </c>
      <c r="AD115" s="13" t="s">
        <v>32</v>
      </c>
      <c r="AE115" s="13">
        <v>0.9</v>
      </c>
      <c r="AF115" s="21" t="s">
        <v>125</v>
      </c>
      <c r="AG115" s="13">
        <v>2014</v>
      </c>
      <c r="AH115" s="21" t="s">
        <v>126</v>
      </c>
      <c r="AI115" s="2">
        <v>51</v>
      </c>
      <c r="AJ115" s="2">
        <v>2</v>
      </c>
      <c r="AK115" s="2">
        <v>1.5</v>
      </c>
    </row>
    <row r="116" spans="1:37" x14ac:dyDescent="0.3">
      <c r="A116" s="11">
        <v>9.08167800736625</v>
      </c>
      <c r="B116" s="11">
        <v>1434.50502498532</v>
      </c>
      <c r="C116" s="13" t="s">
        <v>33</v>
      </c>
      <c r="D116" s="13" t="s">
        <v>47</v>
      </c>
      <c r="E116" s="10" t="s">
        <v>170</v>
      </c>
      <c r="F116" s="13" t="s">
        <v>34</v>
      </c>
      <c r="G116" s="13">
        <v>0.46</v>
      </c>
      <c r="H116" s="13" t="s">
        <v>34</v>
      </c>
      <c r="I116" s="13" t="s">
        <v>34</v>
      </c>
      <c r="J116" s="13" t="s">
        <v>34</v>
      </c>
      <c r="K116" s="13" t="s">
        <v>34</v>
      </c>
      <c r="L116" s="13">
        <v>0</v>
      </c>
      <c r="M116" s="13">
        <v>48.5</v>
      </c>
      <c r="N116" s="13">
        <v>1610</v>
      </c>
      <c r="O116" s="13" t="s">
        <v>34</v>
      </c>
      <c r="P116" s="13" t="s">
        <v>34</v>
      </c>
      <c r="Q116" s="13" t="s">
        <v>34</v>
      </c>
      <c r="R116" s="13" t="s">
        <v>34</v>
      </c>
      <c r="S116" s="20">
        <f t="shared" si="1"/>
        <v>1.0000000000000001E-5</v>
      </c>
      <c r="T116" s="13" t="s">
        <v>36</v>
      </c>
      <c r="U116" s="13" t="s">
        <v>37</v>
      </c>
      <c r="V116" s="20" t="s">
        <v>48</v>
      </c>
      <c r="W116" s="13" t="s">
        <v>34</v>
      </c>
      <c r="X116" s="13" t="s">
        <v>43</v>
      </c>
      <c r="Y116" s="13">
        <v>1</v>
      </c>
      <c r="Z116" s="13" t="s">
        <v>39</v>
      </c>
      <c r="AA116" s="13" t="s">
        <v>43</v>
      </c>
      <c r="AB116" s="13">
        <v>6</v>
      </c>
      <c r="AC116" s="13" t="s">
        <v>83</v>
      </c>
      <c r="AD116" s="13" t="s">
        <v>32</v>
      </c>
      <c r="AE116" s="13">
        <v>0.9</v>
      </c>
      <c r="AF116" s="21" t="s">
        <v>125</v>
      </c>
      <c r="AG116" s="13">
        <v>2014</v>
      </c>
      <c r="AH116" s="21" t="s">
        <v>126</v>
      </c>
      <c r="AI116" s="2">
        <v>51</v>
      </c>
      <c r="AJ116" s="2">
        <v>2</v>
      </c>
      <c r="AK116" s="2">
        <v>1.5</v>
      </c>
    </row>
    <row r="117" spans="1:37" x14ac:dyDescent="0.3">
      <c r="A117" s="11">
        <v>9.3246311671556601</v>
      </c>
      <c r="B117" s="11">
        <v>1449.1287627439899</v>
      </c>
      <c r="C117" s="13" t="s">
        <v>33</v>
      </c>
      <c r="D117" s="13" t="s">
        <v>47</v>
      </c>
      <c r="E117" s="10" t="s">
        <v>170</v>
      </c>
      <c r="F117" s="13" t="s">
        <v>34</v>
      </c>
      <c r="G117" s="13">
        <v>0.46</v>
      </c>
      <c r="H117" s="13" t="s">
        <v>34</v>
      </c>
      <c r="I117" s="13" t="s">
        <v>34</v>
      </c>
      <c r="J117" s="13" t="s">
        <v>34</v>
      </c>
      <c r="K117" s="13" t="s">
        <v>34</v>
      </c>
      <c r="L117" s="13">
        <v>0</v>
      </c>
      <c r="M117" s="13">
        <v>48.5</v>
      </c>
      <c r="N117" s="13">
        <v>1610</v>
      </c>
      <c r="O117" s="13" t="s">
        <v>34</v>
      </c>
      <c r="P117" s="13" t="s">
        <v>34</v>
      </c>
      <c r="Q117" s="13" t="s">
        <v>34</v>
      </c>
      <c r="R117" s="13" t="s">
        <v>34</v>
      </c>
      <c r="S117" s="20">
        <f t="shared" si="1"/>
        <v>1.0000000000000001E-5</v>
      </c>
      <c r="T117" s="13" t="s">
        <v>36</v>
      </c>
      <c r="U117" s="13" t="s">
        <v>37</v>
      </c>
      <c r="V117" s="20" t="s">
        <v>48</v>
      </c>
      <c r="W117" s="13" t="s">
        <v>34</v>
      </c>
      <c r="X117" s="13" t="s">
        <v>43</v>
      </c>
      <c r="Y117" s="13">
        <v>1</v>
      </c>
      <c r="Z117" s="13" t="s">
        <v>39</v>
      </c>
      <c r="AA117" s="13" t="s">
        <v>43</v>
      </c>
      <c r="AB117" s="13">
        <v>6</v>
      </c>
      <c r="AC117" s="13" t="s">
        <v>84</v>
      </c>
      <c r="AD117" s="13" t="s">
        <v>32</v>
      </c>
      <c r="AE117" s="13">
        <v>0.9</v>
      </c>
      <c r="AF117" s="21" t="s">
        <v>125</v>
      </c>
      <c r="AG117" s="13">
        <v>2014</v>
      </c>
      <c r="AH117" s="21" t="s">
        <v>126</v>
      </c>
      <c r="AI117" s="2">
        <v>51</v>
      </c>
      <c r="AJ117" s="2">
        <v>2</v>
      </c>
      <c r="AK117" s="2">
        <v>1.5</v>
      </c>
    </row>
    <row r="118" spans="1:37" x14ac:dyDescent="0.3">
      <c r="A118" s="11">
        <v>9.4390763532407806</v>
      </c>
      <c r="B118" s="11">
        <v>1402.1866670567399</v>
      </c>
      <c r="C118" s="13" t="s">
        <v>33</v>
      </c>
      <c r="D118" s="13" t="s">
        <v>47</v>
      </c>
      <c r="E118" s="10" t="s">
        <v>170</v>
      </c>
      <c r="F118" s="13" t="s">
        <v>34</v>
      </c>
      <c r="G118" s="13">
        <v>0.46</v>
      </c>
      <c r="H118" s="13" t="s">
        <v>34</v>
      </c>
      <c r="I118" s="13" t="s">
        <v>34</v>
      </c>
      <c r="J118" s="13" t="s">
        <v>34</v>
      </c>
      <c r="K118" s="13" t="s">
        <v>34</v>
      </c>
      <c r="L118" s="13">
        <v>0</v>
      </c>
      <c r="M118" s="13">
        <v>48.5</v>
      </c>
      <c r="N118" s="13">
        <v>1610</v>
      </c>
      <c r="O118" s="13" t="s">
        <v>34</v>
      </c>
      <c r="P118" s="13" t="s">
        <v>34</v>
      </c>
      <c r="Q118" s="13" t="s">
        <v>34</v>
      </c>
      <c r="R118" s="13" t="s">
        <v>34</v>
      </c>
      <c r="S118" s="20">
        <f t="shared" si="1"/>
        <v>1.0000000000000001E-5</v>
      </c>
      <c r="T118" s="13" t="s">
        <v>36</v>
      </c>
      <c r="U118" s="13" t="s">
        <v>37</v>
      </c>
      <c r="V118" s="20" t="s">
        <v>48</v>
      </c>
      <c r="W118" s="13" t="s">
        <v>34</v>
      </c>
      <c r="X118" s="13" t="s">
        <v>43</v>
      </c>
      <c r="Y118" s="13">
        <v>1</v>
      </c>
      <c r="Z118" s="13" t="s">
        <v>39</v>
      </c>
      <c r="AA118" s="13" t="s">
        <v>43</v>
      </c>
      <c r="AB118" s="13">
        <v>6</v>
      </c>
      <c r="AC118" s="13" t="s">
        <v>85</v>
      </c>
      <c r="AD118" s="13" t="s">
        <v>32</v>
      </c>
      <c r="AE118" s="13">
        <v>0.9</v>
      </c>
      <c r="AF118" s="21" t="s">
        <v>125</v>
      </c>
      <c r="AG118" s="13">
        <v>2014</v>
      </c>
      <c r="AH118" s="21" t="s">
        <v>126</v>
      </c>
      <c r="AI118" s="2">
        <v>51</v>
      </c>
      <c r="AJ118" s="2">
        <v>2</v>
      </c>
      <c r="AK118" s="2">
        <v>1.5</v>
      </c>
    </row>
    <row r="119" spans="1:37" x14ac:dyDescent="0.3">
      <c r="A119" s="11">
        <v>9.4677570385167602</v>
      </c>
      <c r="B119" s="11">
        <v>1505.27325385721</v>
      </c>
      <c r="C119" s="13" t="s">
        <v>33</v>
      </c>
      <c r="D119" s="13" t="s">
        <v>47</v>
      </c>
      <c r="E119" s="10" t="s">
        <v>170</v>
      </c>
      <c r="F119" s="13" t="s">
        <v>34</v>
      </c>
      <c r="G119" s="13">
        <v>0.46</v>
      </c>
      <c r="H119" s="13" t="s">
        <v>34</v>
      </c>
      <c r="I119" s="13" t="s">
        <v>34</v>
      </c>
      <c r="J119" s="13" t="s">
        <v>34</v>
      </c>
      <c r="K119" s="13" t="s">
        <v>34</v>
      </c>
      <c r="L119" s="13">
        <v>0</v>
      </c>
      <c r="M119" s="13">
        <v>48.5</v>
      </c>
      <c r="N119" s="13">
        <v>1610</v>
      </c>
      <c r="O119" s="13" t="s">
        <v>34</v>
      </c>
      <c r="P119" s="13" t="s">
        <v>34</v>
      </c>
      <c r="Q119" s="13" t="s">
        <v>34</v>
      </c>
      <c r="R119" s="13" t="s">
        <v>34</v>
      </c>
      <c r="S119" s="20">
        <f t="shared" si="1"/>
        <v>1.0000000000000001E-5</v>
      </c>
      <c r="T119" s="13" t="s">
        <v>36</v>
      </c>
      <c r="U119" s="13" t="s">
        <v>37</v>
      </c>
      <c r="V119" s="20" t="s">
        <v>48</v>
      </c>
      <c r="W119" s="13" t="s">
        <v>34</v>
      </c>
      <c r="X119" s="13" t="s">
        <v>43</v>
      </c>
      <c r="Y119" s="13">
        <v>1</v>
      </c>
      <c r="Z119" s="13" t="s">
        <v>39</v>
      </c>
      <c r="AA119" s="13" t="s">
        <v>43</v>
      </c>
      <c r="AB119" s="13">
        <v>6</v>
      </c>
      <c r="AC119" s="13" t="s">
        <v>86</v>
      </c>
      <c r="AD119" s="13" t="s">
        <v>32</v>
      </c>
      <c r="AE119" s="13">
        <v>0.9</v>
      </c>
      <c r="AF119" s="21" t="s">
        <v>125</v>
      </c>
      <c r="AG119" s="13">
        <v>2014</v>
      </c>
      <c r="AH119" s="21" t="s">
        <v>126</v>
      </c>
      <c r="AI119" s="2">
        <v>51</v>
      </c>
      <c r="AJ119" s="2">
        <v>2</v>
      </c>
      <c r="AK119" s="2">
        <v>1.5</v>
      </c>
    </row>
    <row r="120" spans="1:37" x14ac:dyDescent="0.3">
      <c r="A120" s="11">
        <v>9.5702761700639201</v>
      </c>
      <c r="B120" s="11">
        <v>1907.0149713580199</v>
      </c>
      <c r="C120" s="13" t="s">
        <v>33</v>
      </c>
      <c r="D120" s="13" t="s">
        <v>47</v>
      </c>
      <c r="E120" s="10" t="s">
        <v>170</v>
      </c>
      <c r="F120" s="13" t="s">
        <v>34</v>
      </c>
      <c r="G120" s="13">
        <v>0.46</v>
      </c>
      <c r="H120" s="13" t="s">
        <v>34</v>
      </c>
      <c r="I120" s="13" t="s">
        <v>34</v>
      </c>
      <c r="J120" s="13" t="s">
        <v>34</v>
      </c>
      <c r="K120" s="13" t="s">
        <v>34</v>
      </c>
      <c r="L120" s="13">
        <v>0</v>
      </c>
      <c r="M120" s="13">
        <v>48.5</v>
      </c>
      <c r="N120" s="13">
        <v>1610</v>
      </c>
      <c r="O120" s="13" t="s">
        <v>34</v>
      </c>
      <c r="P120" s="13" t="s">
        <v>34</v>
      </c>
      <c r="Q120" s="13" t="s">
        <v>34</v>
      </c>
      <c r="R120" s="13" t="s">
        <v>34</v>
      </c>
      <c r="S120" s="20">
        <f t="shared" si="1"/>
        <v>1.0000000000000001E-5</v>
      </c>
      <c r="T120" s="13" t="s">
        <v>36</v>
      </c>
      <c r="U120" s="13" t="s">
        <v>37</v>
      </c>
      <c r="V120" s="20" t="s">
        <v>48</v>
      </c>
      <c r="W120" s="13" t="s">
        <v>34</v>
      </c>
      <c r="X120" s="13" t="s">
        <v>43</v>
      </c>
      <c r="Y120" s="13">
        <v>1</v>
      </c>
      <c r="Z120" s="13" t="s">
        <v>39</v>
      </c>
      <c r="AA120" s="13" t="s">
        <v>43</v>
      </c>
      <c r="AB120" s="13">
        <v>6</v>
      </c>
      <c r="AC120" s="13" t="s">
        <v>87</v>
      </c>
      <c r="AD120" s="13" t="s">
        <v>32</v>
      </c>
      <c r="AE120" s="13">
        <v>0.9</v>
      </c>
      <c r="AF120" s="21" t="s">
        <v>125</v>
      </c>
      <c r="AG120" s="13">
        <v>2014</v>
      </c>
      <c r="AH120" s="21" t="s">
        <v>126</v>
      </c>
      <c r="AI120" s="2">
        <v>51</v>
      </c>
      <c r="AJ120" s="2">
        <v>2</v>
      </c>
      <c r="AK120" s="2">
        <v>1.5</v>
      </c>
    </row>
    <row r="121" spans="1:37" x14ac:dyDescent="0.3">
      <c r="A121" s="11">
        <v>9.7323594897725592</v>
      </c>
      <c r="B121" s="11">
        <v>1915.27100510271</v>
      </c>
      <c r="C121" s="13" t="s">
        <v>33</v>
      </c>
      <c r="D121" s="13" t="s">
        <v>47</v>
      </c>
      <c r="E121" s="10" t="s">
        <v>170</v>
      </c>
      <c r="F121" s="13" t="s">
        <v>34</v>
      </c>
      <c r="G121" s="13">
        <v>0.46</v>
      </c>
      <c r="H121" s="13" t="s">
        <v>34</v>
      </c>
      <c r="I121" s="13" t="s">
        <v>34</v>
      </c>
      <c r="J121" s="13" t="s">
        <v>34</v>
      </c>
      <c r="K121" s="13" t="s">
        <v>34</v>
      </c>
      <c r="L121" s="13">
        <v>0</v>
      </c>
      <c r="M121" s="13">
        <v>48.5</v>
      </c>
      <c r="N121" s="13">
        <v>1610</v>
      </c>
      <c r="O121" s="13" t="s">
        <v>34</v>
      </c>
      <c r="P121" s="13" t="s">
        <v>34</v>
      </c>
      <c r="Q121" s="13" t="s">
        <v>34</v>
      </c>
      <c r="R121" s="13" t="s">
        <v>34</v>
      </c>
      <c r="S121" s="20">
        <f t="shared" si="1"/>
        <v>1.0000000000000001E-5</v>
      </c>
      <c r="T121" s="13" t="s">
        <v>36</v>
      </c>
      <c r="U121" s="13" t="s">
        <v>37</v>
      </c>
      <c r="V121" s="20" t="s">
        <v>48</v>
      </c>
      <c r="W121" s="13" t="s">
        <v>34</v>
      </c>
      <c r="X121" s="13" t="s">
        <v>43</v>
      </c>
      <c r="Y121" s="13">
        <v>1</v>
      </c>
      <c r="Z121" s="13" t="s">
        <v>39</v>
      </c>
      <c r="AA121" s="13" t="s">
        <v>43</v>
      </c>
      <c r="AB121" s="13">
        <v>6</v>
      </c>
      <c r="AC121" s="13" t="s">
        <v>88</v>
      </c>
      <c r="AD121" s="13" t="s">
        <v>32</v>
      </c>
      <c r="AE121" s="13">
        <v>0.9</v>
      </c>
      <c r="AF121" s="21" t="s">
        <v>125</v>
      </c>
      <c r="AG121" s="13">
        <v>2014</v>
      </c>
      <c r="AH121" s="21" t="s">
        <v>126</v>
      </c>
      <c r="AI121" s="2">
        <v>51</v>
      </c>
      <c r="AJ121" s="2">
        <v>2</v>
      </c>
      <c r="AK121" s="2">
        <v>1.5</v>
      </c>
    </row>
    <row r="122" spans="1:37" x14ac:dyDescent="0.3">
      <c r="A122" s="11">
        <v>10.1277597436377</v>
      </c>
      <c r="B122" s="11">
        <v>1786.7378005067999</v>
      </c>
      <c r="C122" s="13" t="s">
        <v>33</v>
      </c>
      <c r="D122" s="13" t="s">
        <v>47</v>
      </c>
      <c r="E122" s="10" t="s">
        <v>170</v>
      </c>
      <c r="F122" s="13" t="s">
        <v>34</v>
      </c>
      <c r="G122" s="13">
        <v>0.46</v>
      </c>
      <c r="H122" s="13" t="s">
        <v>34</v>
      </c>
      <c r="I122" s="13" t="s">
        <v>34</v>
      </c>
      <c r="J122" s="13" t="s">
        <v>34</v>
      </c>
      <c r="K122" s="13" t="s">
        <v>34</v>
      </c>
      <c r="L122" s="13">
        <v>0</v>
      </c>
      <c r="M122" s="13">
        <v>48.5</v>
      </c>
      <c r="N122" s="13">
        <v>1610</v>
      </c>
      <c r="O122" s="13" t="s">
        <v>34</v>
      </c>
      <c r="P122" s="13" t="s">
        <v>34</v>
      </c>
      <c r="Q122" s="13" t="s">
        <v>34</v>
      </c>
      <c r="R122" s="13" t="s">
        <v>34</v>
      </c>
      <c r="S122" s="20">
        <f t="shared" si="1"/>
        <v>1.0000000000000001E-5</v>
      </c>
      <c r="T122" s="13" t="s">
        <v>36</v>
      </c>
      <c r="U122" s="13" t="s">
        <v>37</v>
      </c>
      <c r="V122" s="20" t="s">
        <v>48</v>
      </c>
      <c r="W122" s="13" t="s">
        <v>34</v>
      </c>
      <c r="X122" s="13" t="s">
        <v>43</v>
      </c>
      <c r="Y122" s="13">
        <v>1</v>
      </c>
      <c r="Z122" s="13" t="s">
        <v>39</v>
      </c>
      <c r="AA122" s="13" t="s">
        <v>43</v>
      </c>
      <c r="AB122" s="13">
        <v>6</v>
      </c>
      <c r="AC122" s="13" t="s">
        <v>89</v>
      </c>
      <c r="AD122" s="13" t="s">
        <v>32</v>
      </c>
      <c r="AE122" s="13">
        <v>0.9</v>
      </c>
      <c r="AF122" s="21" t="s">
        <v>125</v>
      </c>
      <c r="AG122" s="13">
        <v>2014</v>
      </c>
      <c r="AH122" s="21" t="s">
        <v>126</v>
      </c>
      <c r="AI122" s="2">
        <v>51</v>
      </c>
      <c r="AJ122" s="2">
        <v>2</v>
      </c>
      <c r="AK122" s="2">
        <v>1.5</v>
      </c>
    </row>
    <row r="123" spans="1:37" x14ac:dyDescent="0.3">
      <c r="A123" s="11">
        <v>10.1925651884877</v>
      </c>
      <c r="B123" s="11">
        <v>1929.6760212788799</v>
      </c>
      <c r="C123" s="13" t="s">
        <v>33</v>
      </c>
      <c r="D123" s="13" t="s">
        <v>47</v>
      </c>
      <c r="E123" s="10" t="s">
        <v>170</v>
      </c>
      <c r="F123" s="13" t="s">
        <v>34</v>
      </c>
      <c r="G123" s="13">
        <v>0.46</v>
      </c>
      <c r="H123" s="13" t="s">
        <v>34</v>
      </c>
      <c r="I123" s="13" t="s">
        <v>34</v>
      </c>
      <c r="J123" s="13" t="s">
        <v>34</v>
      </c>
      <c r="K123" s="13" t="s">
        <v>34</v>
      </c>
      <c r="L123" s="13">
        <v>0</v>
      </c>
      <c r="M123" s="13">
        <v>48.5</v>
      </c>
      <c r="N123" s="13">
        <v>1610</v>
      </c>
      <c r="O123" s="13" t="s">
        <v>34</v>
      </c>
      <c r="P123" s="13" t="s">
        <v>34</v>
      </c>
      <c r="Q123" s="13" t="s">
        <v>34</v>
      </c>
      <c r="R123" s="13" t="s">
        <v>34</v>
      </c>
      <c r="S123" s="20">
        <f t="shared" si="1"/>
        <v>1.0000000000000001E-5</v>
      </c>
      <c r="T123" s="13" t="s">
        <v>36</v>
      </c>
      <c r="U123" s="13" t="s">
        <v>37</v>
      </c>
      <c r="V123" s="20" t="s">
        <v>48</v>
      </c>
      <c r="W123" s="13" t="s">
        <v>34</v>
      </c>
      <c r="X123" s="13" t="s">
        <v>43</v>
      </c>
      <c r="Y123" s="13">
        <v>1</v>
      </c>
      <c r="Z123" s="13" t="s">
        <v>39</v>
      </c>
      <c r="AA123" s="13" t="s">
        <v>43</v>
      </c>
      <c r="AB123" s="13">
        <v>6</v>
      </c>
      <c r="AC123" s="13" t="s">
        <v>90</v>
      </c>
      <c r="AD123" s="13" t="s">
        <v>32</v>
      </c>
      <c r="AE123" s="13">
        <v>0.9</v>
      </c>
      <c r="AF123" s="21" t="s">
        <v>125</v>
      </c>
      <c r="AG123" s="13">
        <v>2014</v>
      </c>
      <c r="AH123" s="21" t="s">
        <v>126</v>
      </c>
      <c r="AI123" s="2">
        <v>51</v>
      </c>
      <c r="AJ123" s="2">
        <v>2</v>
      </c>
      <c r="AK123" s="2">
        <v>1.5</v>
      </c>
    </row>
    <row r="124" spans="1:37" x14ac:dyDescent="0.3">
      <c r="A124" s="11">
        <v>10.278402730091299</v>
      </c>
      <c r="B124" s="11">
        <v>1783.33023940934</v>
      </c>
      <c r="C124" s="13" t="s">
        <v>33</v>
      </c>
      <c r="D124" s="13" t="s">
        <v>47</v>
      </c>
      <c r="E124" s="10" t="s">
        <v>170</v>
      </c>
      <c r="F124" s="13" t="s">
        <v>34</v>
      </c>
      <c r="G124" s="13">
        <v>0.46</v>
      </c>
      <c r="H124" s="13" t="s">
        <v>34</v>
      </c>
      <c r="I124" s="13" t="s">
        <v>34</v>
      </c>
      <c r="J124" s="13" t="s">
        <v>34</v>
      </c>
      <c r="K124" s="13" t="s">
        <v>34</v>
      </c>
      <c r="L124" s="13">
        <v>0</v>
      </c>
      <c r="M124" s="13">
        <v>48.5</v>
      </c>
      <c r="N124" s="13">
        <v>1610</v>
      </c>
      <c r="O124" s="13" t="s">
        <v>34</v>
      </c>
      <c r="P124" s="13" t="s">
        <v>34</v>
      </c>
      <c r="Q124" s="13" t="s">
        <v>34</v>
      </c>
      <c r="R124" s="13" t="s">
        <v>34</v>
      </c>
      <c r="S124" s="20">
        <f t="shared" si="1"/>
        <v>1.0000000000000001E-5</v>
      </c>
      <c r="T124" s="13" t="s">
        <v>36</v>
      </c>
      <c r="U124" s="13" t="s">
        <v>37</v>
      </c>
      <c r="V124" s="20" t="s">
        <v>48</v>
      </c>
      <c r="W124" s="13" t="s">
        <v>34</v>
      </c>
      <c r="X124" s="13" t="s">
        <v>43</v>
      </c>
      <c r="Y124" s="13">
        <v>1</v>
      </c>
      <c r="Z124" s="13" t="s">
        <v>39</v>
      </c>
      <c r="AA124" s="13" t="s">
        <v>43</v>
      </c>
      <c r="AB124" s="13">
        <v>6</v>
      </c>
      <c r="AC124" s="13" t="s">
        <v>91</v>
      </c>
      <c r="AD124" s="13" t="s">
        <v>32</v>
      </c>
      <c r="AE124" s="13">
        <v>0.9</v>
      </c>
      <c r="AF124" s="21" t="s">
        <v>125</v>
      </c>
      <c r="AG124" s="13">
        <v>2014</v>
      </c>
      <c r="AH124" s="21" t="s">
        <v>126</v>
      </c>
      <c r="AI124" s="2">
        <v>51</v>
      </c>
      <c r="AJ124" s="2">
        <v>2</v>
      </c>
      <c r="AK124" s="2">
        <v>1.5</v>
      </c>
    </row>
    <row r="125" spans="1:37" x14ac:dyDescent="0.3">
      <c r="A125" s="11">
        <v>10.3505670349792</v>
      </c>
      <c r="B125" s="11">
        <v>1932.0634661909498</v>
      </c>
      <c r="C125" s="13" t="s">
        <v>33</v>
      </c>
      <c r="D125" s="13" t="s">
        <v>47</v>
      </c>
      <c r="E125" s="10" t="s">
        <v>170</v>
      </c>
      <c r="F125" s="13" t="s">
        <v>34</v>
      </c>
      <c r="G125" s="13">
        <v>0.46</v>
      </c>
      <c r="H125" s="13" t="s">
        <v>34</v>
      </c>
      <c r="I125" s="13" t="s">
        <v>34</v>
      </c>
      <c r="J125" s="13" t="s">
        <v>34</v>
      </c>
      <c r="K125" s="13" t="s">
        <v>34</v>
      </c>
      <c r="L125" s="13">
        <v>0</v>
      </c>
      <c r="M125" s="13">
        <v>48.5</v>
      </c>
      <c r="N125" s="13">
        <v>1610</v>
      </c>
      <c r="O125" s="13" t="s">
        <v>34</v>
      </c>
      <c r="P125" s="13" t="s">
        <v>34</v>
      </c>
      <c r="Q125" s="13" t="s">
        <v>34</v>
      </c>
      <c r="R125" s="13" t="s">
        <v>34</v>
      </c>
      <c r="S125" s="20">
        <f t="shared" si="1"/>
        <v>1.0000000000000001E-5</v>
      </c>
      <c r="T125" s="13" t="s">
        <v>36</v>
      </c>
      <c r="U125" s="13" t="s">
        <v>37</v>
      </c>
      <c r="V125" s="20" t="s">
        <v>48</v>
      </c>
      <c r="W125" s="13" t="s">
        <v>34</v>
      </c>
      <c r="X125" s="13" t="s">
        <v>43</v>
      </c>
      <c r="Y125" s="13">
        <v>1</v>
      </c>
      <c r="Z125" s="13" t="s">
        <v>39</v>
      </c>
      <c r="AA125" s="13" t="s">
        <v>43</v>
      </c>
      <c r="AB125" s="13">
        <v>6</v>
      </c>
      <c r="AC125" s="13" t="s">
        <v>92</v>
      </c>
      <c r="AD125" s="13" t="s">
        <v>32</v>
      </c>
      <c r="AE125" s="13">
        <v>0.9</v>
      </c>
      <c r="AF125" s="21" t="s">
        <v>125</v>
      </c>
      <c r="AG125" s="13">
        <v>2014</v>
      </c>
      <c r="AH125" s="21" t="s">
        <v>126</v>
      </c>
      <c r="AI125" s="2">
        <v>51</v>
      </c>
      <c r="AJ125" s="2">
        <v>2</v>
      </c>
      <c r="AK125" s="2">
        <v>1.5</v>
      </c>
    </row>
    <row r="126" spans="1:37" x14ac:dyDescent="0.3">
      <c r="A126" s="11">
        <v>10.817989164183301</v>
      </c>
      <c r="B126" s="11">
        <v>1834.70803934168</v>
      </c>
      <c r="C126" s="13" t="s">
        <v>33</v>
      </c>
      <c r="D126" s="13" t="s">
        <v>47</v>
      </c>
      <c r="E126" s="10" t="s">
        <v>170</v>
      </c>
      <c r="F126" s="13" t="s">
        <v>34</v>
      </c>
      <c r="G126" s="13">
        <v>0.46</v>
      </c>
      <c r="H126" s="13" t="s">
        <v>34</v>
      </c>
      <c r="I126" s="13" t="s">
        <v>34</v>
      </c>
      <c r="J126" s="13" t="s">
        <v>34</v>
      </c>
      <c r="K126" s="13" t="s">
        <v>34</v>
      </c>
      <c r="L126" s="13">
        <v>0</v>
      </c>
      <c r="M126" s="13">
        <v>48.5</v>
      </c>
      <c r="N126" s="13">
        <v>1610</v>
      </c>
      <c r="O126" s="13" t="s">
        <v>34</v>
      </c>
      <c r="P126" s="13" t="s">
        <v>34</v>
      </c>
      <c r="Q126" s="13" t="s">
        <v>34</v>
      </c>
      <c r="R126" s="13" t="s">
        <v>34</v>
      </c>
      <c r="S126" s="20">
        <f t="shared" si="1"/>
        <v>1.0000000000000001E-5</v>
      </c>
      <c r="T126" s="13" t="s">
        <v>36</v>
      </c>
      <c r="U126" s="13" t="s">
        <v>37</v>
      </c>
      <c r="V126" s="20" t="s">
        <v>48</v>
      </c>
      <c r="W126" s="13" t="s">
        <v>34</v>
      </c>
      <c r="X126" s="13" t="s">
        <v>43</v>
      </c>
      <c r="Y126" s="13">
        <v>1</v>
      </c>
      <c r="Z126" s="13" t="s">
        <v>39</v>
      </c>
      <c r="AA126" s="13" t="s">
        <v>43</v>
      </c>
      <c r="AB126" s="13">
        <v>6</v>
      </c>
      <c r="AC126" s="13" t="s">
        <v>93</v>
      </c>
      <c r="AD126" s="13" t="s">
        <v>32</v>
      </c>
      <c r="AE126" s="13">
        <v>0.9</v>
      </c>
      <c r="AF126" s="21" t="s">
        <v>125</v>
      </c>
      <c r="AG126" s="13">
        <v>2014</v>
      </c>
      <c r="AH126" s="21" t="s">
        <v>126</v>
      </c>
      <c r="AI126" s="2">
        <v>51</v>
      </c>
      <c r="AJ126" s="2">
        <v>2</v>
      </c>
      <c r="AK126" s="2">
        <v>1.5</v>
      </c>
    </row>
    <row r="127" spans="1:37" x14ac:dyDescent="0.3">
      <c r="A127" s="11">
        <v>11.0914538984955</v>
      </c>
      <c r="B127" s="11">
        <v>1998.6275219043901</v>
      </c>
      <c r="C127" s="13" t="s">
        <v>33</v>
      </c>
      <c r="D127" s="13" t="s">
        <v>47</v>
      </c>
      <c r="E127" s="10" t="s">
        <v>170</v>
      </c>
      <c r="F127" s="13" t="s">
        <v>34</v>
      </c>
      <c r="G127" s="13">
        <v>0.46</v>
      </c>
      <c r="H127" s="13" t="s">
        <v>34</v>
      </c>
      <c r="I127" s="13" t="s">
        <v>34</v>
      </c>
      <c r="J127" s="13" t="s">
        <v>34</v>
      </c>
      <c r="K127" s="13" t="s">
        <v>34</v>
      </c>
      <c r="L127" s="13">
        <v>0</v>
      </c>
      <c r="M127" s="13">
        <v>48.5</v>
      </c>
      <c r="N127" s="13">
        <v>1610</v>
      </c>
      <c r="O127" s="13" t="s">
        <v>34</v>
      </c>
      <c r="P127" s="13" t="s">
        <v>34</v>
      </c>
      <c r="Q127" s="13" t="s">
        <v>34</v>
      </c>
      <c r="R127" s="13" t="s">
        <v>34</v>
      </c>
      <c r="S127" s="20">
        <f t="shared" si="1"/>
        <v>1.0000000000000001E-5</v>
      </c>
      <c r="T127" s="13" t="s">
        <v>36</v>
      </c>
      <c r="U127" s="13" t="s">
        <v>37</v>
      </c>
      <c r="V127" s="20" t="s">
        <v>48</v>
      </c>
      <c r="W127" s="13" t="s">
        <v>34</v>
      </c>
      <c r="X127" s="13" t="s">
        <v>43</v>
      </c>
      <c r="Y127" s="13">
        <v>1</v>
      </c>
      <c r="Z127" s="13" t="s">
        <v>39</v>
      </c>
      <c r="AA127" s="13" t="s">
        <v>43</v>
      </c>
      <c r="AB127" s="13">
        <v>6</v>
      </c>
      <c r="AC127" s="13" t="s">
        <v>94</v>
      </c>
      <c r="AD127" s="13" t="s">
        <v>32</v>
      </c>
      <c r="AE127" s="13">
        <v>0.9</v>
      </c>
      <c r="AF127" s="21" t="s">
        <v>125</v>
      </c>
      <c r="AG127" s="13">
        <v>2014</v>
      </c>
      <c r="AH127" s="21" t="s">
        <v>126</v>
      </c>
      <c r="AI127" s="2">
        <v>51</v>
      </c>
      <c r="AJ127" s="2">
        <v>2</v>
      </c>
      <c r="AK127" s="2">
        <v>1.5</v>
      </c>
    </row>
    <row r="128" spans="1:37" x14ac:dyDescent="0.3">
      <c r="A128" s="11">
        <v>11.2868988909003</v>
      </c>
      <c r="B128" s="11">
        <v>1951.8000600674</v>
      </c>
      <c r="C128" s="13" t="s">
        <v>33</v>
      </c>
      <c r="D128" s="13" t="s">
        <v>47</v>
      </c>
      <c r="E128" s="10" t="s">
        <v>170</v>
      </c>
      <c r="F128" s="13" t="s">
        <v>34</v>
      </c>
      <c r="G128" s="13">
        <v>0.46</v>
      </c>
      <c r="H128" s="13" t="s">
        <v>34</v>
      </c>
      <c r="I128" s="13" t="s">
        <v>34</v>
      </c>
      <c r="J128" s="13" t="s">
        <v>34</v>
      </c>
      <c r="K128" s="13" t="s">
        <v>34</v>
      </c>
      <c r="L128" s="13">
        <v>0</v>
      </c>
      <c r="M128" s="13">
        <v>48.5</v>
      </c>
      <c r="N128" s="13">
        <v>1610</v>
      </c>
      <c r="O128" s="13" t="s">
        <v>34</v>
      </c>
      <c r="P128" s="13" t="s">
        <v>34</v>
      </c>
      <c r="Q128" s="13" t="s">
        <v>34</v>
      </c>
      <c r="R128" s="13" t="s">
        <v>34</v>
      </c>
      <c r="S128" s="20">
        <f t="shared" si="1"/>
        <v>1.0000000000000001E-5</v>
      </c>
      <c r="T128" s="13" t="s">
        <v>36</v>
      </c>
      <c r="U128" s="13" t="s">
        <v>37</v>
      </c>
      <c r="V128" s="20" t="s">
        <v>48</v>
      </c>
      <c r="W128" s="13" t="s">
        <v>34</v>
      </c>
      <c r="X128" s="13" t="s">
        <v>43</v>
      </c>
      <c r="Y128" s="13">
        <v>1</v>
      </c>
      <c r="Z128" s="13" t="s">
        <v>39</v>
      </c>
      <c r="AA128" s="13" t="s">
        <v>43</v>
      </c>
      <c r="AB128" s="13">
        <v>6</v>
      </c>
      <c r="AC128" s="13" t="s">
        <v>95</v>
      </c>
      <c r="AD128" s="13" t="s">
        <v>32</v>
      </c>
      <c r="AE128" s="13">
        <v>0.9</v>
      </c>
      <c r="AF128" s="21" t="s">
        <v>125</v>
      </c>
      <c r="AG128" s="13">
        <v>2014</v>
      </c>
      <c r="AH128" s="21" t="s">
        <v>126</v>
      </c>
      <c r="AI128" s="2">
        <v>51</v>
      </c>
      <c r="AJ128" s="2">
        <v>2</v>
      </c>
      <c r="AK128" s="2">
        <v>1.5</v>
      </c>
    </row>
    <row r="129" spans="1:37" x14ac:dyDescent="0.3">
      <c r="A129" s="11">
        <v>11.259837276567399</v>
      </c>
      <c r="B129" s="11">
        <v>2009.0470865046002</v>
      </c>
      <c r="C129" s="13" t="s">
        <v>33</v>
      </c>
      <c r="D129" s="13" t="s">
        <v>47</v>
      </c>
      <c r="E129" s="10" t="s">
        <v>170</v>
      </c>
      <c r="F129" s="13" t="s">
        <v>34</v>
      </c>
      <c r="G129" s="13">
        <v>0.46</v>
      </c>
      <c r="H129" s="13" t="s">
        <v>34</v>
      </c>
      <c r="I129" s="13" t="s">
        <v>34</v>
      </c>
      <c r="J129" s="13" t="s">
        <v>34</v>
      </c>
      <c r="K129" s="13" t="s">
        <v>34</v>
      </c>
      <c r="L129" s="13">
        <v>0</v>
      </c>
      <c r="M129" s="13">
        <v>48.5</v>
      </c>
      <c r="N129" s="13">
        <v>1610</v>
      </c>
      <c r="O129" s="13" t="s">
        <v>34</v>
      </c>
      <c r="P129" s="13" t="s">
        <v>34</v>
      </c>
      <c r="Q129" s="13" t="s">
        <v>34</v>
      </c>
      <c r="R129" s="13" t="s">
        <v>34</v>
      </c>
      <c r="S129" s="20">
        <f t="shared" si="1"/>
        <v>1.0000000000000001E-5</v>
      </c>
      <c r="T129" s="13" t="s">
        <v>36</v>
      </c>
      <c r="U129" s="13" t="s">
        <v>37</v>
      </c>
      <c r="V129" s="20" t="s">
        <v>48</v>
      </c>
      <c r="W129" s="13" t="s">
        <v>34</v>
      </c>
      <c r="X129" s="13" t="s">
        <v>43</v>
      </c>
      <c r="Y129" s="13">
        <v>1</v>
      </c>
      <c r="Z129" s="13" t="s">
        <v>39</v>
      </c>
      <c r="AA129" s="13" t="s">
        <v>43</v>
      </c>
      <c r="AB129" s="13">
        <v>6</v>
      </c>
      <c r="AC129" s="13" t="s">
        <v>96</v>
      </c>
      <c r="AD129" s="13" t="s">
        <v>32</v>
      </c>
      <c r="AE129" s="13">
        <v>0.9</v>
      </c>
      <c r="AF129" s="21" t="s">
        <v>125</v>
      </c>
      <c r="AG129" s="13">
        <v>2014</v>
      </c>
      <c r="AH129" s="21" t="s">
        <v>126</v>
      </c>
      <c r="AI129" s="2">
        <v>51</v>
      </c>
      <c r="AJ129" s="2">
        <v>2</v>
      </c>
      <c r="AK129" s="2">
        <v>1.5</v>
      </c>
    </row>
    <row r="130" spans="1:37" x14ac:dyDescent="0.3">
      <c r="A130" s="11">
        <v>12.1184074680547</v>
      </c>
      <c r="B130" s="11">
        <v>2078.5823024993897</v>
      </c>
      <c r="C130" s="13" t="s">
        <v>33</v>
      </c>
      <c r="D130" s="13" t="s">
        <v>47</v>
      </c>
      <c r="E130" s="10" t="s">
        <v>170</v>
      </c>
      <c r="F130" s="13" t="s">
        <v>34</v>
      </c>
      <c r="G130" s="13">
        <v>0.46</v>
      </c>
      <c r="H130" s="13" t="s">
        <v>34</v>
      </c>
      <c r="I130" s="13" t="s">
        <v>34</v>
      </c>
      <c r="J130" s="13" t="s">
        <v>34</v>
      </c>
      <c r="K130" s="13" t="s">
        <v>34</v>
      </c>
      <c r="L130" s="13">
        <v>0</v>
      </c>
      <c r="M130" s="13">
        <v>48.5</v>
      </c>
      <c r="N130" s="13">
        <v>1610</v>
      </c>
      <c r="O130" s="13" t="s">
        <v>34</v>
      </c>
      <c r="P130" s="13" t="s">
        <v>34</v>
      </c>
      <c r="Q130" s="13" t="s">
        <v>34</v>
      </c>
      <c r="R130" s="13" t="s">
        <v>34</v>
      </c>
      <c r="S130" s="20">
        <f t="shared" si="1"/>
        <v>1.0000000000000001E-5</v>
      </c>
      <c r="T130" s="13" t="s">
        <v>36</v>
      </c>
      <c r="U130" s="13" t="s">
        <v>37</v>
      </c>
      <c r="V130" s="20" t="s">
        <v>48</v>
      </c>
      <c r="W130" s="13" t="s">
        <v>34</v>
      </c>
      <c r="X130" s="13" t="s">
        <v>43</v>
      </c>
      <c r="Y130" s="13">
        <v>1</v>
      </c>
      <c r="Z130" s="13" t="s">
        <v>39</v>
      </c>
      <c r="AA130" s="13" t="s">
        <v>43</v>
      </c>
      <c r="AB130" s="13">
        <v>6</v>
      </c>
      <c r="AC130" s="13" t="s">
        <v>97</v>
      </c>
      <c r="AD130" s="13" t="s">
        <v>32</v>
      </c>
      <c r="AE130" s="13">
        <v>0.9</v>
      </c>
      <c r="AF130" s="21" t="s">
        <v>125</v>
      </c>
      <c r="AG130" s="13">
        <v>2014</v>
      </c>
      <c r="AH130" s="21" t="s">
        <v>126</v>
      </c>
      <c r="AI130" s="2">
        <v>51</v>
      </c>
      <c r="AJ130" s="2">
        <v>2</v>
      </c>
      <c r="AK130" s="2">
        <v>1.5</v>
      </c>
    </row>
    <row r="131" spans="1:37" x14ac:dyDescent="0.3">
      <c r="A131" s="11">
        <v>13.050714776203201</v>
      </c>
      <c r="B131" s="11">
        <v>2082.8684901198098</v>
      </c>
      <c r="C131" s="13" t="s">
        <v>33</v>
      </c>
      <c r="D131" s="13" t="s">
        <v>47</v>
      </c>
      <c r="E131" s="10" t="s">
        <v>170</v>
      </c>
      <c r="F131" s="13" t="s">
        <v>34</v>
      </c>
      <c r="G131" s="13">
        <v>0.46</v>
      </c>
      <c r="H131" s="13" t="s">
        <v>34</v>
      </c>
      <c r="I131" s="13" t="s">
        <v>34</v>
      </c>
      <c r="J131" s="13" t="s">
        <v>34</v>
      </c>
      <c r="K131" s="13" t="s">
        <v>34</v>
      </c>
      <c r="L131" s="13">
        <v>0</v>
      </c>
      <c r="M131" s="13">
        <v>48.5</v>
      </c>
      <c r="N131" s="13">
        <v>1610</v>
      </c>
      <c r="O131" s="13" t="s">
        <v>34</v>
      </c>
      <c r="P131" s="13" t="s">
        <v>34</v>
      </c>
      <c r="Q131" s="13" t="s">
        <v>34</v>
      </c>
      <c r="R131" s="13" t="s">
        <v>34</v>
      </c>
      <c r="S131" s="20">
        <f t="shared" si="1"/>
        <v>1.0000000000000001E-5</v>
      </c>
      <c r="T131" s="13" t="s">
        <v>36</v>
      </c>
      <c r="U131" s="13" t="s">
        <v>37</v>
      </c>
      <c r="V131" s="20" t="s">
        <v>48</v>
      </c>
      <c r="W131" s="13" t="s">
        <v>34</v>
      </c>
      <c r="X131" s="13" t="s">
        <v>43</v>
      </c>
      <c r="Y131" s="13">
        <v>1</v>
      </c>
      <c r="Z131" s="13" t="s">
        <v>39</v>
      </c>
      <c r="AA131" s="13" t="s">
        <v>43</v>
      </c>
      <c r="AB131" s="13">
        <v>6</v>
      </c>
      <c r="AC131" s="13" t="s">
        <v>98</v>
      </c>
      <c r="AD131" s="13" t="s">
        <v>32</v>
      </c>
      <c r="AE131" s="13">
        <v>0.9</v>
      </c>
      <c r="AF131" s="21" t="s">
        <v>125</v>
      </c>
      <c r="AG131" s="13">
        <v>2014</v>
      </c>
      <c r="AH131" s="21" t="s">
        <v>126</v>
      </c>
      <c r="AI131" s="2">
        <v>51</v>
      </c>
      <c r="AJ131" s="2">
        <v>2</v>
      </c>
      <c r="AK131" s="2">
        <v>1.5</v>
      </c>
    </row>
    <row r="132" spans="1:37" x14ac:dyDescent="0.3">
      <c r="A132" s="11">
        <v>13.307069878328999</v>
      </c>
      <c r="B132" s="11">
        <v>2114.0389118615399</v>
      </c>
      <c r="C132" s="13" t="s">
        <v>33</v>
      </c>
      <c r="D132" s="13" t="s">
        <v>47</v>
      </c>
      <c r="E132" s="10" t="s">
        <v>170</v>
      </c>
      <c r="F132" s="13" t="s">
        <v>34</v>
      </c>
      <c r="G132" s="13">
        <v>0.46</v>
      </c>
      <c r="H132" s="13" t="s">
        <v>34</v>
      </c>
      <c r="I132" s="13" t="s">
        <v>34</v>
      </c>
      <c r="J132" s="13" t="s">
        <v>34</v>
      </c>
      <c r="K132" s="13" t="s">
        <v>34</v>
      </c>
      <c r="L132" s="13">
        <v>0</v>
      </c>
      <c r="M132" s="13">
        <v>48.5</v>
      </c>
      <c r="N132" s="13">
        <v>1610</v>
      </c>
      <c r="O132" s="13" t="s">
        <v>34</v>
      </c>
      <c r="P132" s="13" t="s">
        <v>34</v>
      </c>
      <c r="Q132" s="13" t="s">
        <v>34</v>
      </c>
      <c r="R132" s="13" t="s">
        <v>34</v>
      </c>
      <c r="S132" s="20">
        <f t="shared" si="1"/>
        <v>1.0000000000000001E-5</v>
      </c>
      <c r="T132" s="13" t="s">
        <v>36</v>
      </c>
      <c r="U132" s="13" t="s">
        <v>37</v>
      </c>
      <c r="V132" s="20" t="s">
        <v>48</v>
      </c>
      <c r="W132" s="13" t="s">
        <v>34</v>
      </c>
      <c r="X132" s="13" t="s">
        <v>43</v>
      </c>
      <c r="Y132" s="13">
        <v>1</v>
      </c>
      <c r="Z132" s="13" t="s">
        <v>39</v>
      </c>
      <c r="AA132" s="13" t="s">
        <v>43</v>
      </c>
      <c r="AB132" s="13">
        <v>6</v>
      </c>
      <c r="AC132" s="13" t="s">
        <v>99</v>
      </c>
      <c r="AD132" s="13" t="s">
        <v>32</v>
      </c>
      <c r="AE132" s="13">
        <v>0.9</v>
      </c>
      <c r="AF132" s="21" t="s">
        <v>125</v>
      </c>
      <c r="AG132" s="13">
        <v>2014</v>
      </c>
      <c r="AH132" s="21" t="s">
        <v>126</v>
      </c>
      <c r="AI132" s="2">
        <v>51</v>
      </c>
      <c r="AJ132" s="2">
        <v>2</v>
      </c>
      <c r="AK132" s="2">
        <v>1.5</v>
      </c>
    </row>
    <row r="133" spans="1:37" x14ac:dyDescent="0.3">
      <c r="A133" s="11">
        <v>13.232328276837899</v>
      </c>
      <c r="B133" s="11">
        <v>2064.65848361503</v>
      </c>
      <c r="C133" s="13" t="s">
        <v>33</v>
      </c>
      <c r="D133" s="13" t="s">
        <v>47</v>
      </c>
      <c r="E133" s="10" t="s">
        <v>170</v>
      </c>
      <c r="F133" s="13" t="s">
        <v>34</v>
      </c>
      <c r="G133" s="13">
        <v>0.46</v>
      </c>
      <c r="H133" s="13" t="s">
        <v>34</v>
      </c>
      <c r="I133" s="13" t="s">
        <v>34</v>
      </c>
      <c r="J133" s="13" t="s">
        <v>34</v>
      </c>
      <c r="K133" s="13" t="s">
        <v>34</v>
      </c>
      <c r="L133" s="13">
        <v>0</v>
      </c>
      <c r="M133" s="13">
        <v>48.5</v>
      </c>
      <c r="N133" s="13">
        <v>1610</v>
      </c>
      <c r="O133" s="13" t="s">
        <v>34</v>
      </c>
      <c r="P133" s="13" t="s">
        <v>34</v>
      </c>
      <c r="Q133" s="13" t="s">
        <v>34</v>
      </c>
      <c r="R133" s="13" t="s">
        <v>34</v>
      </c>
      <c r="S133" s="20">
        <f t="shared" si="1"/>
        <v>1.0000000000000001E-5</v>
      </c>
      <c r="T133" s="13" t="s">
        <v>36</v>
      </c>
      <c r="U133" s="13" t="s">
        <v>37</v>
      </c>
      <c r="V133" s="20" t="s">
        <v>48</v>
      </c>
      <c r="W133" s="13" t="s">
        <v>34</v>
      </c>
      <c r="X133" s="13" t="s">
        <v>43</v>
      </c>
      <c r="Y133" s="13">
        <v>1</v>
      </c>
      <c r="Z133" s="13" t="s">
        <v>39</v>
      </c>
      <c r="AA133" s="13" t="s">
        <v>43</v>
      </c>
      <c r="AB133" s="13">
        <v>6</v>
      </c>
      <c r="AC133" s="13" t="s">
        <v>100</v>
      </c>
      <c r="AD133" s="13" t="s">
        <v>32</v>
      </c>
      <c r="AE133" s="13">
        <v>0.9</v>
      </c>
      <c r="AF133" s="21" t="s">
        <v>125</v>
      </c>
      <c r="AG133" s="13">
        <v>2014</v>
      </c>
      <c r="AH133" s="21" t="s">
        <v>126</v>
      </c>
      <c r="AI133" s="2">
        <v>51</v>
      </c>
      <c r="AJ133" s="2">
        <v>2</v>
      </c>
      <c r="AK133" s="2">
        <v>1.5</v>
      </c>
    </row>
    <row r="134" spans="1:37" x14ac:dyDescent="0.3">
      <c r="A134" s="11">
        <v>13.5678922945668</v>
      </c>
      <c r="B134" s="11">
        <v>2135.64479639716</v>
      </c>
      <c r="C134" s="13" t="s">
        <v>33</v>
      </c>
      <c r="D134" s="13" t="s">
        <v>47</v>
      </c>
      <c r="E134" s="10" t="s">
        <v>170</v>
      </c>
      <c r="F134" s="13" t="s">
        <v>34</v>
      </c>
      <c r="G134" s="13">
        <v>0.46</v>
      </c>
      <c r="H134" s="13" t="s">
        <v>34</v>
      </c>
      <c r="I134" s="13" t="s">
        <v>34</v>
      </c>
      <c r="J134" s="13" t="s">
        <v>34</v>
      </c>
      <c r="K134" s="13" t="s">
        <v>34</v>
      </c>
      <c r="L134" s="13">
        <v>0</v>
      </c>
      <c r="M134" s="13">
        <v>48.5</v>
      </c>
      <c r="N134" s="13">
        <v>1610</v>
      </c>
      <c r="O134" s="13" t="s">
        <v>34</v>
      </c>
      <c r="P134" s="13" t="s">
        <v>34</v>
      </c>
      <c r="Q134" s="13" t="s">
        <v>34</v>
      </c>
      <c r="R134" s="13" t="s">
        <v>34</v>
      </c>
      <c r="S134" s="20">
        <f t="shared" si="1"/>
        <v>1.0000000000000001E-5</v>
      </c>
      <c r="T134" s="13" t="s">
        <v>36</v>
      </c>
      <c r="U134" s="13" t="s">
        <v>37</v>
      </c>
      <c r="V134" s="20" t="s">
        <v>48</v>
      </c>
      <c r="W134" s="13" t="s">
        <v>34</v>
      </c>
      <c r="X134" s="13" t="s">
        <v>43</v>
      </c>
      <c r="Y134" s="13">
        <v>1</v>
      </c>
      <c r="Z134" s="13" t="s">
        <v>39</v>
      </c>
      <c r="AA134" s="13" t="s">
        <v>43</v>
      </c>
      <c r="AB134" s="13">
        <v>6</v>
      </c>
      <c r="AC134" s="13" t="s">
        <v>101</v>
      </c>
      <c r="AD134" s="13" t="s">
        <v>32</v>
      </c>
      <c r="AE134" s="13">
        <v>0.9</v>
      </c>
      <c r="AF134" s="21" t="s">
        <v>125</v>
      </c>
      <c r="AG134" s="13">
        <v>2014</v>
      </c>
      <c r="AH134" s="21" t="s">
        <v>126</v>
      </c>
      <c r="AI134" s="2">
        <v>51</v>
      </c>
      <c r="AJ134" s="2">
        <v>2</v>
      </c>
      <c r="AK134" s="2">
        <v>1.5</v>
      </c>
    </row>
    <row r="135" spans="1:37" x14ac:dyDescent="0.3">
      <c r="A135" s="11">
        <v>13.713423642757499</v>
      </c>
      <c r="B135" s="11">
        <v>2129.5990257744802</v>
      </c>
      <c r="C135" s="13" t="s">
        <v>33</v>
      </c>
      <c r="D135" s="13" t="s">
        <v>47</v>
      </c>
      <c r="E135" s="10" t="s">
        <v>170</v>
      </c>
      <c r="F135" s="13" t="s">
        <v>34</v>
      </c>
      <c r="G135" s="13">
        <v>0.46</v>
      </c>
      <c r="H135" s="13" t="s">
        <v>34</v>
      </c>
      <c r="I135" s="13" t="s">
        <v>34</v>
      </c>
      <c r="J135" s="13" t="s">
        <v>34</v>
      </c>
      <c r="K135" s="13" t="s">
        <v>34</v>
      </c>
      <c r="L135" s="13">
        <v>0</v>
      </c>
      <c r="M135" s="13">
        <v>48.5</v>
      </c>
      <c r="N135" s="13">
        <v>1610</v>
      </c>
      <c r="O135" s="13" t="s">
        <v>34</v>
      </c>
      <c r="P135" s="13" t="s">
        <v>34</v>
      </c>
      <c r="Q135" s="13" t="s">
        <v>34</v>
      </c>
      <c r="R135" s="13" t="s">
        <v>34</v>
      </c>
      <c r="S135" s="20">
        <f t="shared" si="1"/>
        <v>1.0000000000000001E-5</v>
      </c>
      <c r="T135" s="13" t="s">
        <v>36</v>
      </c>
      <c r="U135" s="13" t="s">
        <v>37</v>
      </c>
      <c r="V135" s="20" t="s">
        <v>48</v>
      </c>
      <c r="W135" s="13" t="s">
        <v>34</v>
      </c>
      <c r="X135" s="13" t="s">
        <v>43</v>
      </c>
      <c r="Y135" s="13">
        <v>1</v>
      </c>
      <c r="Z135" s="13" t="s">
        <v>39</v>
      </c>
      <c r="AA135" s="13" t="s">
        <v>43</v>
      </c>
      <c r="AB135" s="13">
        <v>6</v>
      </c>
      <c r="AC135" s="13" t="s">
        <v>102</v>
      </c>
      <c r="AD135" s="13" t="s">
        <v>32</v>
      </c>
      <c r="AE135" s="13">
        <v>0.9</v>
      </c>
      <c r="AF135" s="21" t="s">
        <v>125</v>
      </c>
      <c r="AG135" s="13">
        <v>2014</v>
      </c>
      <c r="AH135" s="21" t="s">
        <v>126</v>
      </c>
      <c r="AI135" s="2">
        <v>51</v>
      </c>
      <c r="AJ135" s="2">
        <v>2</v>
      </c>
      <c r="AK135" s="2">
        <v>1.5</v>
      </c>
    </row>
    <row r="136" spans="1:37" x14ac:dyDescent="0.3">
      <c r="A136" s="11">
        <v>13.8457248683854</v>
      </c>
      <c r="B136" s="11">
        <v>2134.4453348908601</v>
      </c>
      <c r="C136" s="13" t="s">
        <v>33</v>
      </c>
      <c r="D136" s="13" t="s">
        <v>47</v>
      </c>
      <c r="E136" s="10" t="s">
        <v>170</v>
      </c>
      <c r="F136" s="13" t="s">
        <v>34</v>
      </c>
      <c r="G136" s="13">
        <v>0.46</v>
      </c>
      <c r="H136" s="13" t="s">
        <v>34</v>
      </c>
      <c r="I136" s="13" t="s">
        <v>34</v>
      </c>
      <c r="J136" s="13" t="s">
        <v>34</v>
      </c>
      <c r="K136" s="13" t="s">
        <v>34</v>
      </c>
      <c r="L136" s="13">
        <v>0</v>
      </c>
      <c r="M136" s="13">
        <v>48.5</v>
      </c>
      <c r="N136" s="13">
        <v>1610</v>
      </c>
      <c r="O136" s="13" t="s">
        <v>34</v>
      </c>
      <c r="P136" s="13" t="s">
        <v>34</v>
      </c>
      <c r="Q136" s="13" t="s">
        <v>34</v>
      </c>
      <c r="R136" s="13" t="s">
        <v>34</v>
      </c>
      <c r="S136" s="20">
        <f t="shared" si="1"/>
        <v>1.0000000000000001E-5</v>
      </c>
      <c r="T136" s="13" t="s">
        <v>36</v>
      </c>
      <c r="U136" s="13" t="s">
        <v>37</v>
      </c>
      <c r="V136" s="20" t="s">
        <v>48</v>
      </c>
      <c r="W136" s="13" t="s">
        <v>34</v>
      </c>
      <c r="X136" s="13" t="s">
        <v>43</v>
      </c>
      <c r="Y136" s="13">
        <v>1</v>
      </c>
      <c r="Z136" s="13" t="s">
        <v>39</v>
      </c>
      <c r="AA136" s="13" t="s">
        <v>43</v>
      </c>
      <c r="AB136" s="13">
        <v>6</v>
      </c>
      <c r="AC136" s="13" t="s">
        <v>103</v>
      </c>
      <c r="AD136" s="13" t="s">
        <v>32</v>
      </c>
      <c r="AE136" s="13">
        <v>0.9</v>
      </c>
      <c r="AF136" s="21" t="s">
        <v>125</v>
      </c>
      <c r="AG136" s="13">
        <v>2014</v>
      </c>
      <c r="AH136" s="21" t="s">
        <v>126</v>
      </c>
      <c r="AI136" s="2">
        <v>51</v>
      </c>
      <c r="AJ136" s="2">
        <v>2</v>
      </c>
      <c r="AK136" s="2">
        <v>1.5</v>
      </c>
    </row>
    <row r="137" spans="1:37" x14ac:dyDescent="0.3">
      <c r="A137" s="11">
        <v>14.426204408580499</v>
      </c>
      <c r="B137" s="11">
        <v>2213.2998855923297</v>
      </c>
      <c r="C137" s="13" t="s">
        <v>33</v>
      </c>
      <c r="D137" s="13" t="s">
        <v>47</v>
      </c>
      <c r="E137" s="10" t="s">
        <v>170</v>
      </c>
      <c r="F137" s="13" t="s">
        <v>34</v>
      </c>
      <c r="G137" s="13">
        <v>0.46</v>
      </c>
      <c r="H137" s="13" t="s">
        <v>34</v>
      </c>
      <c r="I137" s="13" t="s">
        <v>34</v>
      </c>
      <c r="J137" s="13" t="s">
        <v>34</v>
      </c>
      <c r="K137" s="13" t="s">
        <v>34</v>
      </c>
      <c r="L137" s="13">
        <v>0</v>
      </c>
      <c r="M137" s="13">
        <v>48.5</v>
      </c>
      <c r="N137" s="13">
        <v>1610</v>
      </c>
      <c r="O137" s="13" t="s">
        <v>34</v>
      </c>
      <c r="P137" s="13" t="s">
        <v>34</v>
      </c>
      <c r="Q137" s="13" t="s">
        <v>34</v>
      </c>
      <c r="R137" s="13" t="s">
        <v>34</v>
      </c>
      <c r="S137" s="20">
        <f t="shared" si="1"/>
        <v>1.0000000000000001E-5</v>
      </c>
      <c r="T137" s="13" t="s">
        <v>36</v>
      </c>
      <c r="U137" s="13" t="s">
        <v>37</v>
      </c>
      <c r="V137" s="20" t="s">
        <v>48</v>
      </c>
      <c r="W137" s="13" t="s">
        <v>34</v>
      </c>
      <c r="X137" s="13" t="s">
        <v>43</v>
      </c>
      <c r="Y137" s="13">
        <v>1</v>
      </c>
      <c r="Z137" s="13" t="s">
        <v>39</v>
      </c>
      <c r="AA137" s="13" t="s">
        <v>43</v>
      </c>
      <c r="AB137" s="13">
        <v>6</v>
      </c>
      <c r="AC137" s="13" t="s">
        <v>104</v>
      </c>
      <c r="AD137" s="13" t="s">
        <v>32</v>
      </c>
      <c r="AE137" s="13">
        <v>0.9</v>
      </c>
      <c r="AF137" s="21" t="s">
        <v>125</v>
      </c>
      <c r="AG137" s="13">
        <v>2014</v>
      </c>
      <c r="AH137" s="21" t="s">
        <v>126</v>
      </c>
      <c r="AI137" s="2">
        <v>51</v>
      </c>
      <c r="AJ137" s="2">
        <v>2</v>
      </c>
      <c r="AK137" s="2">
        <v>1.5</v>
      </c>
    </row>
    <row r="138" spans="1:37" x14ac:dyDescent="0.3">
      <c r="A138" s="11">
        <v>14.5842062550721</v>
      </c>
      <c r="B138" s="11">
        <v>2213.3917103966401</v>
      </c>
      <c r="C138" s="13" t="s">
        <v>33</v>
      </c>
      <c r="D138" s="13" t="s">
        <v>47</v>
      </c>
      <c r="E138" s="10" t="s">
        <v>170</v>
      </c>
      <c r="F138" s="13" t="s">
        <v>34</v>
      </c>
      <c r="G138" s="13">
        <v>0.46</v>
      </c>
      <c r="H138" s="13" t="s">
        <v>34</v>
      </c>
      <c r="I138" s="13" t="s">
        <v>34</v>
      </c>
      <c r="J138" s="13" t="s">
        <v>34</v>
      </c>
      <c r="K138" s="13" t="s">
        <v>34</v>
      </c>
      <c r="L138" s="13">
        <v>0</v>
      </c>
      <c r="M138" s="13">
        <v>48.5</v>
      </c>
      <c r="N138" s="13">
        <v>1610</v>
      </c>
      <c r="O138" s="13" t="s">
        <v>34</v>
      </c>
      <c r="P138" s="13" t="s">
        <v>34</v>
      </c>
      <c r="Q138" s="13" t="s">
        <v>34</v>
      </c>
      <c r="R138" s="13" t="s">
        <v>34</v>
      </c>
      <c r="S138" s="20">
        <f t="shared" si="1"/>
        <v>1.0000000000000001E-5</v>
      </c>
      <c r="T138" s="13" t="s">
        <v>36</v>
      </c>
      <c r="U138" s="13" t="s">
        <v>37</v>
      </c>
      <c r="V138" s="20" t="s">
        <v>48</v>
      </c>
      <c r="W138" s="13" t="s">
        <v>34</v>
      </c>
      <c r="X138" s="13" t="s">
        <v>43</v>
      </c>
      <c r="Y138" s="13">
        <v>1</v>
      </c>
      <c r="Z138" s="13" t="s">
        <v>39</v>
      </c>
      <c r="AA138" s="13" t="s">
        <v>43</v>
      </c>
      <c r="AB138" s="13">
        <v>6</v>
      </c>
      <c r="AC138" s="13" t="s">
        <v>105</v>
      </c>
      <c r="AD138" s="13" t="s">
        <v>32</v>
      </c>
      <c r="AE138" s="13">
        <v>0.9</v>
      </c>
      <c r="AF138" s="21" t="s">
        <v>125</v>
      </c>
      <c r="AG138" s="13">
        <v>2014</v>
      </c>
      <c r="AH138" s="21" t="s">
        <v>126</v>
      </c>
      <c r="AI138" s="2">
        <v>51</v>
      </c>
      <c r="AJ138" s="2">
        <v>2</v>
      </c>
      <c r="AK138" s="2">
        <v>1.5</v>
      </c>
    </row>
    <row r="139" spans="1:37" x14ac:dyDescent="0.3">
      <c r="A139" s="11">
        <v>2.9769787266509899</v>
      </c>
      <c r="B139" s="11">
        <v>185.502123739854</v>
      </c>
      <c r="C139" s="13" t="s">
        <v>33</v>
      </c>
      <c r="D139" s="13" t="s">
        <v>47</v>
      </c>
      <c r="E139" s="10" t="s">
        <v>170</v>
      </c>
      <c r="F139" s="13" t="s">
        <v>34</v>
      </c>
      <c r="G139" s="13">
        <v>0.46</v>
      </c>
      <c r="H139" s="13" t="s">
        <v>34</v>
      </c>
      <c r="I139" s="13" t="s">
        <v>34</v>
      </c>
      <c r="J139" s="13" t="s">
        <v>34</v>
      </c>
      <c r="K139" s="13" t="s">
        <v>34</v>
      </c>
      <c r="L139" s="13">
        <v>0</v>
      </c>
      <c r="M139" s="13">
        <v>48.5</v>
      </c>
      <c r="N139" s="13">
        <v>1610</v>
      </c>
      <c r="O139" s="13" t="s">
        <v>34</v>
      </c>
      <c r="P139" s="13" t="s">
        <v>34</v>
      </c>
      <c r="Q139" s="13" t="s">
        <v>34</v>
      </c>
      <c r="R139" s="13" t="s">
        <v>34</v>
      </c>
      <c r="S139" s="20">
        <f t="shared" si="1"/>
        <v>1.0000000000000001E-5</v>
      </c>
      <c r="T139" s="10" t="s">
        <v>49</v>
      </c>
      <c r="U139" s="10" t="s">
        <v>50</v>
      </c>
      <c r="V139" s="20" t="s">
        <v>48</v>
      </c>
      <c r="W139" s="13" t="s">
        <v>34</v>
      </c>
      <c r="X139" s="13" t="s">
        <v>43</v>
      </c>
      <c r="Y139" s="13">
        <v>1</v>
      </c>
      <c r="Z139" s="10" t="s">
        <v>51</v>
      </c>
      <c r="AA139" s="13" t="s">
        <v>43</v>
      </c>
      <c r="AB139" s="13">
        <v>6</v>
      </c>
      <c r="AC139" s="13" t="s">
        <v>106</v>
      </c>
      <c r="AD139" s="13" t="s">
        <v>32</v>
      </c>
      <c r="AE139" s="13">
        <v>0.9</v>
      </c>
      <c r="AF139" s="21" t="s">
        <v>125</v>
      </c>
      <c r="AG139" s="13">
        <v>2014</v>
      </c>
      <c r="AH139" s="21" t="s">
        <v>126</v>
      </c>
      <c r="AI139" s="2">
        <v>51</v>
      </c>
      <c r="AJ139" s="2">
        <v>2</v>
      </c>
      <c r="AK139" s="2">
        <v>1.5</v>
      </c>
    </row>
    <row r="140" spans="1:37" x14ac:dyDescent="0.3">
      <c r="A140" s="11">
        <v>3.1694168730188399</v>
      </c>
      <c r="B140" s="11">
        <v>115.42449391704299</v>
      </c>
      <c r="C140" s="13" t="s">
        <v>33</v>
      </c>
      <c r="D140" s="13" t="s">
        <v>47</v>
      </c>
      <c r="E140" s="10" t="s">
        <v>170</v>
      </c>
      <c r="F140" s="13" t="s">
        <v>34</v>
      </c>
      <c r="G140" s="13">
        <v>0.46</v>
      </c>
      <c r="H140" s="13" t="s">
        <v>34</v>
      </c>
      <c r="I140" s="13" t="s">
        <v>34</v>
      </c>
      <c r="J140" s="13" t="s">
        <v>34</v>
      </c>
      <c r="K140" s="13" t="s">
        <v>34</v>
      </c>
      <c r="L140" s="13">
        <v>0</v>
      </c>
      <c r="M140" s="13">
        <v>48.5</v>
      </c>
      <c r="N140" s="13">
        <v>1610</v>
      </c>
      <c r="O140" s="13" t="s">
        <v>34</v>
      </c>
      <c r="P140" s="13" t="s">
        <v>34</v>
      </c>
      <c r="Q140" s="13" t="s">
        <v>34</v>
      </c>
      <c r="R140" s="13" t="s">
        <v>34</v>
      </c>
      <c r="S140" s="20">
        <f t="shared" si="1"/>
        <v>1.0000000000000001E-5</v>
      </c>
      <c r="T140" s="10" t="s">
        <v>49</v>
      </c>
      <c r="U140" s="10" t="s">
        <v>50</v>
      </c>
      <c r="V140" s="20" t="s">
        <v>48</v>
      </c>
      <c r="W140" s="13" t="s">
        <v>34</v>
      </c>
      <c r="X140" s="13" t="s">
        <v>43</v>
      </c>
      <c r="Y140" s="13">
        <v>1</v>
      </c>
      <c r="Z140" s="10" t="s">
        <v>51</v>
      </c>
      <c r="AA140" s="13" t="s">
        <v>43</v>
      </c>
      <c r="AB140" s="13">
        <v>6</v>
      </c>
      <c r="AC140" s="13" t="s">
        <v>107</v>
      </c>
      <c r="AD140" s="13" t="s">
        <v>32</v>
      </c>
      <c r="AE140" s="13">
        <v>0.9</v>
      </c>
      <c r="AF140" s="21" t="s">
        <v>125</v>
      </c>
      <c r="AG140" s="13">
        <v>2014</v>
      </c>
      <c r="AH140" s="21" t="s">
        <v>126</v>
      </c>
      <c r="AI140" s="2">
        <v>51</v>
      </c>
      <c r="AJ140" s="2">
        <v>2</v>
      </c>
      <c r="AK140" s="2">
        <v>1.5</v>
      </c>
    </row>
    <row r="141" spans="1:37" x14ac:dyDescent="0.3">
      <c r="A141" s="11">
        <v>3.43860118490245</v>
      </c>
      <c r="B141" s="11">
        <v>125.425198943624</v>
      </c>
      <c r="C141" s="13" t="s">
        <v>33</v>
      </c>
      <c r="D141" s="13" t="s">
        <v>47</v>
      </c>
      <c r="E141" s="10" t="s">
        <v>170</v>
      </c>
      <c r="F141" s="13" t="s">
        <v>34</v>
      </c>
      <c r="G141" s="13">
        <v>0.46</v>
      </c>
      <c r="H141" s="13" t="s">
        <v>34</v>
      </c>
      <c r="I141" s="13" t="s">
        <v>34</v>
      </c>
      <c r="J141" s="13" t="s">
        <v>34</v>
      </c>
      <c r="K141" s="13" t="s">
        <v>34</v>
      </c>
      <c r="L141" s="13">
        <v>0</v>
      </c>
      <c r="M141" s="13">
        <v>48.5</v>
      </c>
      <c r="N141" s="13">
        <v>1610</v>
      </c>
      <c r="O141" s="13" t="s">
        <v>34</v>
      </c>
      <c r="P141" s="13" t="s">
        <v>34</v>
      </c>
      <c r="Q141" s="13" t="s">
        <v>34</v>
      </c>
      <c r="R141" s="13" t="s">
        <v>34</v>
      </c>
      <c r="S141" s="20">
        <f t="shared" si="1"/>
        <v>1.0000000000000001E-5</v>
      </c>
      <c r="T141" s="10" t="s">
        <v>49</v>
      </c>
      <c r="U141" s="10" t="s">
        <v>50</v>
      </c>
      <c r="V141" s="20" t="s">
        <v>48</v>
      </c>
      <c r="W141" s="13" t="s">
        <v>34</v>
      </c>
      <c r="X141" s="13" t="s">
        <v>43</v>
      </c>
      <c r="Y141" s="13">
        <v>1</v>
      </c>
      <c r="Z141" s="10" t="s">
        <v>51</v>
      </c>
      <c r="AA141" s="13" t="s">
        <v>43</v>
      </c>
      <c r="AB141" s="13">
        <v>6</v>
      </c>
      <c r="AC141" s="13" t="s">
        <v>108</v>
      </c>
      <c r="AD141" s="13" t="s">
        <v>32</v>
      </c>
      <c r="AE141" s="13">
        <v>0.9</v>
      </c>
      <c r="AF141" s="21" t="s">
        <v>125</v>
      </c>
      <c r="AG141" s="13">
        <v>2014</v>
      </c>
      <c r="AH141" s="21" t="s">
        <v>126</v>
      </c>
      <c r="AI141" s="2">
        <v>51</v>
      </c>
      <c r="AJ141" s="2">
        <v>2</v>
      </c>
      <c r="AK141" s="2">
        <v>1.5</v>
      </c>
    </row>
    <row r="142" spans="1:37" x14ac:dyDescent="0.3">
      <c r="A142" s="11">
        <v>3.62545518863016</v>
      </c>
      <c r="B142" s="11">
        <v>125.89252160841799</v>
      </c>
      <c r="C142" s="13" t="s">
        <v>33</v>
      </c>
      <c r="D142" s="13" t="s">
        <v>47</v>
      </c>
      <c r="E142" s="10" t="s">
        <v>170</v>
      </c>
      <c r="F142" s="13" t="s">
        <v>34</v>
      </c>
      <c r="G142" s="13">
        <v>0.46</v>
      </c>
      <c r="H142" s="13" t="s">
        <v>34</v>
      </c>
      <c r="I142" s="13" t="s">
        <v>34</v>
      </c>
      <c r="J142" s="13" t="s">
        <v>34</v>
      </c>
      <c r="K142" s="13" t="s">
        <v>34</v>
      </c>
      <c r="L142" s="13">
        <v>0</v>
      </c>
      <c r="M142" s="13">
        <v>48.5</v>
      </c>
      <c r="N142" s="13">
        <v>1610</v>
      </c>
      <c r="O142" s="13" t="s">
        <v>34</v>
      </c>
      <c r="P142" s="13" t="s">
        <v>34</v>
      </c>
      <c r="Q142" s="13" t="s">
        <v>34</v>
      </c>
      <c r="R142" s="13" t="s">
        <v>34</v>
      </c>
      <c r="S142" s="20">
        <f t="shared" si="1"/>
        <v>1.0000000000000001E-5</v>
      </c>
      <c r="T142" s="10" t="s">
        <v>49</v>
      </c>
      <c r="U142" s="10" t="s">
        <v>50</v>
      </c>
      <c r="V142" s="20" t="s">
        <v>48</v>
      </c>
      <c r="W142" s="13" t="s">
        <v>34</v>
      </c>
      <c r="X142" s="13" t="s">
        <v>43</v>
      </c>
      <c r="Y142" s="13">
        <v>1</v>
      </c>
      <c r="Z142" s="10" t="s">
        <v>51</v>
      </c>
      <c r="AA142" s="13" t="s">
        <v>43</v>
      </c>
      <c r="AB142" s="13">
        <v>6</v>
      </c>
      <c r="AC142" s="13" t="s">
        <v>109</v>
      </c>
      <c r="AD142" s="13" t="s">
        <v>32</v>
      </c>
      <c r="AE142" s="13">
        <v>0.9</v>
      </c>
      <c r="AF142" s="21" t="s">
        <v>125</v>
      </c>
      <c r="AG142" s="13">
        <v>2014</v>
      </c>
      <c r="AH142" s="21" t="s">
        <v>126</v>
      </c>
      <c r="AI142" s="2">
        <v>51</v>
      </c>
      <c r="AJ142" s="2">
        <v>2</v>
      </c>
      <c r="AK142" s="2">
        <v>1.5</v>
      </c>
    </row>
    <row r="143" spans="1:37" x14ac:dyDescent="0.3">
      <c r="A143" s="11">
        <v>4.3051792662879498</v>
      </c>
      <c r="B143" s="11">
        <v>334.09851355817801</v>
      </c>
      <c r="C143" s="13" t="s">
        <v>33</v>
      </c>
      <c r="D143" s="13" t="s">
        <v>47</v>
      </c>
      <c r="E143" s="10" t="s">
        <v>170</v>
      </c>
      <c r="F143" s="13" t="s">
        <v>34</v>
      </c>
      <c r="G143" s="13">
        <v>0.46</v>
      </c>
      <c r="H143" s="13" t="s">
        <v>34</v>
      </c>
      <c r="I143" s="13" t="s">
        <v>34</v>
      </c>
      <c r="J143" s="13" t="s">
        <v>34</v>
      </c>
      <c r="K143" s="13" t="s">
        <v>34</v>
      </c>
      <c r="L143" s="13">
        <v>0</v>
      </c>
      <c r="M143" s="13">
        <v>48.5</v>
      </c>
      <c r="N143" s="13">
        <v>1610</v>
      </c>
      <c r="O143" s="13" t="s">
        <v>34</v>
      </c>
      <c r="P143" s="13" t="s">
        <v>34</v>
      </c>
      <c r="Q143" s="13" t="s">
        <v>34</v>
      </c>
      <c r="R143" s="13" t="s">
        <v>34</v>
      </c>
      <c r="S143" s="20">
        <f t="shared" si="1"/>
        <v>1.0000000000000001E-5</v>
      </c>
      <c r="T143" s="10" t="s">
        <v>49</v>
      </c>
      <c r="U143" s="10" t="s">
        <v>50</v>
      </c>
      <c r="V143" s="20" t="s">
        <v>48</v>
      </c>
      <c r="W143" s="13" t="s">
        <v>34</v>
      </c>
      <c r="X143" s="13" t="s">
        <v>43</v>
      </c>
      <c r="Y143" s="13">
        <v>1</v>
      </c>
      <c r="Z143" s="10" t="s">
        <v>51</v>
      </c>
      <c r="AA143" s="13" t="s">
        <v>43</v>
      </c>
      <c r="AB143" s="13">
        <v>6</v>
      </c>
      <c r="AC143" s="13" t="s">
        <v>110</v>
      </c>
      <c r="AD143" s="13" t="s">
        <v>32</v>
      </c>
      <c r="AE143" s="13">
        <v>0.9</v>
      </c>
      <c r="AF143" s="21" t="s">
        <v>125</v>
      </c>
      <c r="AG143" s="13">
        <v>2014</v>
      </c>
      <c r="AH143" s="21" t="s">
        <v>126</v>
      </c>
      <c r="AI143" s="2">
        <v>51</v>
      </c>
      <c r="AJ143" s="2">
        <v>2</v>
      </c>
      <c r="AK143" s="2">
        <v>1.5</v>
      </c>
    </row>
    <row r="144" spans="1:37" x14ac:dyDescent="0.3">
      <c r="A144" s="11">
        <v>4.5104702055198302</v>
      </c>
      <c r="B144" s="11">
        <v>363.39455397989303</v>
      </c>
      <c r="C144" s="13" t="s">
        <v>33</v>
      </c>
      <c r="D144" s="13" t="s">
        <v>47</v>
      </c>
      <c r="E144" s="10" t="s">
        <v>170</v>
      </c>
      <c r="F144" s="13" t="s">
        <v>34</v>
      </c>
      <c r="G144" s="13">
        <v>0.46</v>
      </c>
      <c r="H144" s="13" t="s">
        <v>34</v>
      </c>
      <c r="I144" s="13" t="s">
        <v>34</v>
      </c>
      <c r="J144" s="13" t="s">
        <v>34</v>
      </c>
      <c r="K144" s="13" t="s">
        <v>34</v>
      </c>
      <c r="L144" s="13">
        <v>0</v>
      </c>
      <c r="M144" s="13">
        <v>48.5</v>
      </c>
      <c r="N144" s="13">
        <v>1610</v>
      </c>
      <c r="O144" s="13" t="s">
        <v>34</v>
      </c>
      <c r="P144" s="13" t="s">
        <v>34</v>
      </c>
      <c r="Q144" s="13" t="s">
        <v>34</v>
      </c>
      <c r="R144" s="13" t="s">
        <v>34</v>
      </c>
      <c r="S144" s="20">
        <f t="shared" si="1"/>
        <v>1.0000000000000001E-5</v>
      </c>
      <c r="T144" s="10" t="s">
        <v>49</v>
      </c>
      <c r="U144" s="10" t="s">
        <v>50</v>
      </c>
      <c r="V144" s="20" t="s">
        <v>48</v>
      </c>
      <c r="W144" s="13" t="s">
        <v>34</v>
      </c>
      <c r="X144" s="13" t="s">
        <v>43</v>
      </c>
      <c r="Y144" s="13">
        <v>1</v>
      </c>
      <c r="Z144" s="10" t="s">
        <v>51</v>
      </c>
      <c r="AA144" s="13" t="s">
        <v>43</v>
      </c>
      <c r="AB144" s="13">
        <v>6</v>
      </c>
      <c r="AC144" s="13" t="s">
        <v>111</v>
      </c>
      <c r="AD144" s="13" t="s">
        <v>32</v>
      </c>
      <c r="AE144" s="13">
        <v>0.9</v>
      </c>
      <c r="AF144" s="21" t="s">
        <v>125</v>
      </c>
      <c r="AG144" s="13">
        <v>2014</v>
      </c>
      <c r="AH144" s="21" t="s">
        <v>126</v>
      </c>
      <c r="AI144" s="2">
        <v>51</v>
      </c>
      <c r="AJ144" s="2">
        <v>2</v>
      </c>
      <c r="AK144" s="2">
        <v>1.5</v>
      </c>
    </row>
    <row r="145" spans="1:37" x14ac:dyDescent="0.3">
      <c r="A145" s="11">
        <v>5.0717481324260696</v>
      </c>
      <c r="B145" s="11">
        <v>599.13460682263099</v>
      </c>
      <c r="C145" s="13" t="s">
        <v>33</v>
      </c>
      <c r="D145" s="13" t="s">
        <v>47</v>
      </c>
      <c r="E145" s="10" t="s">
        <v>170</v>
      </c>
      <c r="F145" s="13" t="s">
        <v>34</v>
      </c>
      <c r="G145" s="13">
        <v>0.46</v>
      </c>
      <c r="H145" s="13" t="s">
        <v>34</v>
      </c>
      <c r="I145" s="13" t="s">
        <v>34</v>
      </c>
      <c r="J145" s="13" t="s">
        <v>34</v>
      </c>
      <c r="K145" s="13" t="s">
        <v>34</v>
      </c>
      <c r="L145" s="13">
        <v>0</v>
      </c>
      <c r="M145" s="13">
        <v>48.5</v>
      </c>
      <c r="N145" s="13">
        <v>1610</v>
      </c>
      <c r="O145" s="13" t="s">
        <v>34</v>
      </c>
      <c r="P145" s="13" t="s">
        <v>34</v>
      </c>
      <c r="Q145" s="13" t="s">
        <v>34</v>
      </c>
      <c r="R145" s="13" t="s">
        <v>34</v>
      </c>
      <c r="S145" s="20">
        <f t="shared" si="1"/>
        <v>1.0000000000000001E-5</v>
      </c>
      <c r="T145" s="10" t="s">
        <v>49</v>
      </c>
      <c r="U145" s="10" t="s">
        <v>50</v>
      </c>
      <c r="V145" s="20" t="s">
        <v>48</v>
      </c>
      <c r="W145" s="13" t="s">
        <v>34</v>
      </c>
      <c r="X145" s="13" t="s">
        <v>43</v>
      </c>
      <c r="Y145" s="13">
        <v>1</v>
      </c>
      <c r="Z145" s="10" t="s">
        <v>51</v>
      </c>
      <c r="AA145" s="13" t="s">
        <v>43</v>
      </c>
      <c r="AB145" s="13">
        <v>6</v>
      </c>
      <c r="AC145" s="13" t="s">
        <v>112</v>
      </c>
      <c r="AD145" s="13" t="s">
        <v>32</v>
      </c>
      <c r="AE145" s="13">
        <v>0.9</v>
      </c>
      <c r="AF145" s="21" t="s">
        <v>125</v>
      </c>
      <c r="AG145" s="13">
        <v>2014</v>
      </c>
      <c r="AH145" s="21" t="s">
        <v>126</v>
      </c>
      <c r="AI145" s="2">
        <v>51</v>
      </c>
      <c r="AJ145" s="2">
        <v>2</v>
      </c>
      <c r="AK145" s="2">
        <v>1.5</v>
      </c>
    </row>
    <row r="146" spans="1:37" x14ac:dyDescent="0.3">
      <c r="A146" s="11">
        <v>5.3183095074598903</v>
      </c>
      <c r="B146" s="11">
        <v>556.70737337652997</v>
      </c>
      <c r="C146" s="13" t="s">
        <v>33</v>
      </c>
      <c r="D146" s="13" t="s">
        <v>47</v>
      </c>
      <c r="E146" s="10" t="s">
        <v>170</v>
      </c>
      <c r="F146" s="13" t="s">
        <v>34</v>
      </c>
      <c r="G146" s="13">
        <v>0.46</v>
      </c>
      <c r="H146" s="13" t="s">
        <v>34</v>
      </c>
      <c r="I146" s="13" t="s">
        <v>34</v>
      </c>
      <c r="J146" s="13" t="s">
        <v>34</v>
      </c>
      <c r="K146" s="13" t="s">
        <v>34</v>
      </c>
      <c r="L146" s="13">
        <v>0</v>
      </c>
      <c r="M146" s="13">
        <v>48.5</v>
      </c>
      <c r="N146" s="13">
        <v>1610</v>
      </c>
      <c r="O146" s="13" t="s">
        <v>34</v>
      </c>
      <c r="P146" s="13" t="s">
        <v>34</v>
      </c>
      <c r="Q146" s="13" t="s">
        <v>34</v>
      </c>
      <c r="R146" s="13" t="s">
        <v>34</v>
      </c>
      <c r="S146" s="20">
        <f t="shared" si="1"/>
        <v>1.0000000000000001E-5</v>
      </c>
      <c r="T146" s="10" t="s">
        <v>49</v>
      </c>
      <c r="U146" s="10" t="s">
        <v>50</v>
      </c>
      <c r="V146" s="20" t="s">
        <v>48</v>
      </c>
      <c r="W146" s="13" t="s">
        <v>34</v>
      </c>
      <c r="X146" s="13" t="s">
        <v>43</v>
      </c>
      <c r="Y146" s="13">
        <v>1</v>
      </c>
      <c r="Z146" s="10" t="s">
        <v>51</v>
      </c>
      <c r="AA146" s="13" t="s">
        <v>43</v>
      </c>
      <c r="AB146" s="13">
        <v>6</v>
      </c>
      <c r="AC146" s="13" t="s">
        <v>113</v>
      </c>
      <c r="AD146" s="13" t="s">
        <v>32</v>
      </c>
      <c r="AE146" s="13">
        <v>0.9</v>
      </c>
      <c r="AF146" s="21" t="s">
        <v>125</v>
      </c>
      <c r="AG146" s="13">
        <v>2014</v>
      </c>
      <c r="AH146" s="21" t="s">
        <v>126</v>
      </c>
      <c r="AI146" s="2">
        <v>51</v>
      </c>
      <c r="AJ146" s="2">
        <v>2</v>
      </c>
      <c r="AK146" s="2">
        <v>1.5</v>
      </c>
    </row>
    <row r="147" spans="1:37" x14ac:dyDescent="0.3">
      <c r="A147" s="11">
        <v>5.5616871631604097</v>
      </c>
      <c r="B147" s="11">
        <v>591.43752763779605</v>
      </c>
      <c r="C147" s="13" t="s">
        <v>33</v>
      </c>
      <c r="D147" s="13" t="s">
        <v>47</v>
      </c>
      <c r="E147" s="10" t="s">
        <v>170</v>
      </c>
      <c r="F147" s="13" t="s">
        <v>34</v>
      </c>
      <c r="G147" s="13">
        <v>0.46</v>
      </c>
      <c r="H147" s="13" t="s">
        <v>34</v>
      </c>
      <c r="I147" s="13" t="s">
        <v>34</v>
      </c>
      <c r="J147" s="13" t="s">
        <v>34</v>
      </c>
      <c r="K147" s="13" t="s">
        <v>34</v>
      </c>
      <c r="L147" s="13">
        <v>0</v>
      </c>
      <c r="M147" s="13">
        <v>48.5</v>
      </c>
      <c r="N147" s="13">
        <v>1610</v>
      </c>
      <c r="O147" s="13" t="s">
        <v>34</v>
      </c>
      <c r="P147" s="13" t="s">
        <v>34</v>
      </c>
      <c r="Q147" s="13" t="s">
        <v>34</v>
      </c>
      <c r="R147" s="13" t="s">
        <v>34</v>
      </c>
      <c r="S147" s="20">
        <f t="shared" si="1"/>
        <v>1.0000000000000001E-5</v>
      </c>
      <c r="T147" s="10" t="s">
        <v>49</v>
      </c>
      <c r="U147" s="10" t="s">
        <v>50</v>
      </c>
      <c r="V147" s="20" t="s">
        <v>48</v>
      </c>
      <c r="W147" s="13" t="s">
        <v>34</v>
      </c>
      <c r="X147" s="13" t="s">
        <v>43</v>
      </c>
      <c r="Y147" s="13">
        <v>1</v>
      </c>
      <c r="Z147" s="10" t="s">
        <v>51</v>
      </c>
      <c r="AA147" s="13" t="s">
        <v>43</v>
      </c>
      <c r="AB147" s="13">
        <v>6</v>
      </c>
      <c r="AC147" s="13" t="s">
        <v>114</v>
      </c>
      <c r="AD147" s="13" t="s">
        <v>32</v>
      </c>
      <c r="AE147" s="13">
        <v>0.9</v>
      </c>
      <c r="AF147" s="21" t="s">
        <v>125</v>
      </c>
      <c r="AG147" s="13">
        <v>2014</v>
      </c>
      <c r="AH147" s="21" t="s">
        <v>126</v>
      </c>
      <c r="AI147" s="2">
        <v>51</v>
      </c>
      <c r="AJ147" s="2">
        <v>2</v>
      </c>
      <c r="AK147" s="2">
        <v>1.5</v>
      </c>
    </row>
    <row r="148" spans="1:37" x14ac:dyDescent="0.3">
      <c r="A148" s="11">
        <v>5.88961025448946</v>
      </c>
      <c r="B148" s="11">
        <v>565.87681051149298</v>
      </c>
      <c r="C148" s="13" t="s">
        <v>33</v>
      </c>
      <c r="D148" s="13" t="s">
        <v>47</v>
      </c>
      <c r="E148" s="10" t="s">
        <v>170</v>
      </c>
      <c r="F148" s="13" t="s">
        <v>34</v>
      </c>
      <c r="G148" s="13">
        <v>0.46</v>
      </c>
      <c r="H148" s="13" t="s">
        <v>34</v>
      </c>
      <c r="I148" s="13" t="s">
        <v>34</v>
      </c>
      <c r="J148" s="13" t="s">
        <v>34</v>
      </c>
      <c r="K148" s="13" t="s">
        <v>34</v>
      </c>
      <c r="L148" s="13">
        <v>0</v>
      </c>
      <c r="M148" s="13">
        <v>48.5</v>
      </c>
      <c r="N148" s="13">
        <v>1610</v>
      </c>
      <c r="O148" s="13" t="s">
        <v>34</v>
      </c>
      <c r="P148" s="13" t="s">
        <v>34</v>
      </c>
      <c r="Q148" s="13" t="s">
        <v>34</v>
      </c>
      <c r="R148" s="13" t="s">
        <v>34</v>
      </c>
      <c r="S148" s="20">
        <f t="shared" si="1"/>
        <v>1.0000000000000001E-5</v>
      </c>
      <c r="T148" s="10" t="s">
        <v>49</v>
      </c>
      <c r="U148" s="10" t="s">
        <v>50</v>
      </c>
      <c r="V148" s="20" t="s">
        <v>48</v>
      </c>
      <c r="W148" s="13" t="s">
        <v>34</v>
      </c>
      <c r="X148" s="13" t="s">
        <v>43</v>
      </c>
      <c r="Y148" s="13">
        <v>1</v>
      </c>
      <c r="Z148" s="10" t="s">
        <v>51</v>
      </c>
      <c r="AA148" s="13" t="s">
        <v>43</v>
      </c>
      <c r="AB148" s="13">
        <v>6</v>
      </c>
      <c r="AC148" s="13" t="s">
        <v>115</v>
      </c>
      <c r="AD148" s="13" t="s">
        <v>32</v>
      </c>
      <c r="AE148" s="13">
        <v>0.9</v>
      </c>
      <c r="AF148" s="21" t="s">
        <v>125</v>
      </c>
      <c r="AG148" s="13">
        <v>2014</v>
      </c>
      <c r="AH148" s="21" t="s">
        <v>126</v>
      </c>
      <c r="AI148" s="2">
        <v>51</v>
      </c>
      <c r="AJ148" s="2">
        <v>2</v>
      </c>
      <c r="AK148" s="2">
        <v>1.5</v>
      </c>
    </row>
    <row r="149" spans="1:37" x14ac:dyDescent="0.3">
      <c r="A149" s="11">
        <v>6.8221681198021802</v>
      </c>
      <c r="B149" s="11">
        <v>752.10701254221397</v>
      </c>
      <c r="C149" s="13" t="s">
        <v>33</v>
      </c>
      <c r="D149" s="13" t="s">
        <v>47</v>
      </c>
      <c r="E149" s="10" t="s">
        <v>170</v>
      </c>
      <c r="F149" s="13" t="s">
        <v>34</v>
      </c>
      <c r="G149" s="13">
        <v>0.46</v>
      </c>
      <c r="H149" s="13" t="s">
        <v>34</v>
      </c>
      <c r="I149" s="13" t="s">
        <v>34</v>
      </c>
      <c r="J149" s="13" t="s">
        <v>34</v>
      </c>
      <c r="K149" s="13" t="s">
        <v>34</v>
      </c>
      <c r="L149" s="13">
        <v>0</v>
      </c>
      <c r="M149" s="13">
        <v>48.5</v>
      </c>
      <c r="N149" s="13">
        <v>1610</v>
      </c>
      <c r="O149" s="13" t="s">
        <v>34</v>
      </c>
      <c r="P149" s="13" t="s">
        <v>34</v>
      </c>
      <c r="Q149" s="13" t="s">
        <v>34</v>
      </c>
      <c r="R149" s="13" t="s">
        <v>34</v>
      </c>
      <c r="S149" s="20">
        <f t="shared" si="1"/>
        <v>1.0000000000000001E-5</v>
      </c>
      <c r="T149" s="10" t="s">
        <v>49</v>
      </c>
      <c r="U149" s="10" t="s">
        <v>50</v>
      </c>
      <c r="V149" s="20" t="s">
        <v>48</v>
      </c>
      <c r="W149" s="13" t="s">
        <v>34</v>
      </c>
      <c r="X149" s="13" t="s">
        <v>43</v>
      </c>
      <c r="Y149" s="13">
        <v>1</v>
      </c>
      <c r="Z149" s="10" t="s">
        <v>51</v>
      </c>
      <c r="AA149" s="13" t="s">
        <v>43</v>
      </c>
      <c r="AB149" s="13">
        <v>6</v>
      </c>
      <c r="AC149" s="13" t="s">
        <v>116</v>
      </c>
      <c r="AD149" s="13" t="s">
        <v>32</v>
      </c>
      <c r="AE149" s="13">
        <v>0.9</v>
      </c>
      <c r="AF149" s="21" t="s">
        <v>125</v>
      </c>
      <c r="AG149" s="13">
        <v>2014</v>
      </c>
      <c r="AH149" s="21" t="s">
        <v>126</v>
      </c>
      <c r="AI149" s="2">
        <v>51</v>
      </c>
      <c r="AJ149" s="2">
        <v>2</v>
      </c>
      <c r="AK149" s="2">
        <v>1.5</v>
      </c>
    </row>
    <row r="150" spans="1:37" x14ac:dyDescent="0.3">
      <c r="A150" s="11">
        <v>7.1213126719712596</v>
      </c>
      <c r="B150" s="11">
        <v>694.85388145824595</v>
      </c>
      <c r="C150" s="13" t="s">
        <v>33</v>
      </c>
      <c r="D150" s="13" t="s">
        <v>47</v>
      </c>
      <c r="E150" s="10" t="s">
        <v>170</v>
      </c>
      <c r="F150" s="13" t="s">
        <v>34</v>
      </c>
      <c r="G150" s="13">
        <v>0.46</v>
      </c>
      <c r="H150" s="13" t="s">
        <v>34</v>
      </c>
      <c r="I150" s="13" t="s">
        <v>34</v>
      </c>
      <c r="J150" s="13" t="s">
        <v>34</v>
      </c>
      <c r="K150" s="13" t="s">
        <v>34</v>
      </c>
      <c r="L150" s="13">
        <v>0</v>
      </c>
      <c r="M150" s="13">
        <v>48.5</v>
      </c>
      <c r="N150" s="13">
        <v>1610</v>
      </c>
      <c r="O150" s="13" t="s">
        <v>34</v>
      </c>
      <c r="P150" s="13" t="s">
        <v>34</v>
      </c>
      <c r="Q150" s="13" t="s">
        <v>34</v>
      </c>
      <c r="R150" s="13" t="s">
        <v>34</v>
      </c>
      <c r="S150" s="20">
        <f t="shared" si="1"/>
        <v>1.0000000000000001E-5</v>
      </c>
      <c r="T150" s="10" t="s">
        <v>49</v>
      </c>
      <c r="U150" s="10" t="s">
        <v>50</v>
      </c>
      <c r="V150" s="20" t="s">
        <v>48</v>
      </c>
      <c r="W150" s="13" t="s">
        <v>34</v>
      </c>
      <c r="X150" s="13" t="s">
        <v>43</v>
      </c>
      <c r="Y150" s="13">
        <v>1</v>
      </c>
      <c r="Z150" s="10" t="s">
        <v>51</v>
      </c>
      <c r="AA150" s="13" t="s">
        <v>43</v>
      </c>
      <c r="AB150" s="13">
        <v>6</v>
      </c>
      <c r="AC150" s="13" t="s">
        <v>117</v>
      </c>
      <c r="AD150" s="13" t="s">
        <v>32</v>
      </c>
      <c r="AE150" s="13">
        <v>0.9</v>
      </c>
      <c r="AF150" s="21" t="s">
        <v>125</v>
      </c>
      <c r="AG150" s="13">
        <v>2014</v>
      </c>
      <c r="AH150" s="21" t="s">
        <v>126</v>
      </c>
      <c r="AI150" s="2">
        <v>51</v>
      </c>
      <c r="AJ150" s="2">
        <v>2</v>
      </c>
      <c r="AK150" s="2">
        <v>1.5</v>
      </c>
    </row>
    <row r="151" spans="1:37" x14ac:dyDescent="0.3">
      <c r="A151" s="11">
        <v>7.3247722277164202</v>
      </c>
      <c r="B151" s="11">
        <v>748.65615096138902</v>
      </c>
      <c r="C151" s="13" t="s">
        <v>33</v>
      </c>
      <c r="D151" s="13" t="s">
        <v>47</v>
      </c>
      <c r="E151" s="10" t="s">
        <v>170</v>
      </c>
      <c r="F151" s="13" t="s">
        <v>34</v>
      </c>
      <c r="G151" s="13">
        <v>0.46</v>
      </c>
      <c r="H151" s="13" t="s">
        <v>34</v>
      </c>
      <c r="I151" s="13" t="s">
        <v>34</v>
      </c>
      <c r="J151" s="13" t="s">
        <v>34</v>
      </c>
      <c r="K151" s="13" t="s">
        <v>34</v>
      </c>
      <c r="L151" s="13">
        <v>0</v>
      </c>
      <c r="M151" s="13">
        <v>48.5</v>
      </c>
      <c r="N151" s="13">
        <v>1610</v>
      </c>
      <c r="O151" s="13" t="s">
        <v>34</v>
      </c>
      <c r="P151" s="13" t="s">
        <v>34</v>
      </c>
      <c r="Q151" s="13" t="s">
        <v>34</v>
      </c>
      <c r="R151" s="13" t="s">
        <v>34</v>
      </c>
      <c r="S151" s="20">
        <f t="shared" ref="S151:S157" si="2">0.001/100</f>
        <v>1.0000000000000001E-5</v>
      </c>
      <c r="T151" s="10" t="s">
        <v>49</v>
      </c>
      <c r="U151" s="10" t="s">
        <v>50</v>
      </c>
      <c r="V151" s="20" t="s">
        <v>48</v>
      </c>
      <c r="W151" s="13" t="s">
        <v>34</v>
      </c>
      <c r="X151" s="13" t="s">
        <v>43</v>
      </c>
      <c r="Y151" s="13">
        <v>1</v>
      </c>
      <c r="Z151" s="10" t="s">
        <v>51</v>
      </c>
      <c r="AA151" s="13" t="s">
        <v>43</v>
      </c>
      <c r="AB151" s="13">
        <v>6</v>
      </c>
      <c r="AC151" s="13" t="s">
        <v>118</v>
      </c>
      <c r="AD151" s="13" t="s">
        <v>32</v>
      </c>
      <c r="AE151" s="13">
        <v>0.9</v>
      </c>
      <c r="AF151" s="21" t="s">
        <v>125</v>
      </c>
      <c r="AG151" s="13">
        <v>2014</v>
      </c>
      <c r="AH151" s="21" t="s">
        <v>126</v>
      </c>
      <c r="AI151" s="2">
        <v>51</v>
      </c>
      <c r="AJ151" s="2">
        <v>2</v>
      </c>
      <c r="AK151" s="2">
        <v>1.5</v>
      </c>
    </row>
    <row r="152" spans="1:37" x14ac:dyDescent="0.3">
      <c r="A152" s="11">
        <v>7.3610666037783803</v>
      </c>
      <c r="B152" s="11">
        <v>771.07883677390998</v>
      </c>
      <c r="C152" s="13" t="s">
        <v>33</v>
      </c>
      <c r="D152" s="13" t="s">
        <v>47</v>
      </c>
      <c r="E152" s="10" t="s">
        <v>170</v>
      </c>
      <c r="F152" s="13" t="s">
        <v>34</v>
      </c>
      <c r="G152" s="13">
        <v>0.46</v>
      </c>
      <c r="H152" s="13" t="s">
        <v>34</v>
      </c>
      <c r="I152" s="13" t="s">
        <v>34</v>
      </c>
      <c r="J152" s="13" t="s">
        <v>34</v>
      </c>
      <c r="K152" s="13" t="s">
        <v>34</v>
      </c>
      <c r="L152" s="13">
        <v>0</v>
      </c>
      <c r="M152" s="13">
        <v>48.5</v>
      </c>
      <c r="N152" s="13">
        <v>1610</v>
      </c>
      <c r="O152" s="13" t="s">
        <v>34</v>
      </c>
      <c r="P152" s="13" t="s">
        <v>34</v>
      </c>
      <c r="Q152" s="13" t="s">
        <v>34</v>
      </c>
      <c r="R152" s="13" t="s">
        <v>34</v>
      </c>
      <c r="S152" s="20">
        <f t="shared" si="2"/>
        <v>1.0000000000000001E-5</v>
      </c>
      <c r="T152" s="10" t="s">
        <v>49</v>
      </c>
      <c r="U152" s="10" t="s">
        <v>50</v>
      </c>
      <c r="V152" s="20" t="s">
        <v>48</v>
      </c>
      <c r="W152" s="13" t="s">
        <v>34</v>
      </c>
      <c r="X152" s="13" t="s">
        <v>43</v>
      </c>
      <c r="Y152" s="13">
        <v>1</v>
      </c>
      <c r="Z152" s="10" t="s">
        <v>51</v>
      </c>
      <c r="AA152" s="13" t="s">
        <v>43</v>
      </c>
      <c r="AB152" s="13">
        <v>6</v>
      </c>
      <c r="AC152" s="13" t="s">
        <v>119</v>
      </c>
      <c r="AD152" s="13" t="s">
        <v>32</v>
      </c>
      <c r="AE152" s="13">
        <v>0.9</v>
      </c>
      <c r="AF152" s="21" t="s">
        <v>125</v>
      </c>
      <c r="AG152" s="13">
        <v>2014</v>
      </c>
      <c r="AH152" s="21" t="s">
        <v>126</v>
      </c>
      <c r="AI152" s="2">
        <v>51</v>
      </c>
      <c r="AJ152" s="2">
        <v>2</v>
      </c>
      <c r="AK152" s="2">
        <v>1.5</v>
      </c>
    </row>
    <row r="153" spans="1:37" x14ac:dyDescent="0.3">
      <c r="A153" s="11">
        <v>8.9085183566736692</v>
      </c>
      <c r="B153" s="11">
        <v>796.28246167684597</v>
      </c>
      <c r="C153" s="13" t="s">
        <v>33</v>
      </c>
      <c r="D153" s="13" t="s">
        <v>47</v>
      </c>
      <c r="E153" s="10" t="s">
        <v>170</v>
      </c>
      <c r="F153" s="13" t="s">
        <v>34</v>
      </c>
      <c r="G153" s="13">
        <v>0.46</v>
      </c>
      <c r="H153" s="13" t="s">
        <v>34</v>
      </c>
      <c r="I153" s="13" t="s">
        <v>34</v>
      </c>
      <c r="J153" s="13" t="s">
        <v>34</v>
      </c>
      <c r="K153" s="13" t="s">
        <v>34</v>
      </c>
      <c r="L153" s="13">
        <v>0</v>
      </c>
      <c r="M153" s="13">
        <v>48.5</v>
      </c>
      <c r="N153" s="13">
        <v>1610</v>
      </c>
      <c r="O153" s="13" t="s">
        <v>34</v>
      </c>
      <c r="P153" s="13" t="s">
        <v>34</v>
      </c>
      <c r="Q153" s="13" t="s">
        <v>34</v>
      </c>
      <c r="R153" s="13" t="s">
        <v>34</v>
      </c>
      <c r="S153" s="20">
        <f t="shared" si="2"/>
        <v>1.0000000000000001E-5</v>
      </c>
      <c r="T153" s="10" t="s">
        <v>49</v>
      </c>
      <c r="U153" s="10" t="s">
        <v>50</v>
      </c>
      <c r="V153" s="20" t="s">
        <v>48</v>
      </c>
      <c r="W153" s="13" t="s">
        <v>34</v>
      </c>
      <c r="X153" s="13" t="s">
        <v>43</v>
      </c>
      <c r="Y153" s="13">
        <v>1</v>
      </c>
      <c r="Z153" s="10" t="s">
        <v>51</v>
      </c>
      <c r="AA153" s="13" t="s">
        <v>43</v>
      </c>
      <c r="AB153" s="13">
        <v>6</v>
      </c>
      <c r="AC153" s="13" t="s">
        <v>120</v>
      </c>
      <c r="AD153" s="13" t="s">
        <v>32</v>
      </c>
      <c r="AE153" s="13">
        <v>0.9</v>
      </c>
      <c r="AF153" s="21" t="s">
        <v>125</v>
      </c>
      <c r="AG153" s="13">
        <v>2014</v>
      </c>
      <c r="AH153" s="21" t="s">
        <v>126</v>
      </c>
      <c r="AI153" s="2">
        <v>51</v>
      </c>
      <c r="AJ153" s="2">
        <v>2</v>
      </c>
      <c r="AK153" s="2">
        <v>1.5</v>
      </c>
    </row>
    <row r="154" spans="1:37" x14ac:dyDescent="0.3">
      <c r="A154" s="11">
        <v>7.18134715025906</v>
      </c>
      <c r="B154" s="11">
        <v>772.26606538895101</v>
      </c>
      <c r="C154" s="13" t="s">
        <v>33</v>
      </c>
      <c r="D154" s="13" t="s">
        <v>47</v>
      </c>
      <c r="E154" s="10" t="s">
        <v>170</v>
      </c>
      <c r="F154" s="13" t="s">
        <v>34</v>
      </c>
      <c r="G154" s="13">
        <v>0.46</v>
      </c>
      <c r="H154" s="13" t="s">
        <v>34</v>
      </c>
      <c r="I154" s="13" t="s">
        <v>34</v>
      </c>
      <c r="J154" s="13" t="s">
        <v>34</v>
      </c>
      <c r="K154" s="13" t="s">
        <v>34</v>
      </c>
      <c r="L154" s="13">
        <v>0</v>
      </c>
      <c r="M154" s="13">
        <v>48.5</v>
      </c>
      <c r="N154" s="13">
        <v>1610</v>
      </c>
      <c r="O154" s="13" t="s">
        <v>34</v>
      </c>
      <c r="P154" s="13" t="s">
        <v>34</v>
      </c>
      <c r="Q154" s="13" t="s">
        <v>34</v>
      </c>
      <c r="R154" s="13" t="s">
        <v>34</v>
      </c>
      <c r="S154" s="20">
        <f t="shared" si="2"/>
        <v>1.0000000000000001E-5</v>
      </c>
      <c r="T154" s="10" t="s">
        <v>49</v>
      </c>
      <c r="U154" s="10" t="s">
        <v>50</v>
      </c>
      <c r="V154" s="20" t="s">
        <v>48</v>
      </c>
      <c r="W154" s="13" t="s">
        <v>34</v>
      </c>
      <c r="X154" s="13" t="s">
        <v>43</v>
      </c>
      <c r="Y154" s="13">
        <v>1</v>
      </c>
      <c r="Z154" s="10" t="s">
        <v>51</v>
      </c>
      <c r="AA154" s="13" t="s">
        <v>43</v>
      </c>
      <c r="AB154" s="13">
        <v>6</v>
      </c>
      <c r="AC154" s="13" t="s">
        <v>121</v>
      </c>
      <c r="AD154" s="13" t="s">
        <v>32</v>
      </c>
      <c r="AE154" s="13">
        <v>0.9</v>
      </c>
      <c r="AF154" s="21" t="s">
        <v>125</v>
      </c>
      <c r="AG154" s="13">
        <v>2014</v>
      </c>
      <c r="AH154" s="21" t="s">
        <v>126</v>
      </c>
      <c r="AI154" s="2">
        <v>51</v>
      </c>
      <c r="AJ154" s="2">
        <v>2</v>
      </c>
      <c r="AK154" s="2">
        <v>1.5</v>
      </c>
    </row>
    <row r="155" spans="1:37" x14ac:dyDescent="0.3">
      <c r="A155" s="11">
        <v>4.6943005181347104</v>
      </c>
      <c r="B155" s="11">
        <v>338.21871476888299</v>
      </c>
      <c r="C155" s="13" t="s">
        <v>33</v>
      </c>
      <c r="D155" s="13" t="s">
        <v>47</v>
      </c>
      <c r="E155" s="10" t="s">
        <v>170</v>
      </c>
      <c r="F155" s="13" t="s">
        <v>34</v>
      </c>
      <c r="G155" s="13">
        <v>0.46</v>
      </c>
      <c r="H155" s="13" t="s">
        <v>34</v>
      </c>
      <c r="I155" s="13" t="s">
        <v>34</v>
      </c>
      <c r="J155" s="13" t="s">
        <v>34</v>
      </c>
      <c r="K155" s="13" t="s">
        <v>34</v>
      </c>
      <c r="L155" s="13">
        <v>0</v>
      </c>
      <c r="M155" s="13">
        <v>48.5</v>
      </c>
      <c r="N155" s="13">
        <v>1610</v>
      </c>
      <c r="O155" s="13" t="s">
        <v>34</v>
      </c>
      <c r="P155" s="13" t="s">
        <v>34</v>
      </c>
      <c r="Q155" s="13" t="s">
        <v>34</v>
      </c>
      <c r="R155" s="13" t="s">
        <v>34</v>
      </c>
      <c r="S155" s="20">
        <f t="shared" si="2"/>
        <v>1.0000000000000001E-5</v>
      </c>
      <c r="T155" s="10" t="s">
        <v>49</v>
      </c>
      <c r="U155" s="10" t="s">
        <v>50</v>
      </c>
      <c r="V155" s="20" t="s">
        <v>48</v>
      </c>
      <c r="W155" s="13" t="s">
        <v>34</v>
      </c>
      <c r="X155" s="13" t="s">
        <v>43</v>
      </c>
      <c r="Y155" s="13">
        <v>1</v>
      </c>
      <c r="Z155" s="10" t="s">
        <v>51</v>
      </c>
      <c r="AA155" s="13" t="s">
        <v>43</v>
      </c>
      <c r="AB155" s="13">
        <v>6</v>
      </c>
      <c r="AC155" s="13" t="s">
        <v>122</v>
      </c>
      <c r="AD155" s="13" t="s">
        <v>32</v>
      </c>
      <c r="AE155" s="13">
        <v>0.9</v>
      </c>
      <c r="AF155" s="21" t="s">
        <v>125</v>
      </c>
      <c r="AG155" s="13">
        <v>2014</v>
      </c>
      <c r="AH155" s="21" t="s">
        <v>126</v>
      </c>
      <c r="AI155" s="2">
        <v>51</v>
      </c>
      <c r="AJ155" s="2">
        <v>2</v>
      </c>
      <c r="AK155" s="2">
        <v>1.5</v>
      </c>
    </row>
    <row r="156" spans="1:37" x14ac:dyDescent="0.3">
      <c r="A156" s="11">
        <v>4.9119170984455902</v>
      </c>
      <c r="B156" s="11">
        <v>349.492671927846</v>
      </c>
      <c r="C156" s="13" t="s">
        <v>33</v>
      </c>
      <c r="D156" s="13" t="s">
        <v>47</v>
      </c>
      <c r="E156" s="10" t="s">
        <v>170</v>
      </c>
      <c r="F156" s="13" t="s">
        <v>34</v>
      </c>
      <c r="G156" s="13">
        <v>0.46</v>
      </c>
      <c r="H156" s="13" t="s">
        <v>34</v>
      </c>
      <c r="I156" s="13" t="s">
        <v>34</v>
      </c>
      <c r="J156" s="13" t="s">
        <v>34</v>
      </c>
      <c r="K156" s="13" t="s">
        <v>34</v>
      </c>
      <c r="L156" s="13">
        <v>0</v>
      </c>
      <c r="M156" s="13">
        <v>48.5</v>
      </c>
      <c r="N156" s="13">
        <v>1610</v>
      </c>
      <c r="O156" s="13" t="s">
        <v>34</v>
      </c>
      <c r="P156" s="13" t="s">
        <v>34</v>
      </c>
      <c r="Q156" s="13" t="s">
        <v>34</v>
      </c>
      <c r="R156" s="13" t="s">
        <v>34</v>
      </c>
      <c r="S156" s="20">
        <f t="shared" si="2"/>
        <v>1.0000000000000001E-5</v>
      </c>
      <c r="T156" s="10" t="s">
        <v>49</v>
      </c>
      <c r="U156" s="10" t="s">
        <v>50</v>
      </c>
      <c r="V156" s="20" t="s">
        <v>48</v>
      </c>
      <c r="W156" s="13" t="s">
        <v>34</v>
      </c>
      <c r="X156" s="13" t="s">
        <v>43</v>
      </c>
      <c r="Y156" s="13">
        <v>1</v>
      </c>
      <c r="Z156" s="10" t="s">
        <v>51</v>
      </c>
      <c r="AA156" s="13" t="s">
        <v>43</v>
      </c>
      <c r="AB156" s="13">
        <v>6</v>
      </c>
      <c r="AC156" s="13" t="s">
        <v>123</v>
      </c>
      <c r="AD156" s="13" t="s">
        <v>32</v>
      </c>
      <c r="AE156" s="13">
        <v>0.9</v>
      </c>
      <c r="AF156" s="21" t="s">
        <v>125</v>
      </c>
      <c r="AG156" s="13">
        <v>2014</v>
      </c>
      <c r="AH156" s="21" t="s">
        <v>126</v>
      </c>
      <c r="AI156" s="2">
        <v>51</v>
      </c>
      <c r="AJ156" s="2">
        <v>2</v>
      </c>
      <c r="AK156" s="2">
        <v>1.5</v>
      </c>
    </row>
    <row r="157" spans="1:37" s="15" customFormat="1" ht="16.2" thickBot="1" x14ac:dyDescent="0.35">
      <c r="A157" s="17">
        <v>5.03626943005181</v>
      </c>
      <c r="B157" s="17">
        <v>388.95152198421601</v>
      </c>
      <c r="C157" s="18" t="s">
        <v>33</v>
      </c>
      <c r="D157" s="18" t="s">
        <v>47</v>
      </c>
      <c r="E157" s="10" t="s">
        <v>170</v>
      </c>
      <c r="F157" s="18" t="s">
        <v>34</v>
      </c>
      <c r="G157" s="18">
        <v>0.46</v>
      </c>
      <c r="H157" s="18" t="s">
        <v>34</v>
      </c>
      <c r="I157" s="18" t="s">
        <v>34</v>
      </c>
      <c r="J157" s="18" t="s">
        <v>34</v>
      </c>
      <c r="K157" s="18" t="s">
        <v>34</v>
      </c>
      <c r="L157" s="18">
        <v>0</v>
      </c>
      <c r="M157" s="18">
        <v>48.5</v>
      </c>
      <c r="N157" s="18">
        <v>1610</v>
      </c>
      <c r="O157" s="18" t="s">
        <v>34</v>
      </c>
      <c r="P157" s="18" t="s">
        <v>34</v>
      </c>
      <c r="Q157" s="18" t="s">
        <v>34</v>
      </c>
      <c r="R157" s="18" t="s">
        <v>34</v>
      </c>
      <c r="S157" s="22">
        <f t="shared" si="2"/>
        <v>1.0000000000000001E-5</v>
      </c>
      <c r="T157" s="14" t="s">
        <v>49</v>
      </c>
      <c r="U157" s="14" t="s">
        <v>50</v>
      </c>
      <c r="V157" s="22" t="s">
        <v>48</v>
      </c>
      <c r="W157" s="18" t="s">
        <v>34</v>
      </c>
      <c r="X157" s="18" t="s">
        <v>43</v>
      </c>
      <c r="Y157" s="18">
        <v>1</v>
      </c>
      <c r="Z157" s="14" t="s">
        <v>51</v>
      </c>
      <c r="AA157" s="18" t="s">
        <v>43</v>
      </c>
      <c r="AB157" s="18">
        <v>6</v>
      </c>
      <c r="AC157" s="18" t="s">
        <v>124</v>
      </c>
      <c r="AD157" s="18" t="s">
        <v>32</v>
      </c>
      <c r="AE157" s="18">
        <v>0.9</v>
      </c>
      <c r="AF157" s="23" t="s">
        <v>125</v>
      </c>
      <c r="AG157" s="18">
        <v>2014</v>
      </c>
      <c r="AH157" s="23" t="s">
        <v>126</v>
      </c>
      <c r="AI157" s="2">
        <v>51</v>
      </c>
      <c r="AJ157" s="2">
        <v>2</v>
      </c>
      <c r="AK157" s="2">
        <v>1.5</v>
      </c>
    </row>
    <row r="158" spans="1:37" x14ac:dyDescent="0.3">
      <c r="A158" s="12">
        <v>1.39601139601139</v>
      </c>
      <c r="B158" s="12">
        <v>44.397463002114399</v>
      </c>
      <c r="C158" s="13" t="s">
        <v>33</v>
      </c>
      <c r="D158" s="13" t="s">
        <v>35</v>
      </c>
      <c r="E158" s="10" t="s">
        <v>170</v>
      </c>
      <c r="F158" s="13" t="s">
        <v>34</v>
      </c>
      <c r="G158" s="13">
        <v>0.42</v>
      </c>
      <c r="H158" s="13" t="s">
        <v>34</v>
      </c>
      <c r="I158" s="13" t="s">
        <v>34</v>
      </c>
      <c r="J158" s="13" t="s">
        <v>34</v>
      </c>
      <c r="K158" s="13" t="s">
        <v>34</v>
      </c>
      <c r="L158" s="13">
        <v>0</v>
      </c>
      <c r="M158" s="13" t="s">
        <v>34</v>
      </c>
      <c r="N158" s="13" t="s">
        <v>34</v>
      </c>
      <c r="O158" s="13" t="s">
        <v>34</v>
      </c>
      <c r="P158" s="13" t="s">
        <v>34</v>
      </c>
      <c r="Q158" s="10" t="s">
        <v>34</v>
      </c>
      <c r="R158" s="13">
        <v>2.66</v>
      </c>
      <c r="S158" s="13" t="s">
        <v>34</v>
      </c>
      <c r="T158" s="13" t="s">
        <v>36</v>
      </c>
      <c r="U158" s="13" t="s">
        <v>37</v>
      </c>
      <c r="V158" s="13" t="s">
        <v>48</v>
      </c>
      <c r="W158" s="13" t="s">
        <v>34</v>
      </c>
      <c r="X158" s="13">
        <v>1</v>
      </c>
      <c r="Y158" s="13">
        <v>1</v>
      </c>
      <c r="Z158" s="13" t="s">
        <v>39</v>
      </c>
      <c r="AA158" s="13" t="s">
        <v>34</v>
      </c>
      <c r="AB158" s="13">
        <v>6</v>
      </c>
      <c r="AC158" s="13" t="s">
        <v>123</v>
      </c>
      <c r="AD158" s="13" t="s">
        <v>32</v>
      </c>
      <c r="AE158" s="12">
        <v>0.9819</v>
      </c>
      <c r="AF158" s="13" t="s">
        <v>139</v>
      </c>
      <c r="AG158" s="13">
        <v>2017</v>
      </c>
      <c r="AH158" s="21" t="s">
        <v>140</v>
      </c>
      <c r="AI158" s="2">
        <v>39.1</v>
      </c>
      <c r="AJ158" s="2">
        <v>2.0499999999999998</v>
      </c>
      <c r="AK158" s="2">
        <v>1.5</v>
      </c>
    </row>
    <row r="159" spans="1:37" x14ac:dyDescent="0.3">
      <c r="A159" s="11">
        <v>1.6025641025641</v>
      </c>
      <c r="B159" s="11">
        <v>57.082452431290001</v>
      </c>
      <c r="C159" s="13" t="s">
        <v>33</v>
      </c>
      <c r="D159" s="13" t="s">
        <v>35</v>
      </c>
      <c r="E159" s="10" t="s">
        <v>170</v>
      </c>
      <c r="F159" s="13" t="s">
        <v>34</v>
      </c>
      <c r="G159" s="13">
        <v>0.42</v>
      </c>
      <c r="H159" s="13" t="s">
        <v>34</v>
      </c>
      <c r="I159" s="13" t="s">
        <v>34</v>
      </c>
      <c r="J159" s="13" t="s">
        <v>34</v>
      </c>
      <c r="K159" s="13" t="s">
        <v>34</v>
      </c>
      <c r="L159" s="13">
        <v>0</v>
      </c>
      <c r="M159" s="13" t="s">
        <v>34</v>
      </c>
      <c r="N159" s="13" t="s">
        <v>34</v>
      </c>
      <c r="O159" s="13" t="s">
        <v>34</v>
      </c>
      <c r="P159" s="13" t="s">
        <v>34</v>
      </c>
      <c r="Q159" s="10" t="s">
        <v>34</v>
      </c>
      <c r="R159" s="13">
        <v>2.66</v>
      </c>
      <c r="S159" s="13" t="s">
        <v>34</v>
      </c>
      <c r="T159" s="13" t="s">
        <v>36</v>
      </c>
      <c r="U159" s="13" t="s">
        <v>37</v>
      </c>
      <c r="V159" s="13" t="s">
        <v>48</v>
      </c>
      <c r="W159" s="13" t="s">
        <v>34</v>
      </c>
      <c r="X159" s="13">
        <v>1</v>
      </c>
      <c r="Y159" s="13">
        <v>1</v>
      </c>
      <c r="Z159" s="13" t="s">
        <v>39</v>
      </c>
      <c r="AA159" s="13" t="s">
        <v>34</v>
      </c>
      <c r="AB159" s="13">
        <v>6</v>
      </c>
      <c r="AC159" s="13" t="s">
        <v>124</v>
      </c>
      <c r="AD159" s="13" t="s">
        <v>32</v>
      </c>
      <c r="AE159" s="12">
        <v>0.9819</v>
      </c>
      <c r="AF159" s="13" t="s">
        <v>139</v>
      </c>
      <c r="AG159" s="13">
        <v>2017</v>
      </c>
      <c r="AH159" s="21" t="s">
        <v>140</v>
      </c>
      <c r="AI159" s="2">
        <v>39.1</v>
      </c>
      <c r="AJ159" s="2">
        <v>2.0499999999999998</v>
      </c>
      <c r="AK159" s="2">
        <v>1.5</v>
      </c>
    </row>
    <row r="160" spans="1:37" x14ac:dyDescent="0.3">
      <c r="A160" s="11">
        <v>1.7022792022791999</v>
      </c>
      <c r="B160" s="11">
        <v>69.767441860465595</v>
      </c>
      <c r="C160" s="13" t="s">
        <v>33</v>
      </c>
      <c r="D160" s="13" t="s">
        <v>35</v>
      </c>
      <c r="E160" s="10" t="s">
        <v>170</v>
      </c>
      <c r="F160" s="13" t="s">
        <v>34</v>
      </c>
      <c r="G160" s="13">
        <v>0.42</v>
      </c>
      <c r="H160" s="13" t="s">
        <v>34</v>
      </c>
      <c r="I160" s="13" t="s">
        <v>34</v>
      </c>
      <c r="J160" s="13" t="s">
        <v>34</v>
      </c>
      <c r="K160" s="13" t="s">
        <v>34</v>
      </c>
      <c r="L160" s="13">
        <v>0</v>
      </c>
      <c r="M160" s="13" t="s">
        <v>34</v>
      </c>
      <c r="N160" s="13" t="s">
        <v>34</v>
      </c>
      <c r="O160" s="13" t="s">
        <v>34</v>
      </c>
      <c r="P160" s="13" t="s">
        <v>34</v>
      </c>
      <c r="Q160" s="10" t="s">
        <v>34</v>
      </c>
      <c r="R160" s="13">
        <v>2.66</v>
      </c>
      <c r="S160" s="13" t="s">
        <v>34</v>
      </c>
      <c r="T160" s="13" t="s">
        <v>36</v>
      </c>
      <c r="U160" s="13" t="s">
        <v>37</v>
      </c>
      <c r="V160" s="13" t="s">
        <v>48</v>
      </c>
      <c r="W160" s="13" t="s">
        <v>34</v>
      </c>
      <c r="X160" s="13">
        <v>1</v>
      </c>
      <c r="Y160" s="13">
        <v>1</v>
      </c>
      <c r="Z160" s="13" t="s">
        <v>39</v>
      </c>
      <c r="AA160" s="13" t="s">
        <v>34</v>
      </c>
      <c r="AB160" s="13">
        <v>6</v>
      </c>
      <c r="AC160" s="13" t="s">
        <v>127</v>
      </c>
      <c r="AD160" s="13" t="s">
        <v>32</v>
      </c>
      <c r="AE160" s="12">
        <v>0.9819</v>
      </c>
      <c r="AF160" s="13" t="s">
        <v>139</v>
      </c>
      <c r="AG160" s="13">
        <v>2017</v>
      </c>
      <c r="AH160" s="21" t="s">
        <v>140</v>
      </c>
      <c r="AI160" s="2">
        <v>39.1</v>
      </c>
      <c r="AJ160" s="2">
        <v>2.0499999999999998</v>
      </c>
      <c r="AK160" s="2">
        <v>1.5</v>
      </c>
    </row>
    <row r="161" spans="1:37" x14ac:dyDescent="0.3">
      <c r="A161" s="11">
        <v>1.8589743589743499</v>
      </c>
      <c r="B161" s="11">
        <v>82.452431289640799</v>
      </c>
      <c r="C161" s="13" t="s">
        <v>33</v>
      </c>
      <c r="D161" s="13" t="s">
        <v>35</v>
      </c>
      <c r="E161" s="10" t="s">
        <v>170</v>
      </c>
      <c r="F161" s="13" t="s">
        <v>34</v>
      </c>
      <c r="G161" s="13">
        <v>0.42</v>
      </c>
      <c r="H161" s="13" t="s">
        <v>34</v>
      </c>
      <c r="I161" s="13" t="s">
        <v>34</v>
      </c>
      <c r="J161" s="13" t="s">
        <v>34</v>
      </c>
      <c r="K161" s="13" t="s">
        <v>34</v>
      </c>
      <c r="L161" s="13">
        <v>0</v>
      </c>
      <c r="M161" s="13" t="s">
        <v>34</v>
      </c>
      <c r="N161" s="13" t="s">
        <v>34</v>
      </c>
      <c r="O161" s="13" t="s">
        <v>34</v>
      </c>
      <c r="P161" s="13" t="s">
        <v>34</v>
      </c>
      <c r="Q161" s="10" t="s">
        <v>34</v>
      </c>
      <c r="R161" s="13">
        <v>2.66</v>
      </c>
      <c r="S161" s="13" t="s">
        <v>34</v>
      </c>
      <c r="T161" s="13" t="s">
        <v>36</v>
      </c>
      <c r="U161" s="13" t="s">
        <v>37</v>
      </c>
      <c r="V161" s="13" t="s">
        <v>48</v>
      </c>
      <c r="W161" s="13" t="s">
        <v>34</v>
      </c>
      <c r="X161" s="13">
        <v>1</v>
      </c>
      <c r="Y161" s="13">
        <v>1</v>
      </c>
      <c r="Z161" s="13" t="s">
        <v>39</v>
      </c>
      <c r="AA161" s="13" t="s">
        <v>34</v>
      </c>
      <c r="AB161" s="13">
        <v>6</v>
      </c>
      <c r="AC161" s="13" t="s">
        <v>128</v>
      </c>
      <c r="AD161" s="13" t="s">
        <v>32</v>
      </c>
      <c r="AE161" s="12">
        <v>0.9819</v>
      </c>
      <c r="AF161" s="13" t="s">
        <v>139</v>
      </c>
      <c r="AG161" s="13">
        <v>2017</v>
      </c>
      <c r="AH161" s="21" t="s">
        <v>140</v>
      </c>
      <c r="AI161" s="2">
        <v>39.1</v>
      </c>
      <c r="AJ161" s="2">
        <v>2.0499999999999998</v>
      </c>
      <c r="AK161" s="2">
        <v>1.5</v>
      </c>
    </row>
    <row r="162" spans="1:37" x14ac:dyDescent="0.3">
      <c r="A162" s="11">
        <v>2.8774928774928701</v>
      </c>
      <c r="B162" s="11">
        <v>213.53065539112001</v>
      </c>
      <c r="C162" s="13" t="s">
        <v>33</v>
      </c>
      <c r="D162" s="13" t="s">
        <v>35</v>
      </c>
      <c r="E162" s="10" t="s">
        <v>170</v>
      </c>
      <c r="F162" s="13" t="s">
        <v>34</v>
      </c>
      <c r="G162" s="13">
        <v>0.42</v>
      </c>
      <c r="H162" s="13" t="s">
        <v>34</v>
      </c>
      <c r="I162" s="13" t="s">
        <v>34</v>
      </c>
      <c r="J162" s="13" t="s">
        <v>34</v>
      </c>
      <c r="K162" s="13" t="s">
        <v>34</v>
      </c>
      <c r="L162" s="13">
        <v>0</v>
      </c>
      <c r="M162" s="13" t="s">
        <v>34</v>
      </c>
      <c r="N162" s="13" t="s">
        <v>34</v>
      </c>
      <c r="O162" s="13" t="s">
        <v>34</v>
      </c>
      <c r="P162" s="13" t="s">
        <v>34</v>
      </c>
      <c r="Q162" s="10" t="s">
        <v>34</v>
      </c>
      <c r="R162" s="13">
        <v>2.66</v>
      </c>
      <c r="S162" s="13" t="s">
        <v>34</v>
      </c>
      <c r="T162" s="13" t="s">
        <v>36</v>
      </c>
      <c r="U162" s="13" t="s">
        <v>37</v>
      </c>
      <c r="V162" s="13" t="s">
        <v>48</v>
      </c>
      <c r="W162" s="13" t="s">
        <v>34</v>
      </c>
      <c r="X162" s="13">
        <v>1</v>
      </c>
      <c r="Y162" s="13">
        <v>1</v>
      </c>
      <c r="Z162" s="13" t="s">
        <v>39</v>
      </c>
      <c r="AA162" s="13" t="s">
        <v>34</v>
      </c>
      <c r="AB162" s="13">
        <v>6</v>
      </c>
      <c r="AC162" s="13" t="s">
        <v>129</v>
      </c>
      <c r="AD162" s="13" t="s">
        <v>32</v>
      </c>
      <c r="AE162" s="12">
        <v>0.9819</v>
      </c>
      <c r="AF162" s="13" t="s">
        <v>139</v>
      </c>
      <c r="AG162" s="13">
        <v>2017</v>
      </c>
      <c r="AH162" s="21" t="s">
        <v>140</v>
      </c>
      <c r="AI162" s="2">
        <v>39.1</v>
      </c>
      <c r="AJ162" s="2">
        <v>2.0499999999999998</v>
      </c>
      <c r="AK162" s="2">
        <v>1.5</v>
      </c>
    </row>
    <row r="163" spans="1:37" x14ac:dyDescent="0.3">
      <c r="A163" s="11">
        <v>3.4971509971509902</v>
      </c>
      <c r="B163" s="11">
        <v>285.41226215644798</v>
      </c>
      <c r="C163" s="13" t="s">
        <v>33</v>
      </c>
      <c r="D163" s="13" t="s">
        <v>35</v>
      </c>
      <c r="E163" s="10" t="s">
        <v>170</v>
      </c>
      <c r="F163" s="13" t="s">
        <v>34</v>
      </c>
      <c r="G163" s="13">
        <v>0.42</v>
      </c>
      <c r="H163" s="13" t="s">
        <v>34</v>
      </c>
      <c r="I163" s="13" t="s">
        <v>34</v>
      </c>
      <c r="J163" s="13" t="s">
        <v>34</v>
      </c>
      <c r="K163" s="13" t="s">
        <v>34</v>
      </c>
      <c r="L163" s="13">
        <v>0</v>
      </c>
      <c r="M163" s="13" t="s">
        <v>34</v>
      </c>
      <c r="N163" s="13" t="s">
        <v>34</v>
      </c>
      <c r="O163" s="13" t="s">
        <v>34</v>
      </c>
      <c r="P163" s="13" t="s">
        <v>34</v>
      </c>
      <c r="Q163" s="10" t="s">
        <v>34</v>
      </c>
      <c r="R163" s="13">
        <v>2.66</v>
      </c>
      <c r="S163" s="13" t="s">
        <v>34</v>
      </c>
      <c r="T163" s="13" t="s">
        <v>36</v>
      </c>
      <c r="U163" s="13" t="s">
        <v>37</v>
      </c>
      <c r="V163" s="13" t="s">
        <v>48</v>
      </c>
      <c r="W163" s="13" t="s">
        <v>34</v>
      </c>
      <c r="X163" s="13">
        <v>1</v>
      </c>
      <c r="Y163" s="13">
        <v>1</v>
      </c>
      <c r="Z163" s="13" t="s">
        <v>39</v>
      </c>
      <c r="AA163" s="13" t="s">
        <v>34</v>
      </c>
      <c r="AB163" s="13">
        <v>6</v>
      </c>
      <c r="AC163" s="13" t="s">
        <v>130</v>
      </c>
      <c r="AD163" s="13" t="s">
        <v>32</v>
      </c>
      <c r="AE163" s="12">
        <v>0.9819</v>
      </c>
      <c r="AF163" s="13" t="s">
        <v>139</v>
      </c>
      <c r="AG163" s="13">
        <v>2017</v>
      </c>
      <c r="AH163" s="21" t="s">
        <v>140</v>
      </c>
      <c r="AI163" s="2">
        <v>39.1</v>
      </c>
      <c r="AJ163" s="2">
        <v>2.0499999999999998</v>
      </c>
      <c r="AK163" s="2">
        <v>1.5</v>
      </c>
    </row>
    <row r="164" spans="1:37" x14ac:dyDescent="0.3">
      <c r="A164" s="11">
        <v>3.88888888888888</v>
      </c>
      <c r="B164" s="11">
        <v>357.29386892177502</v>
      </c>
      <c r="C164" s="13" t="s">
        <v>33</v>
      </c>
      <c r="D164" s="13" t="s">
        <v>35</v>
      </c>
      <c r="E164" s="10" t="s">
        <v>170</v>
      </c>
      <c r="F164" s="13" t="s">
        <v>34</v>
      </c>
      <c r="G164" s="13">
        <v>0.42</v>
      </c>
      <c r="H164" s="13" t="s">
        <v>34</v>
      </c>
      <c r="I164" s="13" t="s">
        <v>34</v>
      </c>
      <c r="J164" s="13" t="s">
        <v>34</v>
      </c>
      <c r="K164" s="13" t="s">
        <v>34</v>
      </c>
      <c r="L164" s="13">
        <v>0</v>
      </c>
      <c r="M164" s="13" t="s">
        <v>34</v>
      </c>
      <c r="N164" s="13" t="s">
        <v>34</v>
      </c>
      <c r="O164" s="13" t="s">
        <v>34</v>
      </c>
      <c r="P164" s="13" t="s">
        <v>34</v>
      </c>
      <c r="Q164" s="10" t="s">
        <v>34</v>
      </c>
      <c r="R164" s="13">
        <v>2.66</v>
      </c>
      <c r="S164" s="13" t="s">
        <v>34</v>
      </c>
      <c r="T164" s="13" t="s">
        <v>36</v>
      </c>
      <c r="U164" s="13" t="s">
        <v>37</v>
      </c>
      <c r="V164" s="13" t="s">
        <v>48</v>
      </c>
      <c r="W164" s="13" t="s">
        <v>34</v>
      </c>
      <c r="X164" s="13">
        <v>1</v>
      </c>
      <c r="Y164" s="13">
        <v>1</v>
      </c>
      <c r="Z164" s="13" t="s">
        <v>39</v>
      </c>
      <c r="AA164" s="13" t="s">
        <v>34</v>
      </c>
      <c r="AB164" s="13">
        <v>6</v>
      </c>
      <c r="AC164" s="13" t="s">
        <v>131</v>
      </c>
      <c r="AD164" s="13" t="s">
        <v>32</v>
      </c>
      <c r="AE164" s="12">
        <v>0.9819</v>
      </c>
      <c r="AF164" s="13" t="s">
        <v>139</v>
      </c>
      <c r="AG164" s="13">
        <v>2017</v>
      </c>
      <c r="AH164" s="21" t="s">
        <v>140</v>
      </c>
      <c r="AI164" s="2">
        <v>39.1</v>
      </c>
      <c r="AJ164" s="2">
        <v>2.0499999999999998</v>
      </c>
      <c r="AK164" s="2">
        <v>1.5</v>
      </c>
    </row>
    <row r="165" spans="1:37" x14ac:dyDescent="0.3">
      <c r="A165" s="11">
        <v>4.0527065527065496</v>
      </c>
      <c r="B165" s="11">
        <v>431.289640591965</v>
      </c>
      <c r="C165" s="13" t="s">
        <v>33</v>
      </c>
      <c r="D165" s="13" t="s">
        <v>35</v>
      </c>
      <c r="E165" s="10" t="s">
        <v>170</v>
      </c>
      <c r="F165" s="13" t="s">
        <v>34</v>
      </c>
      <c r="G165" s="13">
        <v>0.42</v>
      </c>
      <c r="H165" s="13" t="s">
        <v>34</v>
      </c>
      <c r="I165" s="13" t="s">
        <v>34</v>
      </c>
      <c r="J165" s="13" t="s">
        <v>34</v>
      </c>
      <c r="K165" s="13" t="s">
        <v>34</v>
      </c>
      <c r="L165" s="13">
        <v>0</v>
      </c>
      <c r="M165" s="13" t="s">
        <v>34</v>
      </c>
      <c r="N165" s="13" t="s">
        <v>34</v>
      </c>
      <c r="O165" s="13" t="s">
        <v>34</v>
      </c>
      <c r="P165" s="13" t="s">
        <v>34</v>
      </c>
      <c r="Q165" s="10" t="s">
        <v>34</v>
      </c>
      <c r="R165" s="13">
        <v>2.66</v>
      </c>
      <c r="S165" s="13" t="s">
        <v>34</v>
      </c>
      <c r="T165" s="13" t="s">
        <v>36</v>
      </c>
      <c r="U165" s="13" t="s">
        <v>37</v>
      </c>
      <c r="V165" s="13" t="s">
        <v>48</v>
      </c>
      <c r="W165" s="13" t="s">
        <v>34</v>
      </c>
      <c r="X165" s="13">
        <v>1</v>
      </c>
      <c r="Y165" s="13">
        <v>1</v>
      </c>
      <c r="Z165" s="13" t="s">
        <v>39</v>
      </c>
      <c r="AA165" s="13" t="s">
        <v>34</v>
      </c>
      <c r="AB165" s="13">
        <v>6</v>
      </c>
      <c r="AC165" s="13" t="s">
        <v>132</v>
      </c>
      <c r="AD165" s="13" t="s">
        <v>32</v>
      </c>
      <c r="AE165" s="12">
        <v>0.9819</v>
      </c>
      <c r="AF165" s="13" t="s">
        <v>139</v>
      </c>
      <c r="AG165" s="13">
        <v>2017</v>
      </c>
      <c r="AH165" s="21" t="s">
        <v>140</v>
      </c>
      <c r="AI165" s="2">
        <v>39.1</v>
      </c>
      <c r="AJ165" s="2">
        <v>2.0499999999999998</v>
      </c>
      <c r="AK165" s="2">
        <v>1.5</v>
      </c>
    </row>
    <row r="166" spans="1:37" x14ac:dyDescent="0.3">
      <c r="A166" s="11">
        <v>4.2948717948717903</v>
      </c>
      <c r="B166" s="11">
        <v>391.12050739957698</v>
      </c>
      <c r="C166" s="13" t="s">
        <v>33</v>
      </c>
      <c r="D166" s="13" t="s">
        <v>35</v>
      </c>
      <c r="E166" s="10" t="s">
        <v>170</v>
      </c>
      <c r="F166" s="13" t="s">
        <v>34</v>
      </c>
      <c r="G166" s="13">
        <v>0.42</v>
      </c>
      <c r="H166" s="13" t="s">
        <v>34</v>
      </c>
      <c r="I166" s="13" t="s">
        <v>34</v>
      </c>
      <c r="J166" s="13" t="s">
        <v>34</v>
      </c>
      <c r="K166" s="13" t="s">
        <v>34</v>
      </c>
      <c r="L166" s="13">
        <v>0</v>
      </c>
      <c r="M166" s="13" t="s">
        <v>34</v>
      </c>
      <c r="N166" s="13" t="s">
        <v>34</v>
      </c>
      <c r="O166" s="13" t="s">
        <v>34</v>
      </c>
      <c r="P166" s="13" t="s">
        <v>34</v>
      </c>
      <c r="Q166" s="10" t="s">
        <v>34</v>
      </c>
      <c r="R166" s="13">
        <v>2.66</v>
      </c>
      <c r="S166" s="13" t="s">
        <v>34</v>
      </c>
      <c r="T166" s="13" t="s">
        <v>36</v>
      </c>
      <c r="U166" s="13" t="s">
        <v>37</v>
      </c>
      <c r="V166" s="13" t="s">
        <v>48</v>
      </c>
      <c r="W166" s="13" t="s">
        <v>34</v>
      </c>
      <c r="X166" s="13">
        <v>1</v>
      </c>
      <c r="Y166" s="13">
        <v>1</v>
      </c>
      <c r="Z166" s="13" t="s">
        <v>39</v>
      </c>
      <c r="AA166" s="13" t="s">
        <v>34</v>
      </c>
      <c r="AB166" s="13">
        <v>6</v>
      </c>
      <c r="AC166" s="13" t="s">
        <v>133</v>
      </c>
      <c r="AD166" s="13" t="s">
        <v>32</v>
      </c>
      <c r="AE166" s="12">
        <v>0.9819</v>
      </c>
      <c r="AF166" s="13" t="s">
        <v>139</v>
      </c>
      <c r="AG166" s="13">
        <v>2017</v>
      </c>
      <c r="AH166" s="21" t="s">
        <v>140</v>
      </c>
      <c r="AI166" s="2">
        <v>39.1</v>
      </c>
      <c r="AJ166" s="2">
        <v>2.0499999999999998</v>
      </c>
      <c r="AK166" s="2">
        <v>1.5</v>
      </c>
    </row>
    <row r="167" spans="1:37" x14ac:dyDescent="0.3">
      <c r="A167" s="11">
        <v>4.5370370370370301</v>
      </c>
      <c r="B167" s="11">
        <v>391.120507399578</v>
      </c>
      <c r="C167" s="13" t="s">
        <v>33</v>
      </c>
      <c r="D167" s="13" t="s">
        <v>35</v>
      </c>
      <c r="E167" s="10" t="s">
        <v>170</v>
      </c>
      <c r="F167" s="13" t="s">
        <v>34</v>
      </c>
      <c r="G167" s="13">
        <v>0.42</v>
      </c>
      <c r="H167" s="13" t="s">
        <v>34</v>
      </c>
      <c r="I167" s="13" t="s">
        <v>34</v>
      </c>
      <c r="J167" s="13" t="s">
        <v>34</v>
      </c>
      <c r="K167" s="13" t="s">
        <v>34</v>
      </c>
      <c r="L167" s="13">
        <v>0</v>
      </c>
      <c r="M167" s="13" t="s">
        <v>34</v>
      </c>
      <c r="N167" s="13" t="s">
        <v>34</v>
      </c>
      <c r="O167" s="13" t="s">
        <v>34</v>
      </c>
      <c r="P167" s="13" t="s">
        <v>34</v>
      </c>
      <c r="Q167" s="10" t="s">
        <v>34</v>
      </c>
      <c r="R167" s="13">
        <v>2.66</v>
      </c>
      <c r="S167" s="13" t="s">
        <v>34</v>
      </c>
      <c r="T167" s="13" t="s">
        <v>36</v>
      </c>
      <c r="U167" s="13" t="s">
        <v>37</v>
      </c>
      <c r="V167" s="13" t="s">
        <v>48</v>
      </c>
      <c r="W167" s="13" t="s">
        <v>34</v>
      </c>
      <c r="X167" s="13">
        <v>1</v>
      </c>
      <c r="Y167" s="13">
        <v>1</v>
      </c>
      <c r="Z167" s="13" t="s">
        <v>39</v>
      </c>
      <c r="AA167" s="13" t="s">
        <v>34</v>
      </c>
      <c r="AB167" s="13">
        <v>6</v>
      </c>
      <c r="AC167" s="13" t="s">
        <v>134</v>
      </c>
      <c r="AD167" s="13" t="s">
        <v>32</v>
      </c>
      <c r="AE167" s="12">
        <v>0.9819</v>
      </c>
      <c r="AF167" s="13" t="s">
        <v>139</v>
      </c>
      <c r="AG167" s="13">
        <v>2017</v>
      </c>
      <c r="AH167" s="21" t="s">
        <v>140</v>
      </c>
      <c r="AI167" s="2">
        <v>39.1</v>
      </c>
      <c r="AJ167" s="2">
        <v>2.0499999999999998</v>
      </c>
      <c r="AK167" s="2">
        <v>1.5</v>
      </c>
    </row>
    <row r="168" spans="1:37" x14ac:dyDescent="0.3">
      <c r="A168" s="11">
        <v>5.5982905982905899</v>
      </c>
      <c r="B168" s="11">
        <v>805.49682875264295</v>
      </c>
      <c r="C168" s="13" t="s">
        <v>33</v>
      </c>
      <c r="D168" s="13" t="s">
        <v>35</v>
      </c>
      <c r="E168" s="10" t="s">
        <v>170</v>
      </c>
      <c r="F168" s="13" t="s">
        <v>34</v>
      </c>
      <c r="G168" s="13">
        <v>0.42</v>
      </c>
      <c r="H168" s="13" t="s">
        <v>34</v>
      </c>
      <c r="I168" s="13" t="s">
        <v>34</v>
      </c>
      <c r="J168" s="13" t="s">
        <v>34</v>
      </c>
      <c r="K168" s="13" t="s">
        <v>34</v>
      </c>
      <c r="L168" s="13">
        <v>0</v>
      </c>
      <c r="M168" s="13" t="s">
        <v>34</v>
      </c>
      <c r="N168" s="13" t="s">
        <v>34</v>
      </c>
      <c r="O168" s="13" t="s">
        <v>34</v>
      </c>
      <c r="P168" s="13" t="s">
        <v>34</v>
      </c>
      <c r="Q168" s="10" t="s">
        <v>34</v>
      </c>
      <c r="R168" s="13">
        <v>2.66</v>
      </c>
      <c r="S168" s="13" t="s">
        <v>34</v>
      </c>
      <c r="T168" s="13" t="s">
        <v>36</v>
      </c>
      <c r="U168" s="13" t="s">
        <v>37</v>
      </c>
      <c r="V168" s="13" t="s">
        <v>48</v>
      </c>
      <c r="W168" s="13" t="s">
        <v>34</v>
      </c>
      <c r="X168" s="13">
        <v>1</v>
      </c>
      <c r="Y168" s="13">
        <v>1</v>
      </c>
      <c r="Z168" s="13" t="s">
        <v>39</v>
      </c>
      <c r="AA168" s="13" t="s">
        <v>34</v>
      </c>
      <c r="AB168" s="13">
        <v>6</v>
      </c>
      <c r="AC168" s="13" t="s">
        <v>135</v>
      </c>
      <c r="AD168" s="13" t="s">
        <v>32</v>
      </c>
      <c r="AE168" s="12">
        <v>0.9819</v>
      </c>
      <c r="AF168" s="13" t="s">
        <v>139</v>
      </c>
      <c r="AG168" s="13">
        <v>2017</v>
      </c>
      <c r="AH168" s="21" t="s">
        <v>140</v>
      </c>
      <c r="AI168" s="2">
        <v>39.1</v>
      </c>
      <c r="AJ168" s="2">
        <v>2.0499999999999998</v>
      </c>
      <c r="AK168" s="2">
        <v>1.5</v>
      </c>
    </row>
    <row r="169" spans="1:37" x14ac:dyDescent="0.3">
      <c r="A169" s="11">
        <v>6.7236467236467199</v>
      </c>
      <c r="B169" s="11">
        <v>1154.33403805496</v>
      </c>
      <c r="C169" s="13" t="s">
        <v>33</v>
      </c>
      <c r="D169" s="13" t="s">
        <v>35</v>
      </c>
      <c r="E169" s="10" t="s">
        <v>170</v>
      </c>
      <c r="F169" s="13" t="s">
        <v>34</v>
      </c>
      <c r="G169" s="13">
        <v>0.42</v>
      </c>
      <c r="H169" s="13" t="s">
        <v>34</v>
      </c>
      <c r="I169" s="13" t="s">
        <v>34</v>
      </c>
      <c r="J169" s="13" t="s">
        <v>34</v>
      </c>
      <c r="K169" s="13" t="s">
        <v>34</v>
      </c>
      <c r="L169" s="13">
        <v>0</v>
      </c>
      <c r="M169" s="13" t="s">
        <v>34</v>
      </c>
      <c r="N169" s="13" t="s">
        <v>34</v>
      </c>
      <c r="O169" s="13" t="s">
        <v>34</v>
      </c>
      <c r="P169" s="13" t="s">
        <v>34</v>
      </c>
      <c r="Q169" s="10" t="s">
        <v>34</v>
      </c>
      <c r="R169" s="13">
        <v>2.66</v>
      </c>
      <c r="S169" s="13" t="s">
        <v>34</v>
      </c>
      <c r="T169" s="13" t="s">
        <v>36</v>
      </c>
      <c r="U169" s="13" t="s">
        <v>37</v>
      </c>
      <c r="V169" s="13" t="s">
        <v>48</v>
      </c>
      <c r="W169" s="13" t="s">
        <v>34</v>
      </c>
      <c r="X169" s="13">
        <v>1</v>
      </c>
      <c r="Y169" s="13">
        <v>1</v>
      </c>
      <c r="Z169" s="13" t="s">
        <v>39</v>
      </c>
      <c r="AA169" s="13" t="s">
        <v>34</v>
      </c>
      <c r="AB169" s="13">
        <v>6</v>
      </c>
      <c r="AC169" s="13" t="s">
        <v>136</v>
      </c>
      <c r="AD169" s="13" t="s">
        <v>32</v>
      </c>
      <c r="AE169" s="12">
        <v>0.9819</v>
      </c>
      <c r="AF169" s="13" t="s">
        <v>139</v>
      </c>
      <c r="AG169" s="13">
        <v>2017</v>
      </c>
      <c r="AH169" s="21" t="s">
        <v>140</v>
      </c>
      <c r="AI169" s="2">
        <v>39.1</v>
      </c>
      <c r="AJ169" s="2">
        <v>2.0499999999999998</v>
      </c>
      <c r="AK169" s="2">
        <v>1.5</v>
      </c>
    </row>
    <row r="170" spans="1:37" x14ac:dyDescent="0.3">
      <c r="A170" s="11">
        <v>8.2407407407407405</v>
      </c>
      <c r="B170" s="11">
        <v>1505.28541226215</v>
      </c>
      <c r="C170" s="13" t="s">
        <v>33</v>
      </c>
      <c r="D170" s="13" t="s">
        <v>35</v>
      </c>
      <c r="E170" s="10" t="s">
        <v>170</v>
      </c>
      <c r="F170" s="13" t="s">
        <v>34</v>
      </c>
      <c r="G170" s="13">
        <v>0.42</v>
      </c>
      <c r="H170" s="13" t="s">
        <v>34</v>
      </c>
      <c r="I170" s="13" t="s">
        <v>34</v>
      </c>
      <c r="J170" s="13" t="s">
        <v>34</v>
      </c>
      <c r="K170" s="13" t="s">
        <v>34</v>
      </c>
      <c r="L170" s="13">
        <v>0</v>
      </c>
      <c r="M170" s="13" t="s">
        <v>34</v>
      </c>
      <c r="N170" s="13" t="s">
        <v>34</v>
      </c>
      <c r="O170" s="13" t="s">
        <v>34</v>
      </c>
      <c r="P170" s="13" t="s">
        <v>34</v>
      </c>
      <c r="Q170" s="10" t="s">
        <v>34</v>
      </c>
      <c r="R170" s="13">
        <v>2.66</v>
      </c>
      <c r="S170" s="13" t="s">
        <v>34</v>
      </c>
      <c r="T170" s="13" t="s">
        <v>36</v>
      </c>
      <c r="U170" s="13" t="s">
        <v>37</v>
      </c>
      <c r="V170" s="13" t="s">
        <v>48</v>
      </c>
      <c r="W170" s="13" t="s">
        <v>34</v>
      </c>
      <c r="X170" s="13">
        <v>1</v>
      </c>
      <c r="Y170" s="13">
        <v>1</v>
      </c>
      <c r="Z170" s="13" t="s">
        <v>39</v>
      </c>
      <c r="AA170" s="13" t="s">
        <v>34</v>
      </c>
      <c r="AB170" s="13">
        <v>6</v>
      </c>
      <c r="AC170" s="13" t="s">
        <v>137</v>
      </c>
      <c r="AD170" s="13" t="s">
        <v>32</v>
      </c>
      <c r="AE170" s="12">
        <v>0.9819</v>
      </c>
      <c r="AF170" s="13" t="s">
        <v>139</v>
      </c>
      <c r="AG170" s="13">
        <v>2017</v>
      </c>
      <c r="AH170" s="21" t="s">
        <v>140</v>
      </c>
      <c r="AI170" s="2">
        <v>39.1</v>
      </c>
      <c r="AJ170" s="2">
        <v>2.0499999999999998</v>
      </c>
      <c r="AK170" s="2">
        <v>1.5</v>
      </c>
    </row>
    <row r="171" spans="1:37" s="15" customFormat="1" ht="16.2" thickBot="1" x14ac:dyDescent="0.35">
      <c r="A171" s="17">
        <v>9.8005698005697894</v>
      </c>
      <c r="B171" s="17">
        <v>1881.60676532769</v>
      </c>
      <c r="C171" s="18" t="s">
        <v>33</v>
      </c>
      <c r="D171" s="18" t="s">
        <v>35</v>
      </c>
      <c r="E171" s="10" t="s">
        <v>170</v>
      </c>
      <c r="F171" s="18" t="s">
        <v>34</v>
      </c>
      <c r="G171" s="18">
        <v>0.42</v>
      </c>
      <c r="H171" s="18" t="s">
        <v>34</v>
      </c>
      <c r="I171" s="18" t="s">
        <v>34</v>
      </c>
      <c r="J171" s="18" t="s">
        <v>34</v>
      </c>
      <c r="K171" s="18" t="s">
        <v>34</v>
      </c>
      <c r="L171" s="18">
        <v>0</v>
      </c>
      <c r="M171" s="18" t="s">
        <v>34</v>
      </c>
      <c r="N171" s="18" t="s">
        <v>34</v>
      </c>
      <c r="O171" s="18" t="s">
        <v>34</v>
      </c>
      <c r="P171" s="18" t="s">
        <v>34</v>
      </c>
      <c r="Q171" s="14" t="s">
        <v>34</v>
      </c>
      <c r="R171" s="18">
        <v>2.66</v>
      </c>
      <c r="S171" s="18" t="s">
        <v>34</v>
      </c>
      <c r="T171" s="18" t="s">
        <v>36</v>
      </c>
      <c r="U171" s="18" t="s">
        <v>37</v>
      </c>
      <c r="V171" s="18" t="s">
        <v>48</v>
      </c>
      <c r="W171" s="18" t="s">
        <v>34</v>
      </c>
      <c r="X171" s="18">
        <v>1</v>
      </c>
      <c r="Y171" s="18">
        <v>1</v>
      </c>
      <c r="Z171" s="18" t="s">
        <v>39</v>
      </c>
      <c r="AA171" s="18" t="s">
        <v>34</v>
      </c>
      <c r="AB171" s="18">
        <v>6</v>
      </c>
      <c r="AC171" s="18" t="s">
        <v>138</v>
      </c>
      <c r="AD171" s="18" t="s">
        <v>32</v>
      </c>
      <c r="AE171" s="19">
        <v>0.9819</v>
      </c>
      <c r="AF171" s="18" t="s">
        <v>139</v>
      </c>
      <c r="AG171" s="18">
        <v>2017</v>
      </c>
      <c r="AH171" s="23" t="s">
        <v>140</v>
      </c>
      <c r="AI171" s="34">
        <v>39.1</v>
      </c>
      <c r="AJ171" s="34">
        <v>2.0499999999999998</v>
      </c>
      <c r="AK171" s="34">
        <v>1.5</v>
      </c>
    </row>
    <row r="172" spans="1:37" x14ac:dyDescent="0.3">
      <c r="A172" s="12">
        <v>10.0004540147879</v>
      </c>
      <c r="B172" s="12">
        <v>1012.6741010468801</v>
      </c>
      <c r="C172" s="13" t="s">
        <v>33</v>
      </c>
      <c r="D172" s="13" t="s">
        <v>35</v>
      </c>
      <c r="E172" s="10" t="s">
        <v>170</v>
      </c>
      <c r="F172" s="13" t="s">
        <v>34</v>
      </c>
      <c r="G172" s="13" t="s">
        <v>34</v>
      </c>
      <c r="H172" s="13" t="s">
        <v>34</v>
      </c>
      <c r="I172" s="13" t="s">
        <v>34</v>
      </c>
      <c r="J172" s="13" t="s">
        <v>34</v>
      </c>
      <c r="K172" s="13" t="s">
        <v>34</v>
      </c>
      <c r="L172" s="13" t="s">
        <v>34</v>
      </c>
      <c r="M172" s="13" t="s">
        <v>34</v>
      </c>
      <c r="N172" s="13">
        <v>1483</v>
      </c>
      <c r="O172" s="13" t="s">
        <v>43</v>
      </c>
      <c r="P172" s="13" t="s">
        <v>43</v>
      </c>
      <c r="Q172" s="13" t="s">
        <v>34</v>
      </c>
      <c r="R172" s="13">
        <v>2.665</v>
      </c>
      <c r="S172" s="13" t="s">
        <v>34</v>
      </c>
      <c r="T172" s="13" t="s">
        <v>36</v>
      </c>
      <c r="U172" s="13" t="s">
        <v>37</v>
      </c>
      <c r="V172" s="13" t="s">
        <v>38</v>
      </c>
      <c r="W172" s="13" t="s">
        <v>34</v>
      </c>
      <c r="X172" s="13">
        <v>0.5</v>
      </c>
      <c r="Y172" s="13">
        <v>1</v>
      </c>
      <c r="Z172" s="13" t="s">
        <v>141</v>
      </c>
      <c r="AA172" s="13" t="s">
        <v>34</v>
      </c>
      <c r="AB172" s="13" t="s">
        <v>34</v>
      </c>
      <c r="AC172" s="13" t="s">
        <v>137</v>
      </c>
      <c r="AD172" s="13" t="s">
        <v>32</v>
      </c>
      <c r="AE172" s="12">
        <v>0.70689999999999997</v>
      </c>
      <c r="AF172" s="21" t="s">
        <v>160</v>
      </c>
      <c r="AG172" s="21">
        <v>2018</v>
      </c>
      <c r="AH172" s="21" t="s">
        <v>161</v>
      </c>
      <c r="AI172" s="2">
        <v>30</v>
      </c>
      <c r="AJ172" s="2">
        <v>2</v>
      </c>
      <c r="AK172" s="2" t="s">
        <v>34</v>
      </c>
    </row>
    <row r="173" spans="1:37" x14ac:dyDescent="0.3">
      <c r="A173" s="11">
        <v>12.0504893270491</v>
      </c>
      <c r="B173" s="11">
        <v>1644.6265108987</v>
      </c>
      <c r="C173" s="13" t="s">
        <v>33</v>
      </c>
      <c r="D173" s="13" t="s">
        <v>35</v>
      </c>
      <c r="E173" s="10" t="s">
        <v>170</v>
      </c>
      <c r="F173" s="13" t="s">
        <v>34</v>
      </c>
      <c r="G173" s="13" t="s">
        <v>34</v>
      </c>
      <c r="H173" s="13" t="s">
        <v>34</v>
      </c>
      <c r="I173" s="13" t="s">
        <v>34</v>
      </c>
      <c r="J173" s="13" t="s">
        <v>34</v>
      </c>
      <c r="K173" s="13" t="s">
        <v>34</v>
      </c>
      <c r="L173" s="13" t="s">
        <v>34</v>
      </c>
      <c r="M173" s="13" t="s">
        <v>34</v>
      </c>
      <c r="N173" s="13">
        <v>1483</v>
      </c>
      <c r="O173" s="13" t="s">
        <v>43</v>
      </c>
      <c r="P173" s="13" t="s">
        <v>43</v>
      </c>
      <c r="Q173" s="13" t="s">
        <v>34</v>
      </c>
      <c r="R173" s="13">
        <v>2.665</v>
      </c>
      <c r="S173" s="13" t="s">
        <v>34</v>
      </c>
      <c r="T173" s="13" t="s">
        <v>36</v>
      </c>
      <c r="U173" s="13" t="s">
        <v>37</v>
      </c>
      <c r="V173" s="13" t="s">
        <v>38</v>
      </c>
      <c r="W173" s="13" t="s">
        <v>34</v>
      </c>
      <c r="X173" s="13">
        <v>0.5</v>
      </c>
      <c r="Y173" s="13">
        <v>1</v>
      </c>
      <c r="Z173" s="13" t="s">
        <v>141</v>
      </c>
      <c r="AA173" s="13" t="s">
        <v>34</v>
      </c>
      <c r="AB173" s="13" t="s">
        <v>34</v>
      </c>
      <c r="AC173" s="13" t="s">
        <v>138</v>
      </c>
      <c r="AD173" s="13" t="s">
        <v>32</v>
      </c>
      <c r="AE173" s="12">
        <v>0.70689999999999997</v>
      </c>
      <c r="AF173" s="21" t="s">
        <v>160</v>
      </c>
      <c r="AG173" s="21">
        <v>2018</v>
      </c>
      <c r="AH173" s="21" t="s">
        <v>161</v>
      </c>
      <c r="AI173" s="2">
        <v>30</v>
      </c>
      <c r="AJ173" s="2">
        <v>2</v>
      </c>
      <c r="AK173" s="2" t="s">
        <v>34</v>
      </c>
    </row>
    <row r="174" spans="1:37" x14ac:dyDescent="0.3">
      <c r="A174" s="11">
        <v>14.0004847375931</v>
      </c>
      <c r="B174" s="11">
        <v>3194.88297439091</v>
      </c>
      <c r="C174" s="13" t="s">
        <v>33</v>
      </c>
      <c r="D174" s="13" t="s">
        <v>35</v>
      </c>
      <c r="E174" s="10" t="s">
        <v>170</v>
      </c>
      <c r="F174" s="13" t="s">
        <v>34</v>
      </c>
      <c r="G174" s="13" t="s">
        <v>34</v>
      </c>
      <c r="H174" s="13" t="s">
        <v>34</v>
      </c>
      <c r="I174" s="13" t="s">
        <v>34</v>
      </c>
      <c r="J174" s="13" t="s">
        <v>34</v>
      </c>
      <c r="K174" s="13" t="s">
        <v>34</v>
      </c>
      <c r="L174" s="13" t="s">
        <v>34</v>
      </c>
      <c r="M174" s="13" t="s">
        <v>34</v>
      </c>
      <c r="N174" s="13">
        <v>1483</v>
      </c>
      <c r="O174" s="13" t="s">
        <v>43</v>
      </c>
      <c r="P174" s="13" t="s">
        <v>43</v>
      </c>
      <c r="Q174" s="13" t="s">
        <v>34</v>
      </c>
      <c r="R174" s="13">
        <v>2.665</v>
      </c>
      <c r="S174" s="13" t="s">
        <v>34</v>
      </c>
      <c r="T174" s="13" t="s">
        <v>36</v>
      </c>
      <c r="U174" s="13" t="s">
        <v>37</v>
      </c>
      <c r="V174" s="13" t="s">
        <v>38</v>
      </c>
      <c r="W174" s="13" t="s">
        <v>34</v>
      </c>
      <c r="X174" s="13">
        <v>0.5</v>
      </c>
      <c r="Y174" s="13">
        <v>1</v>
      </c>
      <c r="Z174" s="13" t="s">
        <v>141</v>
      </c>
      <c r="AA174" s="13" t="s">
        <v>34</v>
      </c>
      <c r="AB174" s="13" t="s">
        <v>34</v>
      </c>
      <c r="AC174" s="13" t="s">
        <v>142</v>
      </c>
      <c r="AD174" s="13" t="s">
        <v>32</v>
      </c>
      <c r="AE174" s="12">
        <v>0.70689999999999997</v>
      </c>
      <c r="AF174" s="21" t="s">
        <v>160</v>
      </c>
      <c r="AG174" s="21">
        <v>2018</v>
      </c>
      <c r="AH174" s="21" t="s">
        <v>161</v>
      </c>
      <c r="AI174" s="2">
        <v>30</v>
      </c>
      <c r="AJ174" s="2">
        <v>2</v>
      </c>
      <c r="AK174" s="2" t="s">
        <v>34</v>
      </c>
    </row>
    <row r="175" spans="1:37" x14ac:dyDescent="0.3">
      <c r="A175" s="11">
        <v>15.4788558827344</v>
      </c>
      <c r="B175" s="11">
        <v>1972.99954483386</v>
      </c>
      <c r="C175" s="13" t="s">
        <v>33</v>
      </c>
      <c r="D175" s="13" t="s">
        <v>35</v>
      </c>
      <c r="E175" s="10" t="s">
        <v>170</v>
      </c>
      <c r="F175" s="13" t="s">
        <v>34</v>
      </c>
      <c r="G175" s="13" t="s">
        <v>34</v>
      </c>
      <c r="H175" s="13" t="s">
        <v>34</v>
      </c>
      <c r="I175" s="13" t="s">
        <v>34</v>
      </c>
      <c r="J175" s="13" t="s">
        <v>34</v>
      </c>
      <c r="K175" s="13" t="s">
        <v>34</v>
      </c>
      <c r="L175" s="13" t="s">
        <v>34</v>
      </c>
      <c r="M175" s="13" t="s">
        <v>34</v>
      </c>
      <c r="N175" s="13">
        <v>1483</v>
      </c>
      <c r="O175" s="13" t="s">
        <v>43</v>
      </c>
      <c r="P175" s="13" t="s">
        <v>43</v>
      </c>
      <c r="Q175" s="13" t="s">
        <v>34</v>
      </c>
      <c r="R175" s="13">
        <v>2.665</v>
      </c>
      <c r="S175" s="13" t="s">
        <v>34</v>
      </c>
      <c r="T175" s="13" t="s">
        <v>36</v>
      </c>
      <c r="U175" s="13" t="s">
        <v>37</v>
      </c>
      <c r="V175" s="13" t="s">
        <v>38</v>
      </c>
      <c r="W175" s="13" t="s">
        <v>34</v>
      </c>
      <c r="X175" s="13">
        <v>0.5</v>
      </c>
      <c r="Y175" s="13">
        <v>1</v>
      </c>
      <c r="Z175" s="13" t="s">
        <v>141</v>
      </c>
      <c r="AA175" s="13" t="s">
        <v>34</v>
      </c>
      <c r="AB175" s="13" t="s">
        <v>34</v>
      </c>
      <c r="AC175" s="13" t="s">
        <v>143</v>
      </c>
      <c r="AD175" s="13" t="s">
        <v>32</v>
      </c>
      <c r="AE175" s="12">
        <v>0.70689999999999997</v>
      </c>
      <c r="AF175" s="21" t="s">
        <v>160</v>
      </c>
      <c r="AG175" s="21">
        <v>2018</v>
      </c>
      <c r="AH175" s="21" t="s">
        <v>161</v>
      </c>
      <c r="AI175" s="2">
        <v>30</v>
      </c>
      <c r="AJ175" s="2">
        <v>2</v>
      </c>
      <c r="AK175" s="2" t="s">
        <v>34</v>
      </c>
    </row>
    <row r="176" spans="1:37" x14ac:dyDescent="0.3">
      <c r="A176" s="11">
        <v>16.015501362044301</v>
      </c>
      <c r="B176" s="11">
        <v>3494.4879380974003</v>
      </c>
      <c r="C176" s="13" t="s">
        <v>33</v>
      </c>
      <c r="D176" s="13" t="s">
        <v>35</v>
      </c>
      <c r="E176" s="10" t="s">
        <v>170</v>
      </c>
      <c r="F176" s="13" t="s">
        <v>34</v>
      </c>
      <c r="G176" s="13" t="s">
        <v>34</v>
      </c>
      <c r="H176" s="13" t="s">
        <v>34</v>
      </c>
      <c r="I176" s="13" t="s">
        <v>34</v>
      </c>
      <c r="J176" s="13" t="s">
        <v>34</v>
      </c>
      <c r="K176" s="13" t="s">
        <v>34</v>
      </c>
      <c r="L176" s="13" t="s">
        <v>34</v>
      </c>
      <c r="M176" s="13" t="s">
        <v>34</v>
      </c>
      <c r="N176" s="13">
        <v>1483</v>
      </c>
      <c r="O176" s="13" t="s">
        <v>43</v>
      </c>
      <c r="P176" s="13" t="s">
        <v>43</v>
      </c>
      <c r="Q176" s="13" t="s">
        <v>34</v>
      </c>
      <c r="R176" s="13">
        <v>2.665</v>
      </c>
      <c r="S176" s="13" t="s">
        <v>34</v>
      </c>
      <c r="T176" s="13" t="s">
        <v>36</v>
      </c>
      <c r="U176" s="13" t="s">
        <v>37</v>
      </c>
      <c r="V176" s="13" t="s">
        <v>38</v>
      </c>
      <c r="W176" s="13" t="s">
        <v>34</v>
      </c>
      <c r="X176" s="13">
        <v>0.5</v>
      </c>
      <c r="Y176" s="13">
        <v>1</v>
      </c>
      <c r="Z176" s="13" t="s">
        <v>141</v>
      </c>
      <c r="AA176" s="13" t="s">
        <v>34</v>
      </c>
      <c r="AB176" s="13" t="s">
        <v>34</v>
      </c>
      <c r="AC176" s="13" t="s">
        <v>144</v>
      </c>
      <c r="AD176" s="13" t="s">
        <v>32</v>
      </c>
      <c r="AE176" s="12">
        <v>0.70689999999999997</v>
      </c>
      <c r="AF176" s="21" t="s">
        <v>160</v>
      </c>
      <c r="AG176" s="21">
        <v>2018</v>
      </c>
      <c r="AH176" s="21" t="s">
        <v>161</v>
      </c>
      <c r="AI176" s="2">
        <v>30</v>
      </c>
      <c r="AJ176" s="2">
        <v>2</v>
      </c>
      <c r="AK176" s="2" t="s">
        <v>34</v>
      </c>
    </row>
    <row r="177" spans="1:37" x14ac:dyDescent="0.3">
      <c r="A177" s="11">
        <v>16.290050590219199</v>
      </c>
      <c r="B177" s="11">
        <v>1872.1893491124199</v>
      </c>
      <c r="C177" s="13" t="s">
        <v>33</v>
      </c>
      <c r="D177" s="13" t="s">
        <v>35</v>
      </c>
      <c r="E177" s="10" t="s">
        <v>170</v>
      </c>
      <c r="F177" s="13" t="s">
        <v>34</v>
      </c>
      <c r="G177" s="13" t="s">
        <v>34</v>
      </c>
      <c r="H177" s="13" t="s">
        <v>34</v>
      </c>
      <c r="I177" s="13" t="s">
        <v>34</v>
      </c>
      <c r="J177" s="13" t="s">
        <v>34</v>
      </c>
      <c r="K177" s="13" t="s">
        <v>34</v>
      </c>
      <c r="L177" s="13" t="s">
        <v>34</v>
      </c>
      <c r="M177" s="13" t="s">
        <v>34</v>
      </c>
      <c r="N177" s="13">
        <v>1483</v>
      </c>
      <c r="O177" s="13" t="s">
        <v>43</v>
      </c>
      <c r="P177" s="13" t="s">
        <v>43</v>
      </c>
      <c r="Q177" s="13" t="s">
        <v>34</v>
      </c>
      <c r="R177" s="13">
        <v>2.665</v>
      </c>
      <c r="S177" s="13" t="s">
        <v>34</v>
      </c>
      <c r="T177" s="13" t="s">
        <v>36</v>
      </c>
      <c r="U177" s="13" t="s">
        <v>37</v>
      </c>
      <c r="V177" s="13" t="s">
        <v>38</v>
      </c>
      <c r="W177" s="13" t="s">
        <v>34</v>
      </c>
      <c r="X177" s="13">
        <v>0.5</v>
      </c>
      <c r="Y177" s="13">
        <v>1</v>
      </c>
      <c r="Z177" s="13" t="s">
        <v>141</v>
      </c>
      <c r="AA177" s="13" t="s">
        <v>34</v>
      </c>
      <c r="AB177" s="13" t="s">
        <v>34</v>
      </c>
      <c r="AC177" s="13" t="s">
        <v>145</v>
      </c>
      <c r="AD177" s="13" t="s">
        <v>32</v>
      </c>
      <c r="AE177" s="12">
        <v>0.70689999999999997</v>
      </c>
      <c r="AF177" s="21" t="s">
        <v>160</v>
      </c>
      <c r="AG177" s="21">
        <v>2018</v>
      </c>
      <c r="AH177" s="21" t="s">
        <v>161</v>
      </c>
      <c r="AI177" s="2">
        <v>30</v>
      </c>
      <c r="AJ177" s="2">
        <v>2</v>
      </c>
      <c r="AK177" s="2" t="s">
        <v>34</v>
      </c>
    </row>
    <row r="178" spans="1:37" x14ac:dyDescent="0.3">
      <c r="A178" s="11">
        <v>17.011528732650099</v>
      </c>
      <c r="B178" s="11">
        <v>2571.5322030040898</v>
      </c>
      <c r="C178" s="13" t="s">
        <v>33</v>
      </c>
      <c r="D178" s="13" t="s">
        <v>35</v>
      </c>
      <c r="E178" s="10" t="s">
        <v>170</v>
      </c>
      <c r="F178" s="13" t="s">
        <v>34</v>
      </c>
      <c r="G178" s="13" t="s">
        <v>34</v>
      </c>
      <c r="H178" s="13" t="s">
        <v>34</v>
      </c>
      <c r="I178" s="13" t="s">
        <v>34</v>
      </c>
      <c r="J178" s="13" t="s">
        <v>34</v>
      </c>
      <c r="K178" s="13" t="s">
        <v>34</v>
      </c>
      <c r="L178" s="13" t="s">
        <v>34</v>
      </c>
      <c r="M178" s="13" t="s">
        <v>34</v>
      </c>
      <c r="N178" s="13">
        <v>1483</v>
      </c>
      <c r="O178" s="13" t="s">
        <v>43</v>
      </c>
      <c r="P178" s="13" t="s">
        <v>43</v>
      </c>
      <c r="Q178" s="13" t="s">
        <v>34</v>
      </c>
      <c r="R178" s="13">
        <v>2.665</v>
      </c>
      <c r="S178" s="13" t="s">
        <v>34</v>
      </c>
      <c r="T178" s="13" t="s">
        <v>36</v>
      </c>
      <c r="U178" s="13" t="s">
        <v>37</v>
      </c>
      <c r="V178" s="13" t="s">
        <v>38</v>
      </c>
      <c r="W178" s="13" t="s">
        <v>34</v>
      </c>
      <c r="X178" s="13">
        <v>0.5</v>
      </c>
      <c r="Y178" s="13">
        <v>1</v>
      </c>
      <c r="Z178" s="13" t="s">
        <v>141</v>
      </c>
      <c r="AA178" s="13" t="s">
        <v>34</v>
      </c>
      <c r="AB178" s="13" t="s">
        <v>34</v>
      </c>
      <c r="AC178" s="13" t="s">
        <v>146</v>
      </c>
      <c r="AD178" s="13" t="s">
        <v>32</v>
      </c>
      <c r="AE178" s="12">
        <v>0.70689999999999997</v>
      </c>
      <c r="AF178" s="21" t="s">
        <v>160</v>
      </c>
      <c r="AG178" s="21">
        <v>2018</v>
      </c>
      <c r="AH178" s="21" t="s">
        <v>161</v>
      </c>
      <c r="AI178" s="2">
        <v>30</v>
      </c>
      <c r="AJ178" s="2">
        <v>2</v>
      </c>
      <c r="AK178" s="2" t="s">
        <v>34</v>
      </c>
    </row>
    <row r="179" spans="1:37" x14ac:dyDescent="0.3">
      <c r="A179" s="11">
        <v>17.734271630561601</v>
      </c>
      <c r="B179" s="11">
        <v>1912.7412380518799</v>
      </c>
      <c r="C179" s="13" t="s">
        <v>33</v>
      </c>
      <c r="D179" s="13" t="s">
        <v>35</v>
      </c>
      <c r="E179" s="10" t="s">
        <v>170</v>
      </c>
      <c r="F179" s="13" t="s">
        <v>34</v>
      </c>
      <c r="G179" s="13" t="s">
        <v>34</v>
      </c>
      <c r="H179" s="13" t="s">
        <v>34</v>
      </c>
      <c r="I179" s="13" t="s">
        <v>34</v>
      </c>
      <c r="J179" s="13" t="s">
        <v>34</v>
      </c>
      <c r="K179" s="13" t="s">
        <v>34</v>
      </c>
      <c r="L179" s="13" t="s">
        <v>34</v>
      </c>
      <c r="M179" s="13" t="s">
        <v>34</v>
      </c>
      <c r="N179" s="13">
        <v>1483</v>
      </c>
      <c r="O179" s="13" t="s">
        <v>43</v>
      </c>
      <c r="P179" s="13" t="s">
        <v>43</v>
      </c>
      <c r="Q179" s="13" t="s">
        <v>34</v>
      </c>
      <c r="R179" s="13">
        <v>2.665</v>
      </c>
      <c r="S179" s="13" t="s">
        <v>34</v>
      </c>
      <c r="T179" s="13" t="s">
        <v>36</v>
      </c>
      <c r="U179" s="13" t="s">
        <v>37</v>
      </c>
      <c r="V179" s="13" t="s">
        <v>38</v>
      </c>
      <c r="W179" s="13" t="s">
        <v>34</v>
      </c>
      <c r="X179" s="13">
        <v>0.5</v>
      </c>
      <c r="Y179" s="13">
        <v>1</v>
      </c>
      <c r="Z179" s="13" t="s">
        <v>141</v>
      </c>
      <c r="AA179" s="13" t="s">
        <v>34</v>
      </c>
      <c r="AB179" s="13" t="s">
        <v>34</v>
      </c>
      <c r="AC179" s="13" t="s">
        <v>147</v>
      </c>
      <c r="AD179" s="13" t="s">
        <v>32</v>
      </c>
      <c r="AE179" s="12">
        <v>0.70689999999999997</v>
      </c>
      <c r="AF179" s="21" t="s">
        <v>160</v>
      </c>
      <c r="AG179" s="21">
        <v>2018</v>
      </c>
      <c r="AH179" s="21" t="s">
        <v>161</v>
      </c>
      <c r="AI179" s="2">
        <v>30</v>
      </c>
      <c r="AJ179" s="2">
        <v>2</v>
      </c>
      <c r="AK179" s="2" t="s">
        <v>34</v>
      </c>
    </row>
    <row r="180" spans="1:37" x14ac:dyDescent="0.3">
      <c r="A180" s="11">
        <v>18.9881956155143</v>
      </c>
      <c r="B180" s="11">
        <v>2071.00591715976</v>
      </c>
      <c r="C180" s="13" t="s">
        <v>33</v>
      </c>
      <c r="D180" s="13" t="s">
        <v>35</v>
      </c>
      <c r="E180" s="10" t="s">
        <v>170</v>
      </c>
      <c r="F180" s="13" t="s">
        <v>34</v>
      </c>
      <c r="G180" s="13" t="s">
        <v>34</v>
      </c>
      <c r="H180" s="13" t="s">
        <v>34</v>
      </c>
      <c r="I180" s="13" t="s">
        <v>34</v>
      </c>
      <c r="J180" s="13" t="s">
        <v>34</v>
      </c>
      <c r="K180" s="13" t="s">
        <v>34</v>
      </c>
      <c r="L180" s="13" t="s">
        <v>34</v>
      </c>
      <c r="M180" s="13" t="s">
        <v>34</v>
      </c>
      <c r="N180" s="13">
        <v>1483</v>
      </c>
      <c r="O180" s="13" t="s">
        <v>43</v>
      </c>
      <c r="P180" s="13" t="s">
        <v>43</v>
      </c>
      <c r="Q180" s="13" t="s">
        <v>34</v>
      </c>
      <c r="R180" s="13">
        <v>2.665</v>
      </c>
      <c r="S180" s="13" t="s">
        <v>34</v>
      </c>
      <c r="T180" s="13" t="s">
        <v>36</v>
      </c>
      <c r="U180" s="13" t="s">
        <v>37</v>
      </c>
      <c r="V180" s="13" t="s">
        <v>38</v>
      </c>
      <c r="W180" s="13" t="s">
        <v>34</v>
      </c>
      <c r="X180" s="13">
        <v>0.5</v>
      </c>
      <c r="Y180" s="13">
        <v>1</v>
      </c>
      <c r="Z180" s="13" t="s">
        <v>141</v>
      </c>
      <c r="AA180" s="13" t="s">
        <v>34</v>
      </c>
      <c r="AB180" s="13" t="s">
        <v>34</v>
      </c>
      <c r="AC180" s="13" t="s">
        <v>148</v>
      </c>
      <c r="AD180" s="13" t="s">
        <v>32</v>
      </c>
      <c r="AE180" s="12">
        <v>0.70689999999999997</v>
      </c>
      <c r="AF180" s="21" t="s">
        <v>160</v>
      </c>
      <c r="AG180" s="21">
        <v>2018</v>
      </c>
      <c r="AH180" s="21" t="s">
        <v>161</v>
      </c>
      <c r="AI180" s="2">
        <v>30</v>
      </c>
      <c r="AJ180" s="2">
        <v>2</v>
      </c>
      <c r="AK180" s="2" t="s">
        <v>34</v>
      </c>
    </row>
    <row r="181" spans="1:37" x14ac:dyDescent="0.3">
      <c r="A181" s="11">
        <v>19.034801623334499</v>
      </c>
      <c r="B181" s="11">
        <v>2410.9330905780498</v>
      </c>
      <c r="C181" s="13" t="s">
        <v>33</v>
      </c>
      <c r="D181" s="13" t="s">
        <v>35</v>
      </c>
      <c r="E181" s="10" t="s">
        <v>170</v>
      </c>
      <c r="F181" s="13" t="s">
        <v>34</v>
      </c>
      <c r="G181" s="13" t="s">
        <v>34</v>
      </c>
      <c r="H181" s="13" t="s">
        <v>34</v>
      </c>
      <c r="I181" s="13" t="s">
        <v>34</v>
      </c>
      <c r="J181" s="13" t="s">
        <v>34</v>
      </c>
      <c r="K181" s="13" t="s">
        <v>34</v>
      </c>
      <c r="L181" s="13" t="s">
        <v>34</v>
      </c>
      <c r="M181" s="13" t="s">
        <v>34</v>
      </c>
      <c r="N181" s="13">
        <v>1483</v>
      </c>
      <c r="O181" s="13" t="s">
        <v>43</v>
      </c>
      <c r="P181" s="13" t="s">
        <v>43</v>
      </c>
      <c r="Q181" s="13" t="s">
        <v>34</v>
      </c>
      <c r="R181" s="13">
        <v>2.665</v>
      </c>
      <c r="S181" s="13" t="s">
        <v>34</v>
      </c>
      <c r="T181" s="13" t="s">
        <v>36</v>
      </c>
      <c r="U181" s="13" t="s">
        <v>37</v>
      </c>
      <c r="V181" s="13" t="s">
        <v>38</v>
      </c>
      <c r="W181" s="13" t="s">
        <v>34</v>
      </c>
      <c r="X181" s="13">
        <v>0.5</v>
      </c>
      <c r="Y181" s="13">
        <v>1</v>
      </c>
      <c r="Z181" s="13" t="s">
        <v>141</v>
      </c>
      <c r="AA181" s="13" t="s">
        <v>34</v>
      </c>
      <c r="AB181" s="13" t="s">
        <v>34</v>
      </c>
      <c r="AC181" s="13" t="s">
        <v>149</v>
      </c>
      <c r="AD181" s="13" t="s">
        <v>32</v>
      </c>
      <c r="AE181" s="12">
        <v>0.70689999999999997</v>
      </c>
      <c r="AF181" s="21" t="s">
        <v>160</v>
      </c>
      <c r="AG181" s="21">
        <v>2018</v>
      </c>
      <c r="AH181" s="21" t="s">
        <v>161</v>
      </c>
      <c r="AI181" s="2">
        <v>30</v>
      </c>
      <c r="AJ181" s="2">
        <v>2</v>
      </c>
      <c r="AK181" s="2" t="s">
        <v>34</v>
      </c>
    </row>
    <row r="182" spans="1:37" x14ac:dyDescent="0.3">
      <c r="A182" s="11">
        <v>19.980542223375199</v>
      </c>
      <c r="B182" s="11">
        <v>2553.1679563040498</v>
      </c>
      <c r="C182" s="13" t="s">
        <v>33</v>
      </c>
      <c r="D182" s="13" t="s">
        <v>35</v>
      </c>
      <c r="E182" s="10" t="s">
        <v>170</v>
      </c>
      <c r="F182" s="13" t="s">
        <v>34</v>
      </c>
      <c r="G182" s="13" t="s">
        <v>34</v>
      </c>
      <c r="H182" s="13" t="s">
        <v>34</v>
      </c>
      <c r="I182" s="13" t="s">
        <v>34</v>
      </c>
      <c r="J182" s="13" t="s">
        <v>34</v>
      </c>
      <c r="K182" s="13" t="s">
        <v>34</v>
      </c>
      <c r="L182" s="13" t="s">
        <v>34</v>
      </c>
      <c r="M182" s="13" t="s">
        <v>34</v>
      </c>
      <c r="N182" s="13">
        <v>1483</v>
      </c>
      <c r="O182" s="13" t="s">
        <v>43</v>
      </c>
      <c r="P182" s="13" t="s">
        <v>43</v>
      </c>
      <c r="Q182" s="13" t="s">
        <v>34</v>
      </c>
      <c r="R182" s="13">
        <v>2.665</v>
      </c>
      <c r="S182" s="13" t="s">
        <v>34</v>
      </c>
      <c r="T182" s="13" t="s">
        <v>36</v>
      </c>
      <c r="U182" s="13" t="s">
        <v>37</v>
      </c>
      <c r="V182" s="13" t="s">
        <v>38</v>
      </c>
      <c r="W182" s="13" t="s">
        <v>34</v>
      </c>
      <c r="X182" s="13">
        <v>0.5</v>
      </c>
      <c r="Y182" s="13">
        <v>1</v>
      </c>
      <c r="Z182" s="13" t="s">
        <v>141</v>
      </c>
      <c r="AA182" s="13" t="s">
        <v>34</v>
      </c>
      <c r="AB182" s="13" t="s">
        <v>34</v>
      </c>
      <c r="AC182" s="13" t="s">
        <v>150</v>
      </c>
      <c r="AD182" s="13" t="s">
        <v>32</v>
      </c>
      <c r="AE182" s="12">
        <v>0.70689999999999997</v>
      </c>
      <c r="AF182" s="21" t="s">
        <v>160</v>
      </c>
      <c r="AG182" s="21">
        <v>2018</v>
      </c>
      <c r="AH182" s="21" t="s">
        <v>161</v>
      </c>
      <c r="AI182" s="2">
        <v>30</v>
      </c>
      <c r="AJ182" s="2">
        <v>2</v>
      </c>
      <c r="AK182" s="2" t="s">
        <v>34</v>
      </c>
    </row>
    <row r="183" spans="1:37" x14ac:dyDescent="0.3">
      <c r="A183" s="11">
        <v>19.999227866006901</v>
      </c>
      <c r="B183" s="11">
        <v>3548.59657108177</v>
      </c>
      <c r="C183" s="13" t="s">
        <v>33</v>
      </c>
      <c r="D183" s="13" t="s">
        <v>35</v>
      </c>
      <c r="E183" s="10" t="s">
        <v>170</v>
      </c>
      <c r="F183" s="13" t="s">
        <v>34</v>
      </c>
      <c r="G183" s="13" t="s">
        <v>34</v>
      </c>
      <c r="H183" s="13" t="s">
        <v>34</v>
      </c>
      <c r="I183" s="13" t="s">
        <v>34</v>
      </c>
      <c r="J183" s="13" t="s">
        <v>34</v>
      </c>
      <c r="K183" s="13" t="s">
        <v>34</v>
      </c>
      <c r="L183" s="13" t="s">
        <v>34</v>
      </c>
      <c r="M183" s="13" t="s">
        <v>34</v>
      </c>
      <c r="N183" s="13">
        <v>1483</v>
      </c>
      <c r="O183" s="13" t="s">
        <v>43</v>
      </c>
      <c r="P183" s="13" t="s">
        <v>43</v>
      </c>
      <c r="Q183" s="13" t="s">
        <v>34</v>
      </c>
      <c r="R183" s="13">
        <v>2.665</v>
      </c>
      <c r="S183" s="13" t="s">
        <v>34</v>
      </c>
      <c r="T183" s="13" t="s">
        <v>36</v>
      </c>
      <c r="U183" s="13" t="s">
        <v>37</v>
      </c>
      <c r="V183" s="13" t="s">
        <v>38</v>
      </c>
      <c r="W183" s="13" t="s">
        <v>34</v>
      </c>
      <c r="X183" s="13">
        <v>0.5</v>
      </c>
      <c r="Y183" s="13">
        <v>1</v>
      </c>
      <c r="Z183" s="13" t="s">
        <v>141</v>
      </c>
      <c r="AA183" s="13" t="s">
        <v>34</v>
      </c>
      <c r="AB183" s="13" t="s">
        <v>34</v>
      </c>
      <c r="AC183" s="13" t="s">
        <v>151</v>
      </c>
      <c r="AD183" s="13" t="s">
        <v>32</v>
      </c>
      <c r="AE183" s="12">
        <v>0.70689999999999997</v>
      </c>
      <c r="AF183" s="21" t="s">
        <v>160</v>
      </c>
      <c r="AG183" s="21">
        <v>2018</v>
      </c>
      <c r="AH183" s="21" t="s">
        <v>161</v>
      </c>
      <c r="AI183" s="2">
        <v>30</v>
      </c>
      <c r="AJ183" s="2">
        <v>2</v>
      </c>
      <c r="AK183" s="2" t="s">
        <v>34</v>
      </c>
    </row>
    <row r="184" spans="1:37" x14ac:dyDescent="0.3">
      <c r="A184" s="11">
        <v>21.0046698663899</v>
      </c>
      <c r="B184" s="11">
        <v>3809.22194176632</v>
      </c>
      <c r="C184" s="13" t="s">
        <v>33</v>
      </c>
      <c r="D184" s="13" t="s">
        <v>35</v>
      </c>
      <c r="E184" s="10" t="s">
        <v>170</v>
      </c>
      <c r="F184" s="13" t="s">
        <v>34</v>
      </c>
      <c r="G184" s="13" t="s">
        <v>34</v>
      </c>
      <c r="H184" s="13" t="s">
        <v>34</v>
      </c>
      <c r="I184" s="13" t="s">
        <v>34</v>
      </c>
      <c r="J184" s="13" t="s">
        <v>34</v>
      </c>
      <c r="K184" s="13" t="s">
        <v>34</v>
      </c>
      <c r="L184" s="13" t="s">
        <v>34</v>
      </c>
      <c r="M184" s="13" t="s">
        <v>34</v>
      </c>
      <c r="N184" s="13">
        <v>1483</v>
      </c>
      <c r="O184" s="13" t="s">
        <v>43</v>
      </c>
      <c r="P184" s="13" t="s">
        <v>43</v>
      </c>
      <c r="Q184" s="13" t="s">
        <v>34</v>
      </c>
      <c r="R184" s="13">
        <v>2.665</v>
      </c>
      <c r="S184" s="13" t="s">
        <v>34</v>
      </c>
      <c r="T184" s="13" t="s">
        <v>36</v>
      </c>
      <c r="U184" s="13" t="s">
        <v>37</v>
      </c>
      <c r="V184" s="13" t="s">
        <v>38</v>
      </c>
      <c r="W184" s="13" t="s">
        <v>34</v>
      </c>
      <c r="X184" s="13">
        <v>0.5</v>
      </c>
      <c r="Y184" s="13">
        <v>1</v>
      </c>
      <c r="Z184" s="13" t="s">
        <v>141</v>
      </c>
      <c r="AA184" s="13" t="s">
        <v>34</v>
      </c>
      <c r="AB184" s="13" t="s">
        <v>34</v>
      </c>
      <c r="AC184" s="13" t="s">
        <v>152</v>
      </c>
      <c r="AD184" s="13" t="s">
        <v>32</v>
      </c>
      <c r="AE184" s="12">
        <v>0.70689999999999997</v>
      </c>
      <c r="AF184" s="21" t="s">
        <v>160</v>
      </c>
      <c r="AG184" s="21">
        <v>2018</v>
      </c>
      <c r="AH184" s="21" t="s">
        <v>161</v>
      </c>
      <c r="AI184" s="2">
        <v>30</v>
      </c>
      <c r="AJ184" s="2">
        <v>2</v>
      </c>
      <c r="AK184" s="2" t="s">
        <v>34</v>
      </c>
    </row>
    <row r="185" spans="1:37" x14ac:dyDescent="0.3">
      <c r="A185" s="11">
        <v>21.6597483460889</v>
      </c>
      <c r="B185" s="11">
        <v>3569.49985274036</v>
      </c>
      <c r="C185" s="13" t="s">
        <v>33</v>
      </c>
      <c r="D185" s="13" t="s">
        <v>35</v>
      </c>
      <c r="E185" s="10" t="s">
        <v>170</v>
      </c>
      <c r="F185" s="13" t="s">
        <v>34</v>
      </c>
      <c r="G185" s="13" t="s">
        <v>34</v>
      </c>
      <c r="H185" s="13" t="s">
        <v>34</v>
      </c>
      <c r="I185" s="13" t="s">
        <v>34</v>
      </c>
      <c r="J185" s="13" t="s">
        <v>34</v>
      </c>
      <c r="K185" s="13" t="s">
        <v>34</v>
      </c>
      <c r="L185" s="13" t="s">
        <v>34</v>
      </c>
      <c r="M185" s="13" t="s">
        <v>34</v>
      </c>
      <c r="N185" s="13">
        <v>1483</v>
      </c>
      <c r="O185" s="13" t="s">
        <v>43</v>
      </c>
      <c r="P185" s="13" t="s">
        <v>43</v>
      </c>
      <c r="Q185" s="13" t="s">
        <v>34</v>
      </c>
      <c r="R185" s="13">
        <v>2.665</v>
      </c>
      <c r="S185" s="13" t="s">
        <v>34</v>
      </c>
      <c r="T185" s="13" t="s">
        <v>36</v>
      </c>
      <c r="U185" s="13" t="s">
        <v>37</v>
      </c>
      <c r="V185" s="13" t="s">
        <v>38</v>
      </c>
      <c r="W185" s="13" t="s">
        <v>34</v>
      </c>
      <c r="X185" s="13">
        <v>0.5</v>
      </c>
      <c r="Y185" s="13">
        <v>1</v>
      </c>
      <c r="Z185" s="13" t="s">
        <v>141</v>
      </c>
      <c r="AA185" s="13" t="s">
        <v>34</v>
      </c>
      <c r="AB185" s="13" t="s">
        <v>34</v>
      </c>
      <c r="AC185" s="13" t="s">
        <v>153</v>
      </c>
      <c r="AD185" s="13" t="s">
        <v>32</v>
      </c>
      <c r="AE185" s="12">
        <v>0.70689999999999997</v>
      </c>
      <c r="AF185" s="21" t="s">
        <v>160</v>
      </c>
      <c r="AG185" s="21">
        <v>2018</v>
      </c>
      <c r="AH185" s="21" t="s">
        <v>161</v>
      </c>
      <c r="AI185" s="2">
        <v>30</v>
      </c>
      <c r="AJ185" s="2">
        <v>2</v>
      </c>
      <c r="AK185" s="2" t="s">
        <v>34</v>
      </c>
    </row>
    <row r="186" spans="1:37" x14ac:dyDescent="0.3">
      <c r="A186" s="11">
        <v>23.990595407964701</v>
      </c>
      <c r="B186" s="11">
        <v>3546.10377787892</v>
      </c>
      <c r="C186" s="13" t="s">
        <v>33</v>
      </c>
      <c r="D186" s="13" t="s">
        <v>35</v>
      </c>
      <c r="E186" s="10" t="s">
        <v>170</v>
      </c>
      <c r="F186" s="13" t="s">
        <v>34</v>
      </c>
      <c r="G186" s="13" t="s">
        <v>34</v>
      </c>
      <c r="H186" s="13" t="s">
        <v>34</v>
      </c>
      <c r="I186" s="13" t="s">
        <v>34</v>
      </c>
      <c r="J186" s="13" t="s">
        <v>34</v>
      </c>
      <c r="K186" s="13" t="s">
        <v>34</v>
      </c>
      <c r="L186" s="13" t="s">
        <v>34</v>
      </c>
      <c r="M186" s="13" t="s">
        <v>34</v>
      </c>
      <c r="N186" s="13">
        <v>1483</v>
      </c>
      <c r="O186" s="13" t="s">
        <v>43</v>
      </c>
      <c r="P186" s="13" t="s">
        <v>43</v>
      </c>
      <c r="Q186" s="13" t="s">
        <v>34</v>
      </c>
      <c r="R186" s="13">
        <v>2.665</v>
      </c>
      <c r="S186" s="13" t="s">
        <v>34</v>
      </c>
      <c r="T186" s="13" t="s">
        <v>36</v>
      </c>
      <c r="U186" s="13" t="s">
        <v>37</v>
      </c>
      <c r="V186" s="13" t="s">
        <v>38</v>
      </c>
      <c r="W186" s="13" t="s">
        <v>34</v>
      </c>
      <c r="X186" s="13">
        <v>0.5</v>
      </c>
      <c r="Y186" s="13">
        <v>1</v>
      </c>
      <c r="Z186" s="13" t="s">
        <v>141</v>
      </c>
      <c r="AA186" s="13" t="s">
        <v>34</v>
      </c>
      <c r="AB186" s="13" t="s">
        <v>34</v>
      </c>
      <c r="AC186" s="13" t="s">
        <v>154</v>
      </c>
      <c r="AD186" s="13" t="s">
        <v>32</v>
      </c>
      <c r="AE186" s="12">
        <v>0.70689999999999997</v>
      </c>
      <c r="AF186" s="21" t="s">
        <v>160</v>
      </c>
      <c r="AG186" s="21">
        <v>2018</v>
      </c>
      <c r="AH186" s="21" t="s">
        <v>161</v>
      </c>
      <c r="AI186" s="2">
        <v>30</v>
      </c>
      <c r="AJ186" s="2">
        <v>2</v>
      </c>
      <c r="AK186" s="2" t="s">
        <v>34</v>
      </c>
    </row>
    <row r="187" spans="1:37" x14ac:dyDescent="0.3">
      <c r="A187" s="11">
        <v>25.9968526192898</v>
      </c>
      <c r="B187" s="11">
        <v>4403.6125817502298</v>
      </c>
      <c r="C187" s="13" t="s">
        <v>33</v>
      </c>
      <c r="D187" s="13" t="s">
        <v>35</v>
      </c>
      <c r="E187" s="10" t="s">
        <v>170</v>
      </c>
      <c r="F187" s="13" t="s">
        <v>34</v>
      </c>
      <c r="G187" s="13" t="s">
        <v>34</v>
      </c>
      <c r="H187" s="13" t="s">
        <v>34</v>
      </c>
      <c r="I187" s="13" t="s">
        <v>34</v>
      </c>
      <c r="J187" s="13" t="s">
        <v>34</v>
      </c>
      <c r="K187" s="13" t="s">
        <v>34</v>
      </c>
      <c r="L187" s="13" t="s">
        <v>34</v>
      </c>
      <c r="M187" s="13" t="s">
        <v>34</v>
      </c>
      <c r="N187" s="13">
        <v>1483</v>
      </c>
      <c r="O187" s="13" t="s">
        <v>43</v>
      </c>
      <c r="P187" s="13" t="s">
        <v>43</v>
      </c>
      <c r="Q187" s="13" t="s">
        <v>34</v>
      </c>
      <c r="R187" s="13">
        <v>2.665</v>
      </c>
      <c r="S187" s="13" t="s">
        <v>34</v>
      </c>
      <c r="T187" s="13" t="s">
        <v>36</v>
      </c>
      <c r="U187" s="13" t="s">
        <v>37</v>
      </c>
      <c r="V187" s="13" t="s">
        <v>38</v>
      </c>
      <c r="W187" s="13" t="s">
        <v>34</v>
      </c>
      <c r="X187" s="13">
        <v>0.5</v>
      </c>
      <c r="Y187" s="13">
        <v>1</v>
      </c>
      <c r="Z187" s="13" t="s">
        <v>141</v>
      </c>
      <c r="AA187" s="13" t="s">
        <v>34</v>
      </c>
      <c r="AB187" s="13" t="s">
        <v>34</v>
      </c>
      <c r="AC187" s="13" t="s">
        <v>155</v>
      </c>
      <c r="AD187" s="13" t="s">
        <v>32</v>
      </c>
      <c r="AE187" s="12">
        <v>0.70689999999999997</v>
      </c>
      <c r="AF187" s="21" t="s">
        <v>160</v>
      </c>
      <c r="AG187" s="21">
        <v>2018</v>
      </c>
      <c r="AH187" s="21" t="s">
        <v>161</v>
      </c>
      <c r="AI187" s="2">
        <v>30</v>
      </c>
      <c r="AJ187" s="2">
        <v>2</v>
      </c>
      <c r="AK187" s="2" t="s">
        <v>34</v>
      </c>
    </row>
    <row r="188" spans="1:37" x14ac:dyDescent="0.3">
      <c r="A188" s="11">
        <v>26.948177454922799</v>
      </c>
      <c r="B188" s="11">
        <v>6716.98907601274</v>
      </c>
      <c r="C188" s="13" t="s">
        <v>33</v>
      </c>
      <c r="D188" s="13" t="s">
        <v>35</v>
      </c>
      <c r="E188" s="10" t="s">
        <v>170</v>
      </c>
      <c r="F188" s="13" t="s">
        <v>34</v>
      </c>
      <c r="G188" s="13" t="s">
        <v>34</v>
      </c>
      <c r="H188" s="13" t="s">
        <v>34</v>
      </c>
      <c r="I188" s="13" t="s">
        <v>34</v>
      </c>
      <c r="J188" s="13" t="s">
        <v>34</v>
      </c>
      <c r="K188" s="13" t="s">
        <v>34</v>
      </c>
      <c r="L188" s="13" t="s">
        <v>34</v>
      </c>
      <c r="M188" s="13" t="s">
        <v>34</v>
      </c>
      <c r="N188" s="13">
        <v>1483</v>
      </c>
      <c r="O188" s="13" t="s">
        <v>43</v>
      </c>
      <c r="P188" s="13" t="s">
        <v>43</v>
      </c>
      <c r="Q188" s="13" t="s">
        <v>34</v>
      </c>
      <c r="R188" s="13">
        <v>2.665</v>
      </c>
      <c r="S188" s="13" t="s">
        <v>34</v>
      </c>
      <c r="T188" s="13" t="s">
        <v>36</v>
      </c>
      <c r="U188" s="13" t="s">
        <v>37</v>
      </c>
      <c r="V188" s="13" t="s">
        <v>38</v>
      </c>
      <c r="W188" s="13" t="s">
        <v>34</v>
      </c>
      <c r="X188" s="13">
        <v>0.5</v>
      </c>
      <c r="Y188" s="13">
        <v>1</v>
      </c>
      <c r="Z188" s="13" t="s">
        <v>141</v>
      </c>
      <c r="AA188" s="13" t="s">
        <v>34</v>
      </c>
      <c r="AB188" s="13" t="s">
        <v>34</v>
      </c>
      <c r="AC188" s="13" t="s">
        <v>156</v>
      </c>
      <c r="AD188" s="13" t="s">
        <v>32</v>
      </c>
      <c r="AE188" s="12">
        <v>0.70689999999999997</v>
      </c>
      <c r="AF188" s="21" t="s">
        <v>160</v>
      </c>
      <c r="AG188" s="21">
        <v>2018</v>
      </c>
      <c r="AH188" s="21" t="s">
        <v>161</v>
      </c>
      <c r="AI188" s="2">
        <v>30</v>
      </c>
      <c r="AJ188" s="2">
        <v>2</v>
      </c>
      <c r="AK188" s="2" t="s">
        <v>34</v>
      </c>
    </row>
    <row r="189" spans="1:37" x14ac:dyDescent="0.3">
      <c r="A189" s="11">
        <v>27.978481140369801</v>
      </c>
      <c r="B189" s="11">
        <v>5685.7785869620093</v>
      </c>
      <c r="C189" s="13" t="s">
        <v>33</v>
      </c>
      <c r="D189" s="13" t="s">
        <v>35</v>
      </c>
      <c r="E189" s="10" t="s">
        <v>170</v>
      </c>
      <c r="F189" s="13" t="s">
        <v>34</v>
      </c>
      <c r="G189" s="13" t="s">
        <v>34</v>
      </c>
      <c r="H189" s="13" t="s">
        <v>34</v>
      </c>
      <c r="I189" s="13" t="s">
        <v>34</v>
      </c>
      <c r="J189" s="13" t="s">
        <v>34</v>
      </c>
      <c r="K189" s="13" t="s">
        <v>34</v>
      </c>
      <c r="L189" s="13" t="s">
        <v>34</v>
      </c>
      <c r="M189" s="13" t="s">
        <v>34</v>
      </c>
      <c r="N189" s="13">
        <v>1483</v>
      </c>
      <c r="O189" s="13" t="s">
        <v>43</v>
      </c>
      <c r="P189" s="13" t="s">
        <v>43</v>
      </c>
      <c r="Q189" s="13" t="s">
        <v>34</v>
      </c>
      <c r="R189" s="13">
        <v>2.665</v>
      </c>
      <c r="S189" s="13" t="s">
        <v>34</v>
      </c>
      <c r="T189" s="13" t="s">
        <v>36</v>
      </c>
      <c r="U189" s="13" t="s">
        <v>37</v>
      </c>
      <c r="V189" s="13" t="s">
        <v>38</v>
      </c>
      <c r="W189" s="13" t="s">
        <v>34</v>
      </c>
      <c r="X189" s="13">
        <v>0.5</v>
      </c>
      <c r="Y189" s="13">
        <v>1</v>
      </c>
      <c r="Z189" s="13" t="s">
        <v>141</v>
      </c>
      <c r="AA189" s="13" t="s">
        <v>34</v>
      </c>
      <c r="AB189" s="13" t="s">
        <v>34</v>
      </c>
      <c r="AC189" s="13" t="s">
        <v>157</v>
      </c>
      <c r="AD189" s="13" t="s">
        <v>32</v>
      </c>
      <c r="AE189" s="12">
        <v>0.70689999999999997</v>
      </c>
      <c r="AF189" s="21" t="s">
        <v>160</v>
      </c>
      <c r="AG189" s="21">
        <v>2018</v>
      </c>
      <c r="AH189" s="21" t="s">
        <v>161</v>
      </c>
      <c r="AI189" s="2">
        <v>30</v>
      </c>
      <c r="AJ189" s="2">
        <v>2</v>
      </c>
      <c r="AK189" s="2" t="s">
        <v>34</v>
      </c>
    </row>
    <row r="190" spans="1:37" x14ac:dyDescent="0.3">
      <c r="A190" s="11">
        <v>27.9906261307699</v>
      </c>
      <c r="B190" s="11">
        <v>10008.7775195841</v>
      </c>
      <c r="C190" s="13" t="s">
        <v>33</v>
      </c>
      <c r="D190" s="13" t="s">
        <v>35</v>
      </c>
      <c r="E190" s="10" t="s">
        <v>170</v>
      </c>
      <c r="F190" s="13" t="s">
        <v>34</v>
      </c>
      <c r="G190" s="13" t="s">
        <v>34</v>
      </c>
      <c r="H190" s="13" t="s">
        <v>34</v>
      </c>
      <c r="I190" s="13" t="s">
        <v>34</v>
      </c>
      <c r="J190" s="13" t="s">
        <v>34</v>
      </c>
      <c r="K190" s="13" t="s">
        <v>34</v>
      </c>
      <c r="L190" s="13" t="s">
        <v>34</v>
      </c>
      <c r="M190" s="13" t="s">
        <v>34</v>
      </c>
      <c r="N190" s="13">
        <v>1483</v>
      </c>
      <c r="O190" s="13" t="s">
        <v>43</v>
      </c>
      <c r="P190" s="13" t="s">
        <v>43</v>
      </c>
      <c r="Q190" s="13" t="s">
        <v>34</v>
      </c>
      <c r="R190" s="13">
        <v>2.665</v>
      </c>
      <c r="S190" s="13" t="s">
        <v>34</v>
      </c>
      <c r="T190" s="13" t="s">
        <v>36</v>
      </c>
      <c r="U190" s="13" t="s">
        <v>37</v>
      </c>
      <c r="V190" s="13" t="s">
        <v>38</v>
      </c>
      <c r="W190" s="13" t="s">
        <v>34</v>
      </c>
      <c r="X190" s="13">
        <v>0.5</v>
      </c>
      <c r="Y190" s="13">
        <v>1</v>
      </c>
      <c r="Z190" s="13" t="s">
        <v>141</v>
      </c>
      <c r="AA190" s="13" t="s">
        <v>34</v>
      </c>
      <c r="AB190" s="13" t="s">
        <v>34</v>
      </c>
      <c r="AC190" s="13" t="s">
        <v>158</v>
      </c>
      <c r="AD190" s="13" t="s">
        <v>32</v>
      </c>
      <c r="AE190" s="12">
        <v>0.70689999999999997</v>
      </c>
      <c r="AF190" s="21" t="s">
        <v>160</v>
      </c>
      <c r="AG190" s="21">
        <v>2018</v>
      </c>
      <c r="AH190" s="21" t="s">
        <v>161</v>
      </c>
      <c r="AI190" s="2">
        <v>30</v>
      </c>
      <c r="AJ190" s="2">
        <v>2</v>
      </c>
      <c r="AK190" s="2" t="s">
        <v>34</v>
      </c>
    </row>
    <row r="191" spans="1:37" s="15" customFormat="1" ht="16.2" thickBot="1" x14ac:dyDescent="0.35">
      <c r="A191" s="17">
        <v>31.956587538375</v>
      </c>
      <c r="B191" s="17">
        <v>6704.6426945835201</v>
      </c>
      <c r="C191" s="18" t="s">
        <v>33</v>
      </c>
      <c r="D191" s="18" t="s">
        <v>35</v>
      </c>
      <c r="E191" s="10" t="s">
        <v>170</v>
      </c>
      <c r="F191" s="18" t="s">
        <v>34</v>
      </c>
      <c r="G191" s="18" t="s">
        <v>34</v>
      </c>
      <c r="H191" s="18" t="s">
        <v>34</v>
      </c>
      <c r="I191" s="18" t="s">
        <v>34</v>
      </c>
      <c r="J191" s="18" t="s">
        <v>34</v>
      </c>
      <c r="K191" s="18" t="s">
        <v>34</v>
      </c>
      <c r="L191" s="18" t="s">
        <v>34</v>
      </c>
      <c r="M191" s="18" t="s">
        <v>34</v>
      </c>
      <c r="N191" s="18">
        <v>1483</v>
      </c>
      <c r="O191" s="18" t="s">
        <v>43</v>
      </c>
      <c r="P191" s="18" t="s">
        <v>43</v>
      </c>
      <c r="Q191" s="18" t="s">
        <v>34</v>
      </c>
      <c r="R191" s="18">
        <v>2.665</v>
      </c>
      <c r="S191" s="18" t="s">
        <v>34</v>
      </c>
      <c r="T191" s="18" t="s">
        <v>36</v>
      </c>
      <c r="U191" s="18" t="s">
        <v>37</v>
      </c>
      <c r="V191" s="18" t="s">
        <v>38</v>
      </c>
      <c r="W191" s="18" t="s">
        <v>34</v>
      </c>
      <c r="X191" s="18">
        <v>0.5</v>
      </c>
      <c r="Y191" s="18">
        <v>1</v>
      </c>
      <c r="Z191" s="18" t="s">
        <v>141</v>
      </c>
      <c r="AA191" s="18" t="s">
        <v>34</v>
      </c>
      <c r="AB191" s="18" t="s">
        <v>34</v>
      </c>
      <c r="AC191" s="18" t="s">
        <v>159</v>
      </c>
      <c r="AD191" s="18" t="s">
        <v>32</v>
      </c>
      <c r="AE191" s="19">
        <v>0.70689999999999997</v>
      </c>
      <c r="AF191" s="23" t="s">
        <v>160</v>
      </c>
      <c r="AG191" s="23">
        <v>2018</v>
      </c>
      <c r="AH191" s="23" t="s">
        <v>161</v>
      </c>
      <c r="AI191" s="34">
        <v>30</v>
      </c>
      <c r="AJ191" s="34">
        <v>2</v>
      </c>
      <c r="AK191" s="34" t="s">
        <v>34</v>
      </c>
    </row>
    <row r="192" spans="1:37" x14ac:dyDescent="0.3">
      <c r="A192" s="12">
        <v>8.1999999999999993</v>
      </c>
      <c r="B192" s="12">
        <v>230</v>
      </c>
      <c r="C192" s="13" t="s">
        <v>33</v>
      </c>
      <c r="D192" s="13" t="s">
        <v>35</v>
      </c>
      <c r="E192" s="10" t="s">
        <v>170</v>
      </c>
      <c r="F192" s="13" t="s">
        <v>34</v>
      </c>
      <c r="G192" s="20">
        <v>0.73</v>
      </c>
      <c r="H192" s="13" t="s">
        <v>34</v>
      </c>
      <c r="I192" s="13" t="s">
        <v>34</v>
      </c>
      <c r="J192" s="13" t="s">
        <v>34</v>
      </c>
      <c r="K192" s="13" t="s">
        <v>34</v>
      </c>
      <c r="L192" s="13" t="s">
        <v>34</v>
      </c>
      <c r="M192" s="13" t="s">
        <v>34</v>
      </c>
      <c r="N192" s="24">
        <f>1650/1.07</f>
        <v>1542.0560747663551</v>
      </c>
      <c r="O192" s="13" t="s">
        <v>34</v>
      </c>
      <c r="P192" s="13" t="s">
        <v>34</v>
      </c>
      <c r="Q192" s="13" t="s">
        <v>34</v>
      </c>
      <c r="R192" s="13" t="s">
        <v>34</v>
      </c>
      <c r="S192" s="13" t="s">
        <v>34</v>
      </c>
      <c r="T192" s="13" t="s">
        <v>36</v>
      </c>
      <c r="U192" s="20" t="s">
        <v>37</v>
      </c>
      <c r="V192" s="20" t="s">
        <v>162</v>
      </c>
      <c r="W192" s="13">
        <v>15</v>
      </c>
      <c r="X192" s="20">
        <v>0.5</v>
      </c>
      <c r="Y192" s="20">
        <v>1</v>
      </c>
      <c r="Z192" s="20" t="s">
        <v>163</v>
      </c>
      <c r="AA192" s="20">
        <f>3.7*10^-3*60</f>
        <v>0.222</v>
      </c>
      <c r="AB192" s="13" t="s">
        <v>34</v>
      </c>
      <c r="AC192" s="13" t="s">
        <v>40</v>
      </c>
      <c r="AD192" s="13" t="s">
        <v>32</v>
      </c>
      <c r="AE192" s="20">
        <v>0.86199999999999999</v>
      </c>
      <c r="AF192" s="21" t="s">
        <v>164</v>
      </c>
      <c r="AG192" s="13">
        <v>2016</v>
      </c>
      <c r="AH192" s="21" t="s">
        <v>165</v>
      </c>
      <c r="AI192" s="2">
        <v>50</v>
      </c>
      <c r="AJ192" s="2">
        <v>2</v>
      </c>
      <c r="AK192" s="2">
        <v>1</v>
      </c>
    </row>
    <row r="193" spans="1:37" x14ac:dyDescent="0.3">
      <c r="A193" s="11">
        <v>11.3</v>
      </c>
      <c r="B193" s="11">
        <v>739</v>
      </c>
      <c r="C193" s="13" t="s">
        <v>33</v>
      </c>
      <c r="D193" s="13" t="s">
        <v>35</v>
      </c>
      <c r="E193" s="10" t="s">
        <v>170</v>
      </c>
      <c r="F193" s="13" t="s">
        <v>34</v>
      </c>
      <c r="G193" s="20">
        <v>0.73</v>
      </c>
      <c r="H193" s="13" t="s">
        <v>34</v>
      </c>
      <c r="I193" s="13" t="s">
        <v>34</v>
      </c>
      <c r="J193" s="13" t="s">
        <v>34</v>
      </c>
      <c r="K193" s="13" t="s">
        <v>34</v>
      </c>
      <c r="L193" s="13" t="s">
        <v>34</v>
      </c>
      <c r="M193" s="13" t="s">
        <v>34</v>
      </c>
      <c r="N193" s="24">
        <f>1650/1.07</f>
        <v>1542.0560747663551</v>
      </c>
      <c r="O193" s="13" t="s">
        <v>34</v>
      </c>
      <c r="P193" s="13" t="s">
        <v>34</v>
      </c>
      <c r="Q193" s="13" t="s">
        <v>34</v>
      </c>
      <c r="R193" s="13" t="s">
        <v>34</v>
      </c>
      <c r="S193" s="13" t="s">
        <v>34</v>
      </c>
      <c r="T193" s="13" t="s">
        <v>36</v>
      </c>
      <c r="U193" s="20" t="s">
        <v>37</v>
      </c>
      <c r="V193" s="20" t="s">
        <v>162</v>
      </c>
      <c r="W193" s="13">
        <v>15</v>
      </c>
      <c r="X193" s="20">
        <v>0.5</v>
      </c>
      <c r="Y193" s="20">
        <v>1</v>
      </c>
      <c r="Z193" s="20" t="s">
        <v>163</v>
      </c>
      <c r="AA193" s="20">
        <f>3.7*10^-3*60</f>
        <v>0.222</v>
      </c>
      <c r="AB193" s="13" t="s">
        <v>34</v>
      </c>
      <c r="AC193" s="13" t="s">
        <v>40</v>
      </c>
      <c r="AD193" s="13" t="s">
        <v>32</v>
      </c>
      <c r="AE193" s="20">
        <v>0.86199999999999999</v>
      </c>
      <c r="AF193" s="21" t="s">
        <v>164</v>
      </c>
      <c r="AG193" s="13">
        <v>2016</v>
      </c>
      <c r="AH193" s="21" t="s">
        <v>165</v>
      </c>
      <c r="AI193" s="2">
        <v>50</v>
      </c>
      <c r="AJ193" s="2">
        <v>2</v>
      </c>
      <c r="AK193" s="2">
        <v>1</v>
      </c>
    </row>
    <row r="194" spans="1:37" s="15" customFormat="1" ht="16.2" thickBot="1" x14ac:dyDescent="0.35">
      <c r="A194" s="17">
        <v>12.1</v>
      </c>
      <c r="B194" s="17">
        <v>1728</v>
      </c>
      <c r="C194" s="18" t="s">
        <v>33</v>
      </c>
      <c r="D194" s="18" t="s">
        <v>35</v>
      </c>
      <c r="E194" s="10" t="s">
        <v>170</v>
      </c>
      <c r="F194" s="18" t="s">
        <v>34</v>
      </c>
      <c r="G194" s="22">
        <v>0.73</v>
      </c>
      <c r="H194" s="18" t="s">
        <v>34</v>
      </c>
      <c r="I194" s="18" t="s">
        <v>34</v>
      </c>
      <c r="J194" s="18" t="s">
        <v>34</v>
      </c>
      <c r="K194" s="18" t="s">
        <v>34</v>
      </c>
      <c r="L194" s="18" t="s">
        <v>34</v>
      </c>
      <c r="M194" s="18" t="s">
        <v>34</v>
      </c>
      <c r="N194" s="25">
        <f>1650/1.07</f>
        <v>1542.0560747663551</v>
      </c>
      <c r="O194" s="18" t="s">
        <v>34</v>
      </c>
      <c r="P194" s="18" t="s">
        <v>34</v>
      </c>
      <c r="Q194" s="18" t="s">
        <v>34</v>
      </c>
      <c r="R194" s="18" t="s">
        <v>34</v>
      </c>
      <c r="S194" s="18" t="s">
        <v>34</v>
      </c>
      <c r="T194" s="18" t="s">
        <v>36</v>
      </c>
      <c r="U194" s="22" t="s">
        <v>37</v>
      </c>
      <c r="V194" s="22" t="s">
        <v>162</v>
      </c>
      <c r="W194" s="18">
        <v>15</v>
      </c>
      <c r="X194" s="22">
        <v>0.5</v>
      </c>
      <c r="Y194" s="22">
        <v>1</v>
      </c>
      <c r="Z194" s="22" t="s">
        <v>163</v>
      </c>
      <c r="AA194" s="22">
        <f>3.7*10^-3*60</f>
        <v>0.222</v>
      </c>
      <c r="AB194" s="18" t="s">
        <v>34</v>
      </c>
      <c r="AC194" s="18" t="s">
        <v>40</v>
      </c>
      <c r="AD194" s="18" t="s">
        <v>32</v>
      </c>
      <c r="AE194" s="22">
        <v>0.86199999999999999</v>
      </c>
      <c r="AF194" s="23" t="s">
        <v>164</v>
      </c>
      <c r="AG194" s="18">
        <v>2016</v>
      </c>
      <c r="AH194" s="23" t="s">
        <v>165</v>
      </c>
      <c r="AI194" s="34">
        <v>50</v>
      </c>
      <c r="AJ194" s="34">
        <v>2</v>
      </c>
      <c r="AK194" s="34">
        <v>1</v>
      </c>
    </row>
    <row r="195" spans="1:37" x14ac:dyDescent="0.3">
      <c r="A195" s="12">
        <v>22.747479376718498</v>
      </c>
      <c r="B195" s="12">
        <v>492.45049504950504</v>
      </c>
      <c r="C195" s="13" t="s">
        <v>33</v>
      </c>
      <c r="D195" s="13" t="s">
        <v>35</v>
      </c>
      <c r="E195" s="10" t="s">
        <v>170</v>
      </c>
      <c r="F195" s="20">
        <v>0.15</v>
      </c>
      <c r="G195" s="13" t="s">
        <v>34</v>
      </c>
      <c r="H195" s="13" t="s">
        <v>34</v>
      </c>
      <c r="I195" s="13" t="s">
        <v>34</v>
      </c>
      <c r="J195" s="13" t="s">
        <v>34</v>
      </c>
      <c r="K195" s="13" t="s">
        <v>34</v>
      </c>
      <c r="L195" s="13" t="s">
        <v>34</v>
      </c>
      <c r="M195" s="13" t="s">
        <v>34</v>
      </c>
      <c r="N195" s="13" t="s">
        <v>34</v>
      </c>
      <c r="O195" s="13" t="s">
        <v>34</v>
      </c>
      <c r="P195" s="13" t="s">
        <v>34</v>
      </c>
      <c r="Q195" s="13" t="s">
        <v>34</v>
      </c>
      <c r="R195" s="13" t="s">
        <v>34</v>
      </c>
      <c r="S195" s="13" t="s">
        <v>34</v>
      </c>
      <c r="T195" s="13" t="s">
        <v>36</v>
      </c>
      <c r="U195" s="20" t="s">
        <v>37</v>
      </c>
      <c r="V195" s="20" t="s">
        <v>38</v>
      </c>
      <c r="W195" s="20">
        <v>2</v>
      </c>
      <c r="X195" s="20">
        <v>2</v>
      </c>
      <c r="Y195" s="20">
        <v>1</v>
      </c>
      <c r="Z195" s="20" t="s">
        <v>166</v>
      </c>
      <c r="AA195" s="20">
        <f>4.4*10^-3*60</f>
        <v>0.26400000000000001</v>
      </c>
      <c r="AB195" s="13" t="s">
        <v>34</v>
      </c>
      <c r="AC195" s="13" t="s">
        <v>40</v>
      </c>
      <c r="AD195" s="13" t="s">
        <v>32</v>
      </c>
      <c r="AE195" s="12">
        <v>0.99419999999999997</v>
      </c>
      <c r="AF195" s="13" t="s">
        <v>167</v>
      </c>
      <c r="AG195" s="13">
        <v>2011</v>
      </c>
      <c r="AH195" s="21" t="s">
        <v>168</v>
      </c>
      <c r="AI195" s="2">
        <v>30</v>
      </c>
      <c r="AJ195" s="2">
        <v>2</v>
      </c>
      <c r="AK195" s="2">
        <v>1</v>
      </c>
    </row>
    <row r="196" spans="1:37" x14ac:dyDescent="0.3">
      <c r="A196" s="11">
        <v>31.620073327222624</v>
      </c>
      <c r="B196" s="11">
        <v>806.55940594059405</v>
      </c>
      <c r="C196" s="13" t="s">
        <v>33</v>
      </c>
      <c r="D196" s="13" t="s">
        <v>35</v>
      </c>
      <c r="E196" s="10" t="s">
        <v>170</v>
      </c>
      <c r="F196" s="20">
        <v>0.15</v>
      </c>
      <c r="G196" s="13" t="s">
        <v>34</v>
      </c>
      <c r="H196" s="13" t="s">
        <v>34</v>
      </c>
      <c r="I196" s="13" t="s">
        <v>34</v>
      </c>
      <c r="J196" s="13" t="s">
        <v>34</v>
      </c>
      <c r="K196" s="13" t="s">
        <v>34</v>
      </c>
      <c r="L196" s="13" t="s">
        <v>34</v>
      </c>
      <c r="M196" s="13" t="s">
        <v>34</v>
      </c>
      <c r="N196" s="13" t="s">
        <v>34</v>
      </c>
      <c r="O196" s="13" t="s">
        <v>34</v>
      </c>
      <c r="P196" s="13" t="s">
        <v>34</v>
      </c>
      <c r="Q196" s="13" t="s">
        <v>34</v>
      </c>
      <c r="R196" s="13" t="s">
        <v>34</v>
      </c>
      <c r="S196" s="13" t="s">
        <v>34</v>
      </c>
      <c r="T196" s="13" t="s">
        <v>36</v>
      </c>
      <c r="U196" s="20" t="s">
        <v>37</v>
      </c>
      <c r="V196" s="20" t="s">
        <v>38</v>
      </c>
      <c r="W196" s="20">
        <v>2</v>
      </c>
      <c r="X196" s="20">
        <v>2</v>
      </c>
      <c r="Y196" s="20">
        <v>1</v>
      </c>
      <c r="Z196" s="20" t="s">
        <v>166</v>
      </c>
      <c r="AA196" s="20">
        <f>4.4*10^-3*60</f>
        <v>0.26400000000000001</v>
      </c>
      <c r="AB196" s="13" t="s">
        <v>34</v>
      </c>
      <c r="AC196" s="13" t="s">
        <v>40</v>
      </c>
      <c r="AD196" s="13" t="s">
        <v>32</v>
      </c>
      <c r="AE196" s="12">
        <v>0.99419999999999997</v>
      </c>
      <c r="AF196" s="13" t="s">
        <v>167</v>
      </c>
      <c r="AG196" s="13">
        <v>2011</v>
      </c>
      <c r="AH196" s="21" t="s">
        <v>168</v>
      </c>
      <c r="AI196" s="59">
        <v>30</v>
      </c>
      <c r="AJ196" s="59">
        <v>2</v>
      </c>
      <c r="AK196" s="59">
        <v>1</v>
      </c>
    </row>
    <row r="197" spans="1:37" s="15" customFormat="1" ht="16.2" thickBot="1" x14ac:dyDescent="0.35">
      <c r="A197" s="17">
        <v>45.38267644362962</v>
      </c>
      <c r="B197" s="17">
        <v>1216.4603960396</v>
      </c>
      <c r="C197" s="18" t="s">
        <v>33</v>
      </c>
      <c r="D197" s="18" t="s">
        <v>35</v>
      </c>
      <c r="E197" s="14" t="s">
        <v>170</v>
      </c>
      <c r="F197" s="22">
        <v>0.15</v>
      </c>
      <c r="G197" s="18" t="s">
        <v>34</v>
      </c>
      <c r="H197" s="18" t="s">
        <v>34</v>
      </c>
      <c r="I197" s="18" t="s">
        <v>34</v>
      </c>
      <c r="J197" s="18" t="s">
        <v>34</v>
      </c>
      <c r="K197" s="18" t="s">
        <v>34</v>
      </c>
      <c r="L197" s="18" t="s">
        <v>34</v>
      </c>
      <c r="M197" s="18" t="s">
        <v>34</v>
      </c>
      <c r="N197" s="18" t="s">
        <v>34</v>
      </c>
      <c r="O197" s="18" t="s">
        <v>34</v>
      </c>
      <c r="P197" s="18" t="s">
        <v>34</v>
      </c>
      <c r="Q197" s="18" t="s">
        <v>34</v>
      </c>
      <c r="R197" s="18" t="s">
        <v>34</v>
      </c>
      <c r="S197" s="18" t="s">
        <v>34</v>
      </c>
      <c r="T197" s="18" t="s">
        <v>36</v>
      </c>
      <c r="U197" s="22" t="s">
        <v>37</v>
      </c>
      <c r="V197" s="22" t="s">
        <v>38</v>
      </c>
      <c r="W197" s="22">
        <v>2</v>
      </c>
      <c r="X197" s="22">
        <v>2</v>
      </c>
      <c r="Y197" s="22">
        <v>1</v>
      </c>
      <c r="Z197" s="22" t="s">
        <v>166</v>
      </c>
      <c r="AA197" s="22">
        <f>4.4*10^-3*60</f>
        <v>0.26400000000000001</v>
      </c>
      <c r="AB197" s="18" t="s">
        <v>34</v>
      </c>
      <c r="AC197" s="18" t="s">
        <v>40</v>
      </c>
      <c r="AD197" s="18" t="s">
        <v>32</v>
      </c>
      <c r="AE197" s="19">
        <v>0.99419999999999997</v>
      </c>
      <c r="AF197" s="18" t="s">
        <v>167</v>
      </c>
      <c r="AG197" s="18">
        <v>2011</v>
      </c>
      <c r="AH197" s="23" t="s">
        <v>168</v>
      </c>
      <c r="AI197" s="15">
        <v>30</v>
      </c>
      <c r="AJ197" s="15">
        <v>2</v>
      </c>
      <c r="AK197" s="15">
        <v>1</v>
      </c>
    </row>
    <row r="198" spans="1:37" x14ac:dyDescent="0.3">
      <c r="A198" s="12">
        <v>4.1140719962599004</v>
      </c>
      <c r="B198" s="12">
        <v>369.614512471654</v>
      </c>
      <c r="C198" s="13" t="s">
        <v>33</v>
      </c>
      <c r="D198" s="13" t="s">
        <v>169</v>
      </c>
      <c r="E198" s="13" t="s">
        <v>170</v>
      </c>
      <c r="F198" s="13" t="s">
        <v>34</v>
      </c>
      <c r="G198" s="13">
        <v>0.21</v>
      </c>
      <c r="H198" s="13" t="s">
        <v>34</v>
      </c>
      <c r="I198" s="13" t="s">
        <v>34</v>
      </c>
      <c r="J198" s="13" t="s">
        <v>34</v>
      </c>
      <c r="K198" s="13" t="s">
        <v>34</v>
      </c>
      <c r="L198" s="13">
        <v>0</v>
      </c>
      <c r="M198" s="13">
        <v>50</v>
      </c>
      <c r="N198" s="12">
        <v>1476.9578718927885</v>
      </c>
      <c r="O198" s="13" t="s">
        <v>34</v>
      </c>
      <c r="P198" s="13" t="s">
        <v>34</v>
      </c>
      <c r="Q198" s="13">
        <v>0</v>
      </c>
      <c r="R198" s="13">
        <v>2.64</v>
      </c>
      <c r="S198" s="13">
        <v>4.4000000000000007E-4</v>
      </c>
      <c r="T198" s="26" t="s">
        <v>49</v>
      </c>
      <c r="U198" s="13" t="s">
        <v>50</v>
      </c>
      <c r="V198" s="13" t="s">
        <v>38</v>
      </c>
      <c r="W198" s="13" t="s">
        <v>43</v>
      </c>
      <c r="X198" s="13" t="s">
        <v>43</v>
      </c>
      <c r="Y198" s="13">
        <v>1</v>
      </c>
      <c r="Z198" s="13" t="s">
        <v>171</v>
      </c>
      <c r="AA198" s="13" t="s">
        <v>43</v>
      </c>
      <c r="AB198" s="13">
        <v>9.15</v>
      </c>
      <c r="AC198" s="13" t="s">
        <v>40</v>
      </c>
      <c r="AD198" s="13" t="s">
        <v>32</v>
      </c>
      <c r="AE198" s="13">
        <v>0.19400000000000001</v>
      </c>
      <c r="AF198" s="13" t="s">
        <v>172</v>
      </c>
      <c r="AG198" s="13">
        <v>2012</v>
      </c>
      <c r="AH198" s="13" t="s">
        <v>173</v>
      </c>
      <c r="AI198" s="2">
        <v>50</v>
      </c>
      <c r="AJ198" s="2">
        <v>2</v>
      </c>
      <c r="AK198" s="2" t="s">
        <v>34</v>
      </c>
    </row>
    <row r="199" spans="1:37" x14ac:dyDescent="0.3">
      <c r="A199" s="11">
        <v>6.0133239831696992</v>
      </c>
      <c r="B199" s="11">
        <v>467.12018140589498</v>
      </c>
      <c r="C199" s="13" t="s">
        <v>33</v>
      </c>
      <c r="D199" s="13" t="s">
        <v>169</v>
      </c>
      <c r="E199" s="13" t="s">
        <v>170</v>
      </c>
      <c r="F199" s="13" t="s">
        <v>34</v>
      </c>
      <c r="G199" s="13">
        <v>0.21</v>
      </c>
      <c r="H199" s="13" t="s">
        <v>34</v>
      </c>
      <c r="I199" s="13" t="s">
        <v>34</v>
      </c>
      <c r="J199" s="13" t="s">
        <v>34</v>
      </c>
      <c r="K199" s="13" t="s">
        <v>34</v>
      </c>
      <c r="L199" s="13">
        <v>0</v>
      </c>
      <c r="M199" s="13">
        <v>50</v>
      </c>
      <c r="N199" s="12">
        <v>1476.9578718927885</v>
      </c>
      <c r="O199" s="13" t="s">
        <v>34</v>
      </c>
      <c r="P199" s="13" t="s">
        <v>34</v>
      </c>
      <c r="Q199" s="13">
        <v>0</v>
      </c>
      <c r="R199" s="13">
        <v>2.64</v>
      </c>
      <c r="S199" s="13">
        <v>4.4000000000000007E-4</v>
      </c>
      <c r="T199" s="26" t="s">
        <v>49</v>
      </c>
      <c r="U199" s="13" t="s">
        <v>50</v>
      </c>
      <c r="V199" s="13" t="s">
        <v>38</v>
      </c>
      <c r="W199" s="13" t="s">
        <v>43</v>
      </c>
      <c r="X199" s="13" t="s">
        <v>43</v>
      </c>
      <c r="Y199" s="13">
        <v>1</v>
      </c>
      <c r="Z199" s="13" t="s">
        <v>171</v>
      </c>
      <c r="AA199" s="13" t="s">
        <v>43</v>
      </c>
      <c r="AB199" s="13">
        <v>9.15</v>
      </c>
      <c r="AC199" s="13" t="s">
        <v>40</v>
      </c>
      <c r="AD199" s="13" t="s">
        <v>32</v>
      </c>
      <c r="AE199" s="13">
        <v>0.19400000000000001</v>
      </c>
      <c r="AF199" s="13" t="s">
        <v>172</v>
      </c>
      <c r="AG199" s="13">
        <v>2012</v>
      </c>
      <c r="AH199" s="13" t="s">
        <v>173</v>
      </c>
      <c r="AI199" s="60">
        <v>50</v>
      </c>
      <c r="AJ199" s="59">
        <v>2</v>
      </c>
      <c r="AK199" s="59" t="s">
        <v>34</v>
      </c>
    </row>
    <row r="200" spans="1:37" x14ac:dyDescent="0.3">
      <c r="A200" s="11">
        <v>5.6626928471247995</v>
      </c>
      <c r="B200" s="11">
        <v>752.83446712018099</v>
      </c>
      <c r="C200" s="13" t="s">
        <v>33</v>
      </c>
      <c r="D200" s="13" t="s">
        <v>169</v>
      </c>
      <c r="E200" s="13" t="s">
        <v>170</v>
      </c>
      <c r="F200" s="13" t="s">
        <v>34</v>
      </c>
      <c r="G200" s="13">
        <v>0.21</v>
      </c>
      <c r="H200" s="13" t="s">
        <v>34</v>
      </c>
      <c r="I200" s="13" t="s">
        <v>34</v>
      </c>
      <c r="J200" s="13" t="s">
        <v>34</v>
      </c>
      <c r="K200" s="13" t="s">
        <v>34</v>
      </c>
      <c r="L200" s="13">
        <v>0</v>
      </c>
      <c r="M200" s="13">
        <v>50</v>
      </c>
      <c r="N200" s="12">
        <v>1476.9578718927885</v>
      </c>
      <c r="O200" s="13" t="s">
        <v>34</v>
      </c>
      <c r="P200" s="13" t="s">
        <v>34</v>
      </c>
      <c r="Q200" s="13">
        <v>0</v>
      </c>
      <c r="R200" s="13">
        <v>2.64</v>
      </c>
      <c r="S200" s="13">
        <v>4.4000000000000007E-4</v>
      </c>
      <c r="T200" s="26" t="s">
        <v>49</v>
      </c>
      <c r="U200" s="13" t="s">
        <v>50</v>
      </c>
      <c r="V200" s="13" t="s">
        <v>38</v>
      </c>
      <c r="W200" s="13" t="s">
        <v>43</v>
      </c>
      <c r="X200" s="13" t="s">
        <v>43</v>
      </c>
      <c r="Y200" s="13">
        <v>1</v>
      </c>
      <c r="Z200" s="13" t="s">
        <v>171</v>
      </c>
      <c r="AA200" s="13" t="s">
        <v>43</v>
      </c>
      <c r="AB200" s="13">
        <v>9.15</v>
      </c>
      <c r="AC200" s="13" t="s">
        <v>40</v>
      </c>
      <c r="AD200" s="13" t="s">
        <v>32</v>
      </c>
      <c r="AE200" s="13">
        <v>0.19400000000000001</v>
      </c>
      <c r="AF200" s="13" t="s">
        <v>172</v>
      </c>
      <c r="AG200" s="13">
        <v>2012</v>
      </c>
      <c r="AH200" s="13" t="s">
        <v>173</v>
      </c>
      <c r="AI200" s="57">
        <v>50</v>
      </c>
      <c r="AJ200" s="2">
        <v>2</v>
      </c>
      <c r="AK200" s="2" t="s">
        <v>34</v>
      </c>
    </row>
    <row r="201" spans="1:37" x14ac:dyDescent="0.3">
      <c r="A201" s="11">
        <v>7.7080411407199332</v>
      </c>
      <c r="B201" s="11">
        <v>435.37414965986301</v>
      </c>
      <c r="C201" s="13" t="s">
        <v>33</v>
      </c>
      <c r="D201" s="13" t="s">
        <v>169</v>
      </c>
      <c r="E201" s="13" t="s">
        <v>170</v>
      </c>
      <c r="F201" s="13" t="s">
        <v>34</v>
      </c>
      <c r="G201" s="13">
        <v>0.21</v>
      </c>
      <c r="H201" s="13" t="s">
        <v>34</v>
      </c>
      <c r="I201" s="13" t="s">
        <v>34</v>
      </c>
      <c r="J201" s="13" t="s">
        <v>34</v>
      </c>
      <c r="K201" s="13" t="s">
        <v>34</v>
      </c>
      <c r="L201" s="13">
        <v>0</v>
      </c>
      <c r="M201" s="13">
        <v>50</v>
      </c>
      <c r="N201" s="12">
        <v>1476.9578718927885</v>
      </c>
      <c r="O201" s="13" t="s">
        <v>34</v>
      </c>
      <c r="P201" s="13" t="s">
        <v>34</v>
      </c>
      <c r="Q201" s="13">
        <v>0</v>
      </c>
      <c r="R201" s="13">
        <v>2.64</v>
      </c>
      <c r="S201" s="13">
        <v>4.4000000000000007E-4</v>
      </c>
      <c r="T201" s="26" t="s">
        <v>49</v>
      </c>
      <c r="U201" s="13" t="s">
        <v>50</v>
      </c>
      <c r="V201" s="13" t="s">
        <v>38</v>
      </c>
      <c r="W201" s="13" t="s">
        <v>43</v>
      </c>
      <c r="X201" s="13" t="s">
        <v>43</v>
      </c>
      <c r="Y201" s="13">
        <v>1</v>
      </c>
      <c r="Z201" s="13" t="s">
        <v>171</v>
      </c>
      <c r="AA201" s="13" t="s">
        <v>43</v>
      </c>
      <c r="AB201" s="13">
        <v>9.15</v>
      </c>
      <c r="AC201" s="13" t="s">
        <v>40</v>
      </c>
      <c r="AD201" s="13" t="s">
        <v>32</v>
      </c>
      <c r="AE201" s="13">
        <v>0.19400000000000001</v>
      </c>
      <c r="AF201" s="13" t="s">
        <v>172</v>
      </c>
      <c r="AG201" s="13">
        <v>2012</v>
      </c>
      <c r="AH201" s="13" t="s">
        <v>173</v>
      </c>
      <c r="AI201" s="57">
        <v>50</v>
      </c>
      <c r="AJ201" s="2">
        <v>2</v>
      </c>
      <c r="AK201" s="2" t="s">
        <v>34</v>
      </c>
    </row>
    <row r="202" spans="1:37" x14ac:dyDescent="0.3">
      <c r="A202" s="11">
        <v>6.5918653576437336</v>
      </c>
      <c r="B202" s="11">
        <v>888.888888888888</v>
      </c>
      <c r="C202" s="13" t="s">
        <v>33</v>
      </c>
      <c r="D202" s="13" t="s">
        <v>169</v>
      </c>
      <c r="E202" s="13" t="s">
        <v>170</v>
      </c>
      <c r="F202" s="13" t="s">
        <v>34</v>
      </c>
      <c r="G202" s="13">
        <v>0.21</v>
      </c>
      <c r="H202" s="13" t="s">
        <v>34</v>
      </c>
      <c r="I202" s="13" t="s">
        <v>34</v>
      </c>
      <c r="J202" s="13" t="s">
        <v>34</v>
      </c>
      <c r="K202" s="13" t="s">
        <v>34</v>
      </c>
      <c r="L202" s="13">
        <v>0</v>
      </c>
      <c r="M202" s="13">
        <v>50</v>
      </c>
      <c r="N202" s="12">
        <v>1476.9578718927885</v>
      </c>
      <c r="O202" s="13" t="s">
        <v>34</v>
      </c>
      <c r="P202" s="13" t="s">
        <v>34</v>
      </c>
      <c r="Q202" s="13">
        <v>0</v>
      </c>
      <c r="R202" s="13">
        <v>2.64</v>
      </c>
      <c r="S202" s="13">
        <v>4.4000000000000007E-4</v>
      </c>
      <c r="T202" s="26" t="s">
        <v>49</v>
      </c>
      <c r="U202" s="13" t="s">
        <v>50</v>
      </c>
      <c r="V202" s="13" t="s">
        <v>38</v>
      </c>
      <c r="W202" s="13" t="s">
        <v>43</v>
      </c>
      <c r="X202" s="13" t="s">
        <v>43</v>
      </c>
      <c r="Y202" s="13">
        <v>1</v>
      </c>
      <c r="Z202" s="13" t="s">
        <v>171</v>
      </c>
      <c r="AA202" s="13" t="s">
        <v>43</v>
      </c>
      <c r="AB202" s="13">
        <v>9.15</v>
      </c>
      <c r="AC202" s="13" t="s">
        <v>40</v>
      </c>
      <c r="AD202" s="13" t="s">
        <v>32</v>
      </c>
      <c r="AE202" s="13">
        <v>0.19400000000000001</v>
      </c>
      <c r="AF202" s="13" t="s">
        <v>172</v>
      </c>
      <c r="AG202" s="13">
        <v>2012</v>
      </c>
      <c r="AH202" s="13" t="s">
        <v>173</v>
      </c>
      <c r="AI202" s="57">
        <v>50</v>
      </c>
      <c r="AJ202" s="2">
        <v>2</v>
      </c>
      <c r="AK202" s="2" t="s">
        <v>34</v>
      </c>
    </row>
    <row r="203" spans="1:37" s="15" customFormat="1" ht="16.2" thickBot="1" x14ac:dyDescent="0.35">
      <c r="A203" s="17">
        <v>5.0374006545114334</v>
      </c>
      <c r="B203" s="17">
        <v>1623.5827664399001</v>
      </c>
      <c r="C203" s="18" t="s">
        <v>33</v>
      </c>
      <c r="D203" s="18" t="s">
        <v>169</v>
      </c>
      <c r="E203" s="18" t="s">
        <v>170</v>
      </c>
      <c r="F203" s="18" t="s">
        <v>34</v>
      </c>
      <c r="G203" s="18">
        <v>0.21</v>
      </c>
      <c r="H203" s="18" t="s">
        <v>34</v>
      </c>
      <c r="I203" s="18" t="s">
        <v>34</v>
      </c>
      <c r="J203" s="18" t="s">
        <v>34</v>
      </c>
      <c r="K203" s="18" t="s">
        <v>34</v>
      </c>
      <c r="L203" s="18">
        <v>0</v>
      </c>
      <c r="M203" s="18">
        <v>50</v>
      </c>
      <c r="N203" s="19">
        <v>1476.9578718927885</v>
      </c>
      <c r="O203" s="18" t="s">
        <v>34</v>
      </c>
      <c r="P203" s="18" t="s">
        <v>34</v>
      </c>
      <c r="Q203" s="18">
        <v>0</v>
      </c>
      <c r="R203" s="18">
        <v>2.64</v>
      </c>
      <c r="S203" s="18">
        <v>4.4000000000000007E-4</v>
      </c>
      <c r="T203" s="27" t="s">
        <v>49</v>
      </c>
      <c r="U203" s="18" t="s">
        <v>50</v>
      </c>
      <c r="V203" s="18" t="s">
        <v>38</v>
      </c>
      <c r="W203" s="18" t="s">
        <v>43</v>
      </c>
      <c r="X203" s="18" t="s">
        <v>43</v>
      </c>
      <c r="Y203" s="18">
        <v>1</v>
      </c>
      <c r="Z203" s="18" t="s">
        <v>171</v>
      </c>
      <c r="AA203" s="18" t="s">
        <v>43</v>
      </c>
      <c r="AB203" s="18">
        <v>9.15</v>
      </c>
      <c r="AC203" s="18" t="s">
        <v>40</v>
      </c>
      <c r="AD203" s="18" t="s">
        <v>32</v>
      </c>
      <c r="AE203" s="18">
        <v>0.19400000000000001</v>
      </c>
      <c r="AF203" s="18" t="s">
        <v>172</v>
      </c>
      <c r="AG203" s="18">
        <v>2012</v>
      </c>
      <c r="AH203" s="18" t="s">
        <v>173</v>
      </c>
      <c r="AI203" s="61">
        <v>50</v>
      </c>
      <c r="AJ203" s="15">
        <v>2</v>
      </c>
      <c r="AK203" s="15" t="s">
        <v>34</v>
      </c>
    </row>
    <row r="204" spans="1:37" x14ac:dyDescent="0.3">
      <c r="A204" s="12">
        <v>7.8082191780821901</v>
      </c>
      <c r="B204" s="12">
        <v>10545.4545454545</v>
      </c>
      <c r="C204" s="13" t="s">
        <v>34</v>
      </c>
      <c r="D204" s="13" t="s">
        <v>174</v>
      </c>
      <c r="E204" s="13" t="s">
        <v>170</v>
      </c>
      <c r="F204" s="13">
        <v>1</v>
      </c>
      <c r="G204" s="13" t="s">
        <v>34</v>
      </c>
      <c r="H204" s="13" t="s">
        <v>34</v>
      </c>
      <c r="I204" s="13" t="s">
        <v>34</v>
      </c>
      <c r="J204" s="13" t="s">
        <v>34</v>
      </c>
      <c r="K204" s="13" t="s">
        <v>34</v>
      </c>
      <c r="L204" s="13" t="s">
        <v>34</v>
      </c>
      <c r="M204" s="13" t="s">
        <v>34</v>
      </c>
      <c r="N204" s="13" t="s">
        <v>34</v>
      </c>
      <c r="O204" s="13" t="s">
        <v>34</v>
      </c>
      <c r="P204" s="13" t="s">
        <v>34</v>
      </c>
      <c r="Q204" s="13">
        <v>0</v>
      </c>
      <c r="R204" s="13" t="s">
        <v>34</v>
      </c>
      <c r="S204" s="13" t="s">
        <v>34</v>
      </c>
      <c r="T204" s="13" t="s">
        <v>49</v>
      </c>
      <c r="U204" s="13" t="s">
        <v>50</v>
      </c>
      <c r="V204" s="13" t="s">
        <v>38</v>
      </c>
      <c r="W204" s="13" t="s">
        <v>34</v>
      </c>
      <c r="X204" s="13">
        <v>0.33</v>
      </c>
      <c r="Y204" s="13">
        <v>1</v>
      </c>
      <c r="Z204" s="13" t="s">
        <v>177</v>
      </c>
      <c r="AA204" s="13" t="s">
        <v>34</v>
      </c>
      <c r="AB204" s="13" t="s">
        <v>34</v>
      </c>
      <c r="AC204" s="13" t="s">
        <v>40</v>
      </c>
      <c r="AD204" s="13" t="s">
        <v>32</v>
      </c>
      <c r="AE204" s="13">
        <v>6.9900000000000004E-2</v>
      </c>
      <c r="AF204" s="13" t="s">
        <v>178</v>
      </c>
      <c r="AG204" s="13">
        <v>2018</v>
      </c>
      <c r="AH204" s="13" t="s">
        <v>179</v>
      </c>
      <c r="AI204" s="2">
        <v>25</v>
      </c>
      <c r="AJ204" s="2">
        <v>2</v>
      </c>
      <c r="AK204" s="2" t="s">
        <v>34</v>
      </c>
    </row>
    <row r="205" spans="1:37" x14ac:dyDescent="0.3">
      <c r="A205" s="11">
        <v>11.0326659641728</v>
      </c>
      <c r="B205" s="11">
        <v>10969.696969696899</v>
      </c>
      <c r="C205" s="13" t="s">
        <v>34</v>
      </c>
      <c r="D205" s="13" t="s">
        <v>175</v>
      </c>
      <c r="E205" s="13" t="s">
        <v>170</v>
      </c>
      <c r="F205" s="13">
        <v>1</v>
      </c>
      <c r="G205" s="13" t="s">
        <v>34</v>
      </c>
      <c r="H205" s="13" t="s">
        <v>34</v>
      </c>
      <c r="I205" s="13" t="s">
        <v>34</v>
      </c>
      <c r="J205" s="13" t="s">
        <v>34</v>
      </c>
      <c r="K205" s="13" t="s">
        <v>34</v>
      </c>
      <c r="L205" s="13" t="s">
        <v>34</v>
      </c>
      <c r="M205" s="13" t="s">
        <v>34</v>
      </c>
      <c r="N205" s="13" t="s">
        <v>34</v>
      </c>
      <c r="O205" s="13" t="s">
        <v>34</v>
      </c>
      <c r="P205" s="13" t="s">
        <v>34</v>
      </c>
      <c r="Q205" s="13">
        <v>0</v>
      </c>
      <c r="R205" s="13" t="s">
        <v>34</v>
      </c>
      <c r="S205" s="13" t="s">
        <v>34</v>
      </c>
      <c r="T205" s="13" t="s">
        <v>49</v>
      </c>
      <c r="U205" s="13" t="s">
        <v>50</v>
      </c>
      <c r="V205" s="13" t="s">
        <v>38</v>
      </c>
      <c r="W205" s="13" t="s">
        <v>34</v>
      </c>
      <c r="X205" s="13">
        <v>0.33</v>
      </c>
      <c r="Y205" s="13">
        <v>1</v>
      </c>
      <c r="Z205" s="13" t="s">
        <v>177</v>
      </c>
      <c r="AA205" s="13" t="s">
        <v>34</v>
      </c>
      <c r="AB205" s="13" t="s">
        <v>34</v>
      </c>
      <c r="AC205" s="13" t="s">
        <v>40</v>
      </c>
      <c r="AD205" s="13" t="s">
        <v>32</v>
      </c>
      <c r="AE205" s="13">
        <v>6.9900000000000004E-2</v>
      </c>
      <c r="AF205" s="13" t="s">
        <v>178</v>
      </c>
      <c r="AG205" s="13">
        <v>2018</v>
      </c>
      <c r="AH205" s="13" t="s">
        <v>179</v>
      </c>
      <c r="AI205" s="2">
        <v>25</v>
      </c>
      <c r="AJ205" s="2">
        <v>2</v>
      </c>
      <c r="AK205" s="2" t="s">
        <v>34</v>
      </c>
    </row>
    <row r="206" spans="1:37" x14ac:dyDescent="0.3">
      <c r="A206" s="11">
        <v>13.6880927291886</v>
      </c>
      <c r="B206" s="11">
        <v>10545.4545454545</v>
      </c>
      <c r="C206" s="13" t="s">
        <v>34</v>
      </c>
      <c r="D206" s="13" t="s">
        <v>176</v>
      </c>
      <c r="E206" s="13" t="s">
        <v>170</v>
      </c>
      <c r="F206" s="13">
        <v>1</v>
      </c>
      <c r="G206" s="13" t="s">
        <v>34</v>
      </c>
      <c r="H206" s="13" t="s">
        <v>34</v>
      </c>
      <c r="I206" s="13" t="s">
        <v>34</v>
      </c>
      <c r="J206" s="13" t="s">
        <v>34</v>
      </c>
      <c r="K206" s="13" t="s">
        <v>34</v>
      </c>
      <c r="L206" s="13" t="s">
        <v>34</v>
      </c>
      <c r="M206" s="13" t="s">
        <v>34</v>
      </c>
      <c r="N206" s="13" t="s">
        <v>34</v>
      </c>
      <c r="O206" s="13" t="s">
        <v>34</v>
      </c>
      <c r="P206" s="13" t="s">
        <v>34</v>
      </c>
      <c r="Q206" s="13">
        <v>0</v>
      </c>
      <c r="R206" s="13" t="s">
        <v>34</v>
      </c>
      <c r="S206" s="13" t="s">
        <v>34</v>
      </c>
      <c r="T206" s="13" t="s">
        <v>49</v>
      </c>
      <c r="U206" s="13" t="s">
        <v>50</v>
      </c>
      <c r="V206" s="13" t="s">
        <v>38</v>
      </c>
      <c r="W206" s="13" t="s">
        <v>34</v>
      </c>
      <c r="X206" s="13">
        <v>0.33</v>
      </c>
      <c r="Y206" s="13">
        <v>1</v>
      </c>
      <c r="Z206" s="13" t="s">
        <v>177</v>
      </c>
      <c r="AA206" s="13" t="s">
        <v>34</v>
      </c>
      <c r="AB206" s="13" t="s">
        <v>34</v>
      </c>
      <c r="AC206" s="13" t="s">
        <v>40</v>
      </c>
      <c r="AD206" s="13" t="s">
        <v>32</v>
      </c>
      <c r="AE206" s="13">
        <v>6.9900000000000004E-2</v>
      </c>
      <c r="AF206" s="13" t="s">
        <v>178</v>
      </c>
      <c r="AG206" s="13">
        <v>2018</v>
      </c>
      <c r="AH206" s="13" t="s">
        <v>179</v>
      </c>
      <c r="AI206" s="2">
        <v>25</v>
      </c>
      <c r="AJ206" s="2">
        <v>2</v>
      </c>
      <c r="AK206" s="2" t="s">
        <v>34</v>
      </c>
    </row>
    <row r="207" spans="1:37" x14ac:dyDescent="0.3">
      <c r="A207" s="11">
        <v>10.686373467916299</v>
      </c>
      <c r="B207" s="11">
        <v>8392.2822053603504</v>
      </c>
      <c r="C207" s="13" t="s">
        <v>34</v>
      </c>
      <c r="D207" s="13" t="s">
        <v>185</v>
      </c>
      <c r="E207" s="13" t="s">
        <v>170</v>
      </c>
      <c r="F207" s="13">
        <v>1</v>
      </c>
      <c r="G207" s="13" t="s">
        <v>34</v>
      </c>
      <c r="H207" s="13" t="s">
        <v>34</v>
      </c>
      <c r="I207" s="13" t="s">
        <v>34</v>
      </c>
      <c r="J207" s="13" t="s">
        <v>34</v>
      </c>
      <c r="K207" s="13" t="s">
        <v>34</v>
      </c>
      <c r="L207" s="13" t="s">
        <v>34</v>
      </c>
      <c r="M207" s="13" t="s">
        <v>34</v>
      </c>
      <c r="N207" s="13" t="s">
        <v>34</v>
      </c>
      <c r="O207" s="13" t="s">
        <v>34</v>
      </c>
      <c r="P207" s="13" t="s">
        <v>34</v>
      </c>
      <c r="Q207" s="13">
        <v>0</v>
      </c>
      <c r="R207" s="13" t="s">
        <v>34</v>
      </c>
      <c r="S207" s="13" t="s">
        <v>34</v>
      </c>
      <c r="T207" s="13" t="s">
        <v>49</v>
      </c>
      <c r="U207" s="13" t="s">
        <v>50</v>
      </c>
      <c r="V207" s="13" t="s">
        <v>38</v>
      </c>
      <c r="W207" s="13" t="s">
        <v>34</v>
      </c>
      <c r="X207" s="13">
        <v>0.33</v>
      </c>
      <c r="Y207" s="13">
        <v>1</v>
      </c>
      <c r="Z207" s="13" t="s">
        <v>177</v>
      </c>
      <c r="AA207" s="13" t="s">
        <v>34</v>
      </c>
      <c r="AB207" s="13" t="s">
        <v>34</v>
      </c>
      <c r="AC207" s="13" t="s">
        <v>40</v>
      </c>
      <c r="AD207" s="13" t="s">
        <v>32</v>
      </c>
      <c r="AE207" s="13">
        <v>6.9900000000000004E-2</v>
      </c>
      <c r="AF207" s="13" t="s">
        <v>178</v>
      </c>
      <c r="AG207" s="13">
        <v>2018</v>
      </c>
      <c r="AH207" s="13" t="s">
        <v>179</v>
      </c>
      <c r="AI207" s="2">
        <v>50</v>
      </c>
      <c r="AJ207" s="2">
        <v>2</v>
      </c>
      <c r="AK207" s="2" t="s">
        <v>34</v>
      </c>
    </row>
    <row r="208" spans="1:37" x14ac:dyDescent="0.3">
      <c r="A208" s="11">
        <v>11.370232747305501</v>
      </c>
      <c r="B208" s="11">
        <v>7798.8218173226096</v>
      </c>
      <c r="C208" s="13" t="s">
        <v>34</v>
      </c>
      <c r="D208" s="13" t="s">
        <v>186</v>
      </c>
      <c r="E208" s="13" t="s">
        <v>170</v>
      </c>
      <c r="F208" s="13">
        <v>1</v>
      </c>
      <c r="G208" s="13" t="s">
        <v>34</v>
      </c>
      <c r="H208" s="13" t="s">
        <v>34</v>
      </c>
      <c r="I208" s="13" t="s">
        <v>34</v>
      </c>
      <c r="J208" s="13" t="s">
        <v>34</v>
      </c>
      <c r="K208" s="13" t="s">
        <v>34</v>
      </c>
      <c r="L208" s="13" t="s">
        <v>34</v>
      </c>
      <c r="M208" s="13" t="s">
        <v>34</v>
      </c>
      <c r="N208" s="13" t="s">
        <v>34</v>
      </c>
      <c r="O208" s="13" t="s">
        <v>34</v>
      </c>
      <c r="P208" s="13" t="s">
        <v>34</v>
      </c>
      <c r="Q208" s="13">
        <v>0</v>
      </c>
      <c r="R208" s="13" t="s">
        <v>34</v>
      </c>
      <c r="S208" s="13" t="s">
        <v>34</v>
      </c>
      <c r="T208" s="13" t="s">
        <v>49</v>
      </c>
      <c r="U208" s="13" t="s">
        <v>50</v>
      </c>
      <c r="V208" s="13" t="s">
        <v>38</v>
      </c>
      <c r="W208" s="13" t="s">
        <v>34</v>
      </c>
      <c r="X208" s="13">
        <v>0.33</v>
      </c>
      <c r="Y208" s="13">
        <v>1</v>
      </c>
      <c r="Z208" s="13" t="s">
        <v>177</v>
      </c>
      <c r="AA208" s="13" t="s">
        <v>34</v>
      </c>
      <c r="AB208" s="13" t="s">
        <v>34</v>
      </c>
      <c r="AC208" s="13" t="s">
        <v>40</v>
      </c>
      <c r="AD208" s="13" t="s">
        <v>32</v>
      </c>
      <c r="AE208" s="13">
        <v>6.9900000000000004E-2</v>
      </c>
      <c r="AF208" s="13" t="s">
        <v>178</v>
      </c>
      <c r="AG208" s="13">
        <v>2018</v>
      </c>
      <c r="AH208" s="13" t="s">
        <v>179</v>
      </c>
      <c r="AI208" s="2">
        <v>50</v>
      </c>
      <c r="AJ208" s="2">
        <v>2</v>
      </c>
      <c r="AK208" s="2" t="s">
        <v>34</v>
      </c>
    </row>
    <row r="209" spans="1:37" x14ac:dyDescent="0.3">
      <c r="A209" s="11">
        <v>6.5437302423603798</v>
      </c>
      <c r="B209" s="11">
        <v>9979.7979797979788</v>
      </c>
      <c r="C209" s="13" t="s">
        <v>34</v>
      </c>
      <c r="D209" s="13" t="s">
        <v>187</v>
      </c>
      <c r="E209" s="13" t="s">
        <v>170</v>
      </c>
      <c r="F209" s="13">
        <v>1</v>
      </c>
      <c r="G209" s="13" t="s">
        <v>34</v>
      </c>
      <c r="H209" s="13" t="s">
        <v>34</v>
      </c>
      <c r="I209" s="13" t="s">
        <v>34</v>
      </c>
      <c r="J209" s="13" t="s">
        <v>34</v>
      </c>
      <c r="K209" s="13" t="s">
        <v>34</v>
      </c>
      <c r="L209" s="13" t="s">
        <v>34</v>
      </c>
      <c r="M209" s="13" t="s">
        <v>34</v>
      </c>
      <c r="N209" s="13" t="s">
        <v>34</v>
      </c>
      <c r="O209" s="13" t="s">
        <v>34</v>
      </c>
      <c r="P209" s="13" t="s">
        <v>34</v>
      </c>
      <c r="Q209" s="13">
        <v>0</v>
      </c>
      <c r="R209" s="13" t="s">
        <v>34</v>
      </c>
      <c r="S209" s="13" t="s">
        <v>34</v>
      </c>
      <c r="T209" s="10" t="s">
        <v>180</v>
      </c>
      <c r="U209" s="10" t="s">
        <v>37</v>
      </c>
      <c r="V209" s="13" t="s">
        <v>38</v>
      </c>
      <c r="W209" s="13" t="s">
        <v>34</v>
      </c>
      <c r="X209" s="13">
        <v>0.33</v>
      </c>
      <c r="Y209" s="13">
        <v>1</v>
      </c>
      <c r="Z209" s="10" t="s">
        <v>181</v>
      </c>
      <c r="AA209" s="13" t="s">
        <v>34</v>
      </c>
      <c r="AB209" s="13" t="s">
        <v>34</v>
      </c>
      <c r="AC209" s="10" t="s">
        <v>182</v>
      </c>
      <c r="AD209" s="13" t="s">
        <v>32</v>
      </c>
      <c r="AE209" s="13">
        <v>6.9900000000000004E-2</v>
      </c>
      <c r="AF209" s="13" t="s">
        <v>178</v>
      </c>
      <c r="AG209" s="13">
        <v>2018</v>
      </c>
      <c r="AH209" s="13" t="s">
        <v>179</v>
      </c>
      <c r="AI209" s="2">
        <v>50</v>
      </c>
      <c r="AJ209" s="2">
        <v>2</v>
      </c>
      <c r="AK209" s="2" t="s">
        <v>34</v>
      </c>
    </row>
    <row r="210" spans="1:37" x14ac:dyDescent="0.3">
      <c r="A210" s="11">
        <v>6.2908324552160098</v>
      </c>
      <c r="B210" s="11">
        <v>9595.9595959595899</v>
      </c>
      <c r="C210" s="13" t="s">
        <v>34</v>
      </c>
      <c r="D210" s="13" t="s">
        <v>188</v>
      </c>
      <c r="E210" s="13" t="s">
        <v>170</v>
      </c>
      <c r="F210" s="13">
        <v>1</v>
      </c>
      <c r="G210" s="13" t="s">
        <v>34</v>
      </c>
      <c r="H210" s="13" t="s">
        <v>34</v>
      </c>
      <c r="I210" s="13" t="s">
        <v>34</v>
      </c>
      <c r="J210" s="13" t="s">
        <v>34</v>
      </c>
      <c r="K210" s="13" t="s">
        <v>34</v>
      </c>
      <c r="L210" s="13" t="s">
        <v>34</v>
      </c>
      <c r="M210" s="13" t="s">
        <v>34</v>
      </c>
      <c r="N210" s="13" t="s">
        <v>34</v>
      </c>
      <c r="O210" s="13" t="s">
        <v>34</v>
      </c>
      <c r="P210" s="13" t="s">
        <v>34</v>
      </c>
      <c r="Q210" s="13">
        <v>0</v>
      </c>
      <c r="R210" s="13" t="s">
        <v>34</v>
      </c>
      <c r="S210" s="13" t="s">
        <v>34</v>
      </c>
      <c r="T210" s="10" t="s">
        <v>180</v>
      </c>
      <c r="U210" s="10" t="s">
        <v>37</v>
      </c>
      <c r="V210" s="13" t="s">
        <v>38</v>
      </c>
      <c r="W210" s="13" t="s">
        <v>34</v>
      </c>
      <c r="X210" s="13">
        <v>0.33</v>
      </c>
      <c r="Y210" s="13">
        <v>1</v>
      </c>
      <c r="Z210" s="10" t="s">
        <v>181</v>
      </c>
      <c r="AA210" s="13" t="s">
        <v>34</v>
      </c>
      <c r="AB210" s="13" t="s">
        <v>34</v>
      </c>
      <c r="AC210" s="10" t="s">
        <v>182</v>
      </c>
      <c r="AD210" s="13" t="s">
        <v>32</v>
      </c>
      <c r="AE210" s="13">
        <v>6.9900000000000004E-2</v>
      </c>
      <c r="AF210" s="13" t="s">
        <v>178</v>
      </c>
      <c r="AG210" s="13">
        <v>2018</v>
      </c>
      <c r="AH210" s="13" t="s">
        <v>179</v>
      </c>
      <c r="AI210" s="2">
        <v>50</v>
      </c>
      <c r="AJ210" s="2">
        <v>2</v>
      </c>
      <c r="AK210" s="2" t="s">
        <v>34</v>
      </c>
    </row>
    <row r="211" spans="1:37" x14ac:dyDescent="0.3">
      <c r="A211" s="11">
        <v>6.2908324552160098</v>
      </c>
      <c r="B211" s="11">
        <v>9111.1111111111113</v>
      </c>
      <c r="C211" s="13" t="s">
        <v>34</v>
      </c>
      <c r="D211" s="13" t="s">
        <v>189</v>
      </c>
      <c r="E211" s="13" t="s">
        <v>170</v>
      </c>
      <c r="F211" s="13">
        <v>1</v>
      </c>
      <c r="G211" s="13" t="s">
        <v>34</v>
      </c>
      <c r="H211" s="13" t="s">
        <v>34</v>
      </c>
      <c r="I211" s="13" t="s">
        <v>34</v>
      </c>
      <c r="J211" s="13" t="s">
        <v>34</v>
      </c>
      <c r="K211" s="13" t="s">
        <v>34</v>
      </c>
      <c r="L211" s="13" t="s">
        <v>34</v>
      </c>
      <c r="M211" s="13" t="s">
        <v>34</v>
      </c>
      <c r="N211" s="13" t="s">
        <v>34</v>
      </c>
      <c r="O211" s="13" t="s">
        <v>34</v>
      </c>
      <c r="P211" s="13" t="s">
        <v>34</v>
      </c>
      <c r="Q211" s="13">
        <v>0</v>
      </c>
      <c r="R211" s="13" t="s">
        <v>34</v>
      </c>
      <c r="S211" s="13" t="s">
        <v>34</v>
      </c>
      <c r="T211" s="10" t="s">
        <v>180</v>
      </c>
      <c r="U211" s="10" t="s">
        <v>37</v>
      </c>
      <c r="V211" s="13" t="s">
        <v>38</v>
      </c>
      <c r="W211" s="13" t="s">
        <v>34</v>
      </c>
      <c r="X211" s="13">
        <v>0.33</v>
      </c>
      <c r="Y211" s="13">
        <v>1</v>
      </c>
      <c r="Z211" s="10" t="s">
        <v>181</v>
      </c>
      <c r="AA211" s="13" t="s">
        <v>34</v>
      </c>
      <c r="AB211" s="13" t="s">
        <v>34</v>
      </c>
      <c r="AC211" s="10" t="s">
        <v>182</v>
      </c>
      <c r="AD211" s="13" t="s">
        <v>32</v>
      </c>
      <c r="AE211" s="13">
        <v>6.9900000000000004E-2</v>
      </c>
      <c r="AF211" s="13" t="s">
        <v>178</v>
      </c>
      <c r="AG211" s="13">
        <v>2018</v>
      </c>
      <c r="AH211" s="13" t="s">
        <v>179</v>
      </c>
      <c r="AI211" s="2">
        <v>50</v>
      </c>
      <c r="AJ211" s="2">
        <v>2</v>
      </c>
      <c r="AK211" s="2" t="s">
        <v>34</v>
      </c>
    </row>
    <row r="212" spans="1:37" x14ac:dyDescent="0.3">
      <c r="A212" s="11">
        <v>10.6533192834562</v>
      </c>
      <c r="B212" s="11">
        <v>10121.2121212121</v>
      </c>
      <c r="C212" s="13" t="s">
        <v>34</v>
      </c>
      <c r="D212" s="13" t="s">
        <v>190</v>
      </c>
      <c r="E212" s="13" t="s">
        <v>170</v>
      </c>
      <c r="F212" s="13">
        <v>1</v>
      </c>
      <c r="G212" s="13" t="s">
        <v>34</v>
      </c>
      <c r="H212" s="13" t="s">
        <v>34</v>
      </c>
      <c r="I212" s="13" t="s">
        <v>34</v>
      </c>
      <c r="J212" s="13" t="s">
        <v>34</v>
      </c>
      <c r="K212" s="13" t="s">
        <v>34</v>
      </c>
      <c r="L212" s="13" t="s">
        <v>34</v>
      </c>
      <c r="M212" s="13" t="s">
        <v>34</v>
      </c>
      <c r="N212" s="13" t="s">
        <v>34</v>
      </c>
      <c r="O212" s="13" t="s">
        <v>34</v>
      </c>
      <c r="P212" s="13" t="s">
        <v>34</v>
      </c>
      <c r="Q212" s="13">
        <v>0</v>
      </c>
      <c r="R212" s="13" t="s">
        <v>34</v>
      </c>
      <c r="S212" s="13" t="s">
        <v>34</v>
      </c>
      <c r="T212" s="10" t="s">
        <v>36</v>
      </c>
      <c r="U212" s="10" t="s">
        <v>37</v>
      </c>
      <c r="V212" s="13" t="s">
        <v>38</v>
      </c>
      <c r="W212" s="10" t="s">
        <v>34</v>
      </c>
      <c r="X212" s="13">
        <v>0.33</v>
      </c>
      <c r="Y212" s="13">
        <v>1</v>
      </c>
      <c r="Z212" s="13" t="s">
        <v>39</v>
      </c>
      <c r="AA212" s="13" t="s">
        <v>34</v>
      </c>
      <c r="AB212" s="13" t="s">
        <v>34</v>
      </c>
      <c r="AC212" s="13" t="s">
        <v>40</v>
      </c>
      <c r="AD212" s="13" t="s">
        <v>32</v>
      </c>
      <c r="AE212" s="13">
        <v>6.9900000000000004E-2</v>
      </c>
      <c r="AF212" s="13" t="s">
        <v>178</v>
      </c>
      <c r="AG212" s="13">
        <v>2018</v>
      </c>
      <c r="AH212" s="13" t="s">
        <v>179</v>
      </c>
      <c r="AI212" s="2">
        <v>50</v>
      </c>
      <c r="AJ212" s="2">
        <v>2</v>
      </c>
      <c r="AK212" s="2" t="s">
        <v>34</v>
      </c>
    </row>
    <row r="213" spans="1:37" x14ac:dyDescent="0.3">
      <c r="A213" s="11">
        <v>11.4436248682824</v>
      </c>
      <c r="B213" s="11">
        <v>10424.2424242424</v>
      </c>
      <c r="C213" s="13" t="s">
        <v>34</v>
      </c>
      <c r="D213" s="13" t="s">
        <v>191</v>
      </c>
      <c r="E213" s="13" t="s">
        <v>170</v>
      </c>
      <c r="F213" s="13">
        <v>1</v>
      </c>
      <c r="G213" s="13" t="s">
        <v>34</v>
      </c>
      <c r="H213" s="13" t="s">
        <v>34</v>
      </c>
      <c r="I213" s="13" t="s">
        <v>34</v>
      </c>
      <c r="J213" s="13" t="s">
        <v>34</v>
      </c>
      <c r="K213" s="13" t="s">
        <v>34</v>
      </c>
      <c r="L213" s="13" t="s">
        <v>34</v>
      </c>
      <c r="M213" s="13" t="s">
        <v>34</v>
      </c>
      <c r="N213" s="13" t="s">
        <v>34</v>
      </c>
      <c r="O213" s="13" t="s">
        <v>34</v>
      </c>
      <c r="P213" s="13" t="s">
        <v>34</v>
      </c>
      <c r="Q213" s="13">
        <v>0</v>
      </c>
      <c r="R213" s="13" t="s">
        <v>34</v>
      </c>
      <c r="S213" s="13" t="s">
        <v>34</v>
      </c>
      <c r="T213" s="10" t="s">
        <v>36</v>
      </c>
      <c r="U213" s="10" t="s">
        <v>37</v>
      </c>
      <c r="V213" s="13" t="s">
        <v>38</v>
      </c>
      <c r="W213" s="10" t="s">
        <v>34</v>
      </c>
      <c r="X213" s="13">
        <v>0.33</v>
      </c>
      <c r="Y213" s="13">
        <v>1</v>
      </c>
      <c r="Z213" s="13" t="s">
        <v>39</v>
      </c>
      <c r="AA213" s="13" t="s">
        <v>34</v>
      </c>
      <c r="AB213" s="13" t="s">
        <v>34</v>
      </c>
      <c r="AC213" s="13" t="s">
        <v>40</v>
      </c>
      <c r="AD213" s="13" t="s">
        <v>32</v>
      </c>
      <c r="AE213" s="13">
        <v>6.9900000000000004E-2</v>
      </c>
      <c r="AF213" s="13" t="s">
        <v>178</v>
      </c>
      <c r="AG213" s="13">
        <v>2018</v>
      </c>
      <c r="AH213" s="13" t="s">
        <v>179</v>
      </c>
      <c r="AI213" s="2">
        <v>50</v>
      </c>
      <c r="AJ213" s="2">
        <v>2</v>
      </c>
      <c r="AK213" s="2" t="s">
        <v>34</v>
      </c>
    </row>
    <row r="214" spans="1:37" x14ac:dyDescent="0.3">
      <c r="A214" s="11">
        <v>14.3835616438356</v>
      </c>
      <c r="B214" s="11">
        <v>10484.848484848399</v>
      </c>
      <c r="C214" s="13" t="s">
        <v>34</v>
      </c>
      <c r="D214" s="13" t="s">
        <v>192</v>
      </c>
      <c r="E214" s="13" t="s">
        <v>170</v>
      </c>
      <c r="F214" s="13">
        <v>1</v>
      </c>
      <c r="G214" s="13" t="s">
        <v>34</v>
      </c>
      <c r="H214" s="13" t="s">
        <v>34</v>
      </c>
      <c r="I214" s="13" t="s">
        <v>34</v>
      </c>
      <c r="J214" s="13" t="s">
        <v>34</v>
      </c>
      <c r="K214" s="13" t="s">
        <v>34</v>
      </c>
      <c r="L214" s="13" t="s">
        <v>34</v>
      </c>
      <c r="M214" s="13" t="s">
        <v>34</v>
      </c>
      <c r="N214" s="13" t="s">
        <v>34</v>
      </c>
      <c r="O214" s="13" t="s">
        <v>34</v>
      </c>
      <c r="P214" s="13" t="s">
        <v>34</v>
      </c>
      <c r="Q214" s="13">
        <v>0</v>
      </c>
      <c r="R214" s="13" t="s">
        <v>34</v>
      </c>
      <c r="S214" s="13" t="s">
        <v>34</v>
      </c>
      <c r="T214" s="10" t="s">
        <v>36</v>
      </c>
      <c r="U214" s="10" t="s">
        <v>37</v>
      </c>
      <c r="V214" s="13" t="s">
        <v>38</v>
      </c>
      <c r="W214" s="10" t="s">
        <v>34</v>
      </c>
      <c r="X214" s="13">
        <v>0.33</v>
      </c>
      <c r="Y214" s="13">
        <v>1</v>
      </c>
      <c r="Z214" s="13" t="s">
        <v>39</v>
      </c>
      <c r="AA214" s="13" t="s">
        <v>34</v>
      </c>
      <c r="AB214" s="13" t="s">
        <v>34</v>
      </c>
      <c r="AC214" s="13" t="s">
        <v>40</v>
      </c>
      <c r="AD214" s="13" t="s">
        <v>32</v>
      </c>
      <c r="AE214" s="13">
        <v>6.9900000000000004E-2</v>
      </c>
      <c r="AF214" s="13" t="s">
        <v>178</v>
      </c>
      <c r="AG214" s="13">
        <v>2018</v>
      </c>
      <c r="AH214" s="13" t="s">
        <v>179</v>
      </c>
      <c r="AI214" s="2">
        <v>50</v>
      </c>
      <c r="AJ214" s="2">
        <v>2</v>
      </c>
      <c r="AK214" s="2" t="s">
        <v>34</v>
      </c>
    </row>
    <row r="215" spans="1:37" x14ac:dyDescent="0.3">
      <c r="A215" s="11">
        <v>5.9430979978925196</v>
      </c>
      <c r="B215" s="11">
        <v>10161.616161616101</v>
      </c>
      <c r="C215" s="13" t="s">
        <v>34</v>
      </c>
      <c r="D215" s="13" t="s">
        <v>193</v>
      </c>
      <c r="E215" s="13" t="s">
        <v>170</v>
      </c>
      <c r="F215" s="13">
        <v>1</v>
      </c>
      <c r="G215" s="13" t="s">
        <v>34</v>
      </c>
      <c r="H215" s="13" t="s">
        <v>34</v>
      </c>
      <c r="I215" s="13" t="s">
        <v>34</v>
      </c>
      <c r="J215" s="13" t="s">
        <v>34</v>
      </c>
      <c r="K215" s="13" t="s">
        <v>34</v>
      </c>
      <c r="L215" s="13" t="s">
        <v>34</v>
      </c>
      <c r="M215" s="13" t="s">
        <v>34</v>
      </c>
      <c r="N215" s="13" t="s">
        <v>34</v>
      </c>
      <c r="O215" s="13" t="s">
        <v>34</v>
      </c>
      <c r="P215" s="13" t="s">
        <v>34</v>
      </c>
      <c r="Q215" s="13">
        <v>0</v>
      </c>
      <c r="R215" s="13" t="s">
        <v>34</v>
      </c>
      <c r="S215" s="13" t="s">
        <v>34</v>
      </c>
      <c r="T215" s="10" t="s">
        <v>36</v>
      </c>
      <c r="U215" s="10" t="s">
        <v>37</v>
      </c>
      <c r="V215" s="13" t="s">
        <v>38</v>
      </c>
      <c r="W215" s="10" t="s">
        <v>34</v>
      </c>
      <c r="X215" s="13">
        <v>0.33</v>
      </c>
      <c r="Y215" s="13">
        <v>1</v>
      </c>
      <c r="Z215" s="13" t="s">
        <v>39</v>
      </c>
      <c r="AA215" s="13" t="s">
        <v>34</v>
      </c>
      <c r="AB215" s="13" t="s">
        <v>34</v>
      </c>
      <c r="AC215" s="13" t="s">
        <v>40</v>
      </c>
      <c r="AD215" s="13" t="s">
        <v>32</v>
      </c>
      <c r="AE215" s="13">
        <v>6.9900000000000004E-2</v>
      </c>
      <c r="AF215" s="13" t="s">
        <v>178</v>
      </c>
      <c r="AG215" s="13">
        <v>2018</v>
      </c>
      <c r="AH215" s="13" t="s">
        <v>179</v>
      </c>
      <c r="AI215" s="2">
        <v>50</v>
      </c>
      <c r="AJ215" s="2">
        <v>2</v>
      </c>
      <c r="AK215" s="2" t="s">
        <v>34</v>
      </c>
    </row>
    <row r="216" spans="1:37" x14ac:dyDescent="0.3">
      <c r="A216" s="11">
        <v>6.13277133825079</v>
      </c>
      <c r="B216" s="11">
        <v>9333.3333333333303</v>
      </c>
      <c r="C216" s="13" t="s">
        <v>34</v>
      </c>
      <c r="D216" s="13" t="s">
        <v>194</v>
      </c>
      <c r="E216" s="13" t="s">
        <v>170</v>
      </c>
      <c r="F216" s="13">
        <v>1</v>
      </c>
      <c r="G216" s="13" t="s">
        <v>34</v>
      </c>
      <c r="H216" s="13" t="s">
        <v>34</v>
      </c>
      <c r="I216" s="13" t="s">
        <v>34</v>
      </c>
      <c r="J216" s="13" t="s">
        <v>34</v>
      </c>
      <c r="K216" s="13" t="s">
        <v>34</v>
      </c>
      <c r="L216" s="13" t="s">
        <v>34</v>
      </c>
      <c r="M216" s="13" t="s">
        <v>34</v>
      </c>
      <c r="N216" s="13" t="s">
        <v>34</v>
      </c>
      <c r="O216" s="13" t="s">
        <v>34</v>
      </c>
      <c r="P216" s="13" t="s">
        <v>34</v>
      </c>
      <c r="Q216" s="13">
        <v>0</v>
      </c>
      <c r="R216" s="13" t="s">
        <v>34</v>
      </c>
      <c r="S216" s="13" t="s">
        <v>34</v>
      </c>
      <c r="T216" s="10" t="s">
        <v>36</v>
      </c>
      <c r="U216" s="10" t="s">
        <v>37</v>
      </c>
      <c r="V216" s="13" t="s">
        <v>38</v>
      </c>
      <c r="W216" s="10" t="s">
        <v>34</v>
      </c>
      <c r="X216" s="13">
        <v>0.33</v>
      </c>
      <c r="Y216" s="13">
        <v>1</v>
      </c>
      <c r="Z216" s="13" t="s">
        <v>39</v>
      </c>
      <c r="AA216" s="13" t="s">
        <v>34</v>
      </c>
      <c r="AB216" s="13" t="s">
        <v>34</v>
      </c>
      <c r="AC216" s="13" t="s">
        <v>40</v>
      </c>
      <c r="AD216" s="13" t="s">
        <v>32</v>
      </c>
      <c r="AE216" s="13">
        <v>6.9900000000000004E-2</v>
      </c>
      <c r="AF216" s="13" t="s">
        <v>178</v>
      </c>
      <c r="AG216" s="13">
        <v>2018</v>
      </c>
      <c r="AH216" s="13" t="s">
        <v>179</v>
      </c>
      <c r="AI216" s="2">
        <v>50</v>
      </c>
      <c r="AJ216" s="2">
        <v>2</v>
      </c>
      <c r="AK216" s="2" t="s">
        <v>34</v>
      </c>
    </row>
    <row r="217" spans="1:37" x14ac:dyDescent="0.3">
      <c r="A217" s="11">
        <v>7.3340358271865096</v>
      </c>
      <c r="B217" s="11">
        <v>8424.2424242424204</v>
      </c>
      <c r="C217" s="13" t="s">
        <v>34</v>
      </c>
      <c r="D217" s="13" t="s">
        <v>195</v>
      </c>
      <c r="E217" s="13" t="s">
        <v>170</v>
      </c>
      <c r="F217" s="13">
        <v>1</v>
      </c>
      <c r="G217" s="13" t="s">
        <v>34</v>
      </c>
      <c r="H217" s="13" t="s">
        <v>34</v>
      </c>
      <c r="I217" s="13" t="s">
        <v>34</v>
      </c>
      <c r="J217" s="13" t="s">
        <v>34</v>
      </c>
      <c r="K217" s="13" t="s">
        <v>34</v>
      </c>
      <c r="L217" s="13" t="s">
        <v>34</v>
      </c>
      <c r="M217" s="13" t="s">
        <v>34</v>
      </c>
      <c r="N217" s="13" t="s">
        <v>34</v>
      </c>
      <c r="O217" s="13" t="s">
        <v>34</v>
      </c>
      <c r="P217" s="13" t="s">
        <v>34</v>
      </c>
      <c r="Q217" s="13">
        <v>0</v>
      </c>
      <c r="R217" s="13" t="s">
        <v>34</v>
      </c>
      <c r="S217" s="13" t="s">
        <v>34</v>
      </c>
      <c r="T217" s="10" t="s">
        <v>36</v>
      </c>
      <c r="U217" s="10" t="s">
        <v>37</v>
      </c>
      <c r="V217" s="13" t="s">
        <v>38</v>
      </c>
      <c r="W217" s="10" t="s">
        <v>34</v>
      </c>
      <c r="X217" s="13">
        <v>0.33</v>
      </c>
      <c r="Y217" s="13">
        <v>1</v>
      </c>
      <c r="Z217" s="13" t="s">
        <v>39</v>
      </c>
      <c r="AA217" s="13" t="s">
        <v>34</v>
      </c>
      <c r="AB217" s="13" t="s">
        <v>34</v>
      </c>
      <c r="AC217" s="13" t="s">
        <v>40</v>
      </c>
      <c r="AD217" s="13" t="s">
        <v>32</v>
      </c>
      <c r="AE217" s="13">
        <v>6.9900000000000004E-2</v>
      </c>
      <c r="AF217" s="13" t="s">
        <v>178</v>
      </c>
      <c r="AG217" s="13">
        <v>2018</v>
      </c>
      <c r="AH217" s="13" t="s">
        <v>179</v>
      </c>
      <c r="AI217" s="2">
        <v>50</v>
      </c>
      <c r="AJ217" s="2">
        <v>2</v>
      </c>
      <c r="AK217" s="2" t="s">
        <v>34</v>
      </c>
    </row>
    <row r="218" spans="1:37" x14ac:dyDescent="0.3">
      <c r="A218" s="11">
        <v>6.8598524762908299</v>
      </c>
      <c r="B218" s="11">
        <v>9959.5959595959594</v>
      </c>
      <c r="C218" s="13" t="s">
        <v>34</v>
      </c>
      <c r="D218" s="13" t="s">
        <v>196</v>
      </c>
      <c r="E218" s="13" t="s">
        <v>170</v>
      </c>
      <c r="F218" s="13">
        <v>1</v>
      </c>
      <c r="G218" s="13" t="s">
        <v>34</v>
      </c>
      <c r="H218" s="13" t="s">
        <v>34</v>
      </c>
      <c r="I218" s="13" t="s">
        <v>34</v>
      </c>
      <c r="J218" s="13" t="s">
        <v>34</v>
      </c>
      <c r="K218" s="13" t="s">
        <v>34</v>
      </c>
      <c r="L218" s="13" t="s">
        <v>34</v>
      </c>
      <c r="M218" s="13" t="s">
        <v>34</v>
      </c>
      <c r="N218" s="13" t="s">
        <v>34</v>
      </c>
      <c r="O218" s="13" t="s">
        <v>34</v>
      </c>
      <c r="P218" s="13" t="s">
        <v>34</v>
      </c>
      <c r="Q218" s="13">
        <v>0</v>
      </c>
      <c r="R218" s="13" t="s">
        <v>34</v>
      </c>
      <c r="S218" s="13" t="s">
        <v>34</v>
      </c>
      <c r="T218" s="10" t="s">
        <v>183</v>
      </c>
      <c r="U218" s="10" t="s">
        <v>50</v>
      </c>
      <c r="V218" s="10" t="s">
        <v>38</v>
      </c>
      <c r="W218" s="10" t="s">
        <v>34</v>
      </c>
      <c r="X218" s="13">
        <v>0.33</v>
      </c>
      <c r="Y218" s="13">
        <v>1</v>
      </c>
      <c r="Z218" s="10" t="s">
        <v>177</v>
      </c>
      <c r="AA218" s="10" t="s">
        <v>34</v>
      </c>
      <c r="AB218" s="13" t="s">
        <v>34</v>
      </c>
      <c r="AC218" s="10" t="s">
        <v>184</v>
      </c>
      <c r="AD218" s="13" t="s">
        <v>32</v>
      </c>
      <c r="AE218" s="13">
        <v>6.9900000000000004E-2</v>
      </c>
      <c r="AF218" s="13" t="s">
        <v>178</v>
      </c>
      <c r="AG218" s="13">
        <v>2018</v>
      </c>
      <c r="AH218" s="13" t="s">
        <v>179</v>
      </c>
      <c r="AI218" s="2">
        <v>50</v>
      </c>
      <c r="AJ218" s="2">
        <v>2</v>
      </c>
      <c r="AK218" s="2" t="s">
        <v>34</v>
      </c>
    </row>
    <row r="219" spans="1:37" x14ac:dyDescent="0.3">
      <c r="A219" s="11">
        <v>6.3540569020020996</v>
      </c>
      <c r="B219" s="11">
        <v>8949.4949494949506</v>
      </c>
      <c r="C219" s="13" t="s">
        <v>34</v>
      </c>
      <c r="D219" s="13" t="s">
        <v>197</v>
      </c>
      <c r="E219" s="13" t="s">
        <v>170</v>
      </c>
      <c r="F219" s="13">
        <v>1</v>
      </c>
      <c r="G219" s="13" t="s">
        <v>34</v>
      </c>
      <c r="H219" s="13" t="s">
        <v>34</v>
      </c>
      <c r="I219" s="13" t="s">
        <v>34</v>
      </c>
      <c r="J219" s="13" t="s">
        <v>34</v>
      </c>
      <c r="K219" s="13" t="s">
        <v>34</v>
      </c>
      <c r="L219" s="13" t="s">
        <v>34</v>
      </c>
      <c r="M219" s="13" t="s">
        <v>34</v>
      </c>
      <c r="N219" s="13" t="s">
        <v>34</v>
      </c>
      <c r="O219" s="13" t="s">
        <v>34</v>
      </c>
      <c r="P219" s="13" t="s">
        <v>34</v>
      </c>
      <c r="Q219" s="13">
        <v>0</v>
      </c>
      <c r="R219" s="13" t="s">
        <v>34</v>
      </c>
      <c r="S219" s="13" t="s">
        <v>34</v>
      </c>
      <c r="T219" s="10" t="s">
        <v>183</v>
      </c>
      <c r="U219" s="10" t="s">
        <v>50</v>
      </c>
      <c r="V219" s="10" t="s">
        <v>38</v>
      </c>
      <c r="W219" s="10" t="s">
        <v>34</v>
      </c>
      <c r="X219" s="13">
        <v>0.33</v>
      </c>
      <c r="Y219" s="13">
        <v>1</v>
      </c>
      <c r="Z219" s="10" t="s">
        <v>177</v>
      </c>
      <c r="AA219" s="10" t="s">
        <v>34</v>
      </c>
      <c r="AB219" s="13" t="s">
        <v>34</v>
      </c>
      <c r="AC219" s="10" t="s">
        <v>184</v>
      </c>
      <c r="AD219" s="13" t="s">
        <v>32</v>
      </c>
      <c r="AE219" s="13">
        <v>6.9900000000000004E-2</v>
      </c>
      <c r="AF219" s="13" t="s">
        <v>178</v>
      </c>
      <c r="AG219" s="13">
        <v>2018</v>
      </c>
      <c r="AH219" s="13" t="s">
        <v>179</v>
      </c>
      <c r="AI219" s="2">
        <v>50</v>
      </c>
      <c r="AJ219" s="2">
        <v>2</v>
      </c>
      <c r="AK219" s="2" t="s">
        <v>34</v>
      </c>
    </row>
    <row r="220" spans="1:37" s="15" customFormat="1" ht="16.2" thickBot="1" x14ac:dyDescent="0.35">
      <c r="A220" s="17">
        <v>6.4488935721812402</v>
      </c>
      <c r="B220" s="17">
        <v>8787.8787878787807</v>
      </c>
      <c r="C220" s="18" t="s">
        <v>34</v>
      </c>
      <c r="D220" s="18" t="s">
        <v>198</v>
      </c>
      <c r="E220" s="18" t="s">
        <v>170</v>
      </c>
      <c r="F220" s="18">
        <v>1</v>
      </c>
      <c r="G220" s="18" t="s">
        <v>34</v>
      </c>
      <c r="H220" s="18" t="s">
        <v>34</v>
      </c>
      <c r="I220" s="18" t="s">
        <v>34</v>
      </c>
      <c r="J220" s="18" t="s">
        <v>34</v>
      </c>
      <c r="K220" s="18" t="s">
        <v>34</v>
      </c>
      <c r="L220" s="18" t="s">
        <v>34</v>
      </c>
      <c r="M220" s="18" t="s">
        <v>34</v>
      </c>
      <c r="N220" s="18" t="s">
        <v>34</v>
      </c>
      <c r="O220" s="18" t="s">
        <v>34</v>
      </c>
      <c r="P220" s="18" t="s">
        <v>34</v>
      </c>
      <c r="Q220" s="18">
        <v>0</v>
      </c>
      <c r="R220" s="18" t="s">
        <v>34</v>
      </c>
      <c r="S220" s="18" t="s">
        <v>34</v>
      </c>
      <c r="T220" s="14" t="s">
        <v>183</v>
      </c>
      <c r="U220" s="14" t="s">
        <v>50</v>
      </c>
      <c r="V220" s="14" t="s">
        <v>38</v>
      </c>
      <c r="W220" s="14" t="s">
        <v>34</v>
      </c>
      <c r="X220" s="18">
        <v>0.33</v>
      </c>
      <c r="Y220" s="18">
        <v>1</v>
      </c>
      <c r="Z220" s="14" t="s">
        <v>177</v>
      </c>
      <c r="AA220" s="14" t="s">
        <v>34</v>
      </c>
      <c r="AB220" s="18" t="s">
        <v>34</v>
      </c>
      <c r="AC220" s="14" t="s">
        <v>184</v>
      </c>
      <c r="AD220" s="18" t="s">
        <v>32</v>
      </c>
      <c r="AE220" s="18">
        <v>6.9900000000000004E-2</v>
      </c>
      <c r="AF220" s="18" t="s">
        <v>178</v>
      </c>
      <c r="AG220" s="18">
        <v>2018</v>
      </c>
      <c r="AH220" s="18" t="s">
        <v>179</v>
      </c>
      <c r="AI220" s="62">
        <v>50</v>
      </c>
      <c r="AJ220" s="34">
        <v>2</v>
      </c>
      <c r="AK220" s="34" t="s">
        <v>34</v>
      </c>
    </row>
    <row r="221" spans="1:37" x14ac:dyDescent="0.3">
      <c r="A221" s="12">
        <v>2.9870283018867898</v>
      </c>
      <c r="B221" s="12">
        <v>203.54906054279701</v>
      </c>
      <c r="C221" s="13" t="s">
        <v>33</v>
      </c>
      <c r="D221" s="13" t="s">
        <v>35</v>
      </c>
      <c r="E221" s="13" t="s">
        <v>170</v>
      </c>
      <c r="F221" s="13">
        <v>0.61</v>
      </c>
      <c r="G221" s="13">
        <v>0.72</v>
      </c>
      <c r="H221" s="13">
        <v>0.67</v>
      </c>
      <c r="I221" s="13">
        <v>0.73</v>
      </c>
      <c r="J221" s="13">
        <v>1.21</v>
      </c>
      <c r="K221" s="13">
        <v>1.02</v>
      </c>
      <c r="L221" s="13">
        <v>0</v>
      </c>
      <c r="M221" s="13">
        <v>64.599999999999994</v>
      </c>
      <c r="N221" s="13" t="s">
        <v>34</v>
      </c>
      <c r="O221" s="13">
        <v>0.74</v>
      </c>
      <c r="P221" s="13">
        <v>0.51</v>
      </c>
      <c r="Q221" s="13" t="s">
        <v>34</v>
      </c>
      <c r="R221" s="13">
        <v>2.65</v>
      </c>
      <c r="S221" s="13">
        <f>1.01*10^-3</f>
        <v>1.01E-3</v>
      </c>
      <c r="T221" s="13" t="s">
        <v>36</v>
      </c>
      <c r="U221" s="13" t="s">
        <v>37</v>
      </c>
      <c r="V221" s="13" t="s">
        <v>162</v>
      </c>
      <c r="W221" s="13">
        <v>4</v>
      </c>
      <c r="X221" s="13">
        <v>0.3</v>
      </c>
      <c r="Y221" s="13">
        <v>1</v>
      </c>
      <c r="Z221" s="13" t="s">
        <v>200</v>
      </c>
      <c r="AA221" s="13">
        <v>0.3</v>
      </c>
      <c r="AB221" s="13" t="s">
        <v>34</v>
      </c>
      <c r="AC221" s="13" t="s">
        <v>40</v>
      </c>
      <c r="AD221" s="13" t="s">
        <v>32</v>
      </c>
      <c r="AE221" s="13">
        <v>0.76649999999999996</v>
      </c>
      <c r="AF221" s="13" t="s">
        <v>201</v>
      </c>
      <c r="AG221" s="13">
        <v>2020</v>
      </c>
      <c r="AH221" s="13" t="s">
        <v>202</v>
      </c>
      <c r="AI221" s="2">
        <v>50</v>
      </c>
      <c r="AJ221" s="2">
        <v>2</v>
      </c>
      <c r="AK221" s="2" t="s">
        <v>34</v>
      </c>
    </row>
    <row r="222" spans="1:37" x14ac:dyDescent="0.3">
      <c r="A222" s="11">
        <v>3.4380896226414999</v>
      </c>
      <c r="B222" s="11">
        <v>234.86430062630399</v>
      </c>
      <c r="C222" s="13" t="s">
        <v>33</v>
      </c>
      <c r="D222" s="13" t="s">
        <v>35</v>
      </c>
      <c r="E222" s="13" t="s">
        <v>170</v>
      </c>
      <c r="F222" s="10">
        <v>0.61</v>
      </c>
      <c r="G222" s="10">
        <v>0.72</v>
      </c>
      <c r="H222" s="13">
        <v>0.67</v>
      </c>
      <c r="I222" s="13">
        <v>0.73</v>
      </c>
      <c r="J222" s="13">
        <v>1.21</v>
      </c>
      <c r="K222" s="13">
        <v>1.02</v>
      </c>
      <c r="L222" s="13">
        <v>0</v>
      </c>
      <c r="M222" s="13">
        <v>64.599999999999994</v>
      </c>
      <c r="N222" s="13" t="s">
        <v>34</v>
      </c>
      <c r="O222" s="13">
        <v>0.74</v>
      </c>
      <c r="P222" s="13">
        <v>0.51</v>
      </c>
      <c r="Q222" s="13" t="s">
        <v>34</v>
      </c>
      <c r="R222" s="13">
        <v>2.65</v>
      </c>
      <c r="S222" s="13">
        <f t="shared" ref="S222:S244" si="3">1.01*10^-3</f>
        <v>1.01E-3</v>
      </c>
      <c r="T222" s="10" t="s">
        <v>36</v>
      </c>
      <c r="U222" s="13" t="s">
        <v>37</v>
      </c>
      <c r="V222" s="13" t="s">
        <v>162</v>
      </c>
      <c r="W222" s="10">
        <v>4</v>
      </c>
      <c r="X222" s="13">
        <v>0.3</v>
      </c>
      <c r="Y222" s="13">
        <v>1</v>
      </c>
      <c r="Z222" s="13" t="s">
        <v>200</v>
      </c>
      <c r="AA222" s="13">
        <v>0.3</v>
      </c>
      <c r="AB222" s="13" t="s">
        <v>34</v>
      </c>
      <c r="AC222" s="13" t="s">
        <v>40</v>
      </c>
      <c r="AD222" s="13" t="s">
        <v>32</v>
      </c>
      <c r="AE222" s="13">
        <v>0.76649999999999996</v>
      </c>
      <c r="AF222" s="13" t="s">
        <v>201</v>
      </c>
      <c r="AG222" s="13">
        <v>2020</v>
      </c>
      <c r="AH222" s="13" t="s">
        <v>202</v>
      </c>
      <c r="AI222" s="2">
        <v>50</v>
      </c>
      <c r="AJ222" s="2">
        <v>2</v>
      </c>
      <c r="AK222" s="2" t="s">
        <v>34</v>
      </c>
    </row>
    <row r="223" spans="1:37" x14ac:dyDescent="0.3">
      <c r="A223" s="11">
        <v>4.0896226415094299</v>
      </c>
      <c r="B223" s="11">
        <v>224.425887265135</v>
      </c>
      <c r="C223" s="13" t="s">
        <v>33</v>
      </c>
      <c r="D223" s="13" t="s">
        <v>35</v>
      </c>
      <c r="E223" s="13" t="s">
        <v>170</v>
      </c>
      <c r="F223" s="10">
        <v>0.61</v>
      </c>
      <c r="G223" s="10">
        <v>0.72</v>
      </c>
      <c r="H223" s="13">
        <v>0.67</v>
      </c>
      <c r="I223" s="13">
        <v>0.73</v>
      </c>
      <c r="J223" s="13">
        <v>1.21</v>
      </c>
      <c r="K223" s="13">
        <v>1.02</v>
      </c>
      <c r="L223" s="13">
        <v>0</v>
      </c>
      <c r="M223" s="13">
        <v>64.599999999999994</v>
      </c>
      <c r="N223" s="13" t="s">
        <v>34</v>
      </c>
      <c r="O223" s="13">
        <v>0.74</v>
      </c>
      <c r="P223" s="13">
        <v>0.51</v>
      </c>
      <c r="Q223" s="13" t="s">
        <v>34</v>
      </c>
      <c r="R223" s="13">
        <v>2.65</v>
      </c>
      <c r="S223" s="13">
        <f t="shared" si="3"/>
        <v>1.01E-3</v>
      </c>
      <c r="T223" s="10" t="s">
        <v>36</v>
      </c>
      <c r="U223" s="13" t="s">
        <v>37</v>
      </c>
      <c r="V223" s="13" t="s">
        <v>162</v>
      </c>
      <c r="W223" s="10">
        <v>4</v>
      </c>
      <c r="X223" s="13">
        <v>0.3</v>
      </c>
      <c r="Y223" s="13">
        <v>1</v>
      </c>
      <c r="Z223" s="13" t="s">
        <v>200</v>
      </c>
      <c r="AA223" s="13">
        <v>0.3</v>
      </c>
      <c r="AB223" s="13" t="s">
        <v>34</v>
      </c>
      <c r="AC223" s="13" t="s">
        <v>40</v>
      </c>
      <c r="AD223" s="13" t="s">
        <v>32</v>
      </c>
      <c r="AE223" s="13">
        <v>0.76649999999999996</v>
      </c>
      <c r="AF223" s="13" t="s">
        <v>201</v>
      </c>
      <c r="AG223" s="13">
        <v>2020</v>
      </c>
      <c r="AH223" s="13" t="s">
        <v>202</v>
      </c>
      <c r="AI223" s="2">
        <v>50</v>
      </c>
      <c r="AJ223" s="2">
        <v>2</v>
      </c>
      <c r="AK223" s="2" t="s">
        <v>34</v>
      </c>
    </row>
    <row r="224" spans="1:37" x14ac:dyDescent="0.3">
      <c r="A224" s="11">
        <v>5.0719339622641497</v>
      </c>
      <c r="B224" s="11">
        <v>754.17536534446799</v>
      </c>
      <c r="C224" s="13" t="s">
        <v>33</v>
      </c>
      <c r="D224" s="13" t="s">
        <v>35</v>
      </c>
      <c r="E224" s="13" t="s">
        <v>170</v>
      </c>
      <c r="F224" s="10">
        <v>0.61</v>
      </c>
      <c r="G224" s="10">
        <v>0.72</v>
      </c>
      <c r="H224" s="13">
        <v>0.67</v>
      </c>
      <c r="I224" s="13">
        <v>0.73</v>
      </c>
      <c r="J224" s="13">
        <v>1.21</v>
      </c>
      <c r="K224" s="13">
        <v>1.02</v>
      </c>
      <c r="L224" s="13">
        <v>0</v>
      </c>
      <c r="M224" s="13">
        <v>64.599999999999994</v>
      </c>
      <c r="N224" s="13" t="s">
        <v>34</v>
      </c>
      <c r="O224" s="13">
        <v>0.74</v>
      </c>
      <c r="P224" s="13">
        <v>0.51</v>
      </c>
      <c r="Q224" s="13" t="s">
        <v>34</v>
      </c>
      <c r="R224" s="13">
        <v>2.65</v>
      </c>
      <c r="S224" s="13">
        <f t="shared" si="3"/>
        <v>1.01E-3</v>
      </c>
      <c r="T224" s="10" t="s">
        <v>36</v>
      </c>
      <c r="U224" s="13" t="s">
        <v>37</v>
      </c>
      <c r="V224" s="13" t="s">
        <v>162</v>
      </c>
      <c r="W224" s="10">
        <v>8</v>
      </c>
      <c r="X224" s="13">
        <v>0.3</v>
      </c>
      <c r="Y224" s="13">
        <v>1</v>
      </c>
      <c r="Z224" s="13" t="s">
        <v>200</v>
      </c>
      <c r="AA224" s="13">
        <v>0.3</v>
      </c>
      <c r="AB224" s="13" t="s">
        <v>34</v>
      </c>
      <c r="AC224" s="13" t="s">
        <v>40</v>
      </c>
      <c r="AD224" s="13" t="s">
        <v>32</v>
      </c>
      <c r="AE224" s="13">
        <v>0.76649999999999996</v>
      </c>
      <c r="AF224" s="13" t="s">
        <v>201</v>
      </c>
      <c r="AG224" s="13">
        <v>2020</v>
      </c>
      <c r="AH224" s="13" t="s">
        <v>202</v>
      </c>
      <c r="AI224" s="2">
        <v>50</v>
      </c>
      <c r="AJ224" s="2">
        <v>2</v>
      </c>
      <c r="AK224" s="2" t="s">
        <v>34</v>
      </c>
    </row>
    <row r="225" spans="1:37" x14ac:dyDescent="0.3">
      <c r="A225" s="11">
        <v>6.0642688679245298</v>
      </c>
      <c r="B225" s="11">
        <v>822.02505219206705</v>
      </c>
      <c r="C225" s="13" t="s">
        <v>33</v>
      </c>
      <c r="D225" s="13" t="s">
        <v>35</v>
      </c>
      <c r="E225" s="13" t="s">
        <v>170</v>
      </c>
      <c r="F225" s="10">
        <v>0.61</v>
      </c>
      <c r="G225" s="10">
        <v>0.72</v>
      </c>
      <c r="H225" s="13">
        <v>0.67</v>
      </c>
      <c r="I225" s="13">
        <v>0.73</v>
      </c>
      <c r="J225" s="13">
        <v>1.21</v>
      </c>
      <c r="K225" s="13">
        <v>1.02</v>
      </c>
      <c r="L225" s="13">
        <v>0</v>
      </c>
      <c r="M225" s="13">
        <v>64.599999999999994</v>
      </c>
      <c r="N225" s="13" t="s">
        <v>34</v>
      </c>
      <c r="O225" s="13">
        <v>0.74</v>
      </c>
      <c r="P225" s="13">
        <v>0.51</v>
      </c>
      <c r="Q225" s="13" t="s">
        <v>34</v>
      </c>
      <c r="R225" s="13">
        <v>2.65</v>
      </c>
      <c r="S225" s="13">
        <f t="shared" si="3"/>
        <v>1.01E-3</v>
      </c>
      <c r="T225" s="10" t="s">
        <v>36</v>
      </c>
      <c r="U225" s="13" t="s">
        <v>37</v>
      </c>
      <c r="V225" s="13" t="s">
        <v>162</v>
      </c>
      <c r="W225" s="10">
        <v>8</v>
      </c>
      <c r="X225" s="13">
        <v>0.3</v>
      </c>
      <c r="Y225" s="13">
        <v>1</v>
      </c>
      <c r="Z225" s="13" t="s">
        <v>200</v>
      </c>
      <c r="AA225" s="13">
        <v>0.3</v>
      </c>
      <c r="AB225" s="13" t="s">
        <v>34</v>
      </c>
      <c r="AC225" s="13" t="s">
        <v>40</v>
      </c>
      <c r="AD225" s="13" t="s">
        <v>32</v>
      </c>
      <c r="AE225" s="13">
        <v>0.76649999999999996</v>
      </c>
      <c r="AF225" s="13" t="s">
        <v>201</v>
      </c>
      <c r="AG225" s="13">
        <v>2020</v>
      </c>
      <c r="AH225" s="13" t="s">
        <v>202</v>
      </c>
      <c r="AI225" s="2">
        <v>50</v>
      </c>
      <c r="AJ225" s="2">
        <v>2</v>
      </c>
      <c r="AK225" s="2" t="s">
        <v>34</v>
      </c>
    </row>
    <row r="226" spans="1:37" x14ac:dyDescent="0.3">
      <c r="A226" s="11">
        <v>5.8337264150943398</v>
      </c>
      <c r="B226" s="11">
        <v>649.79123173277696</v>
      </c>
      <c r="C226" s="13" t="s">
        <v>33</v>
      </c>
      <c r="D226" s="13" t="s">
        <v>35</v>
      </c>
      <c r="E226" s="13" t="s">
        <v>170</v>
      </c>
      <c r="F226" s="10">
        <v>0.61</v>
      </c>
      <c r="G226" s="10">
        <v>0.72</v>
      </c>
      <c r="H226" s="13">
        <v>0.67</v>
      </c>
      <c r="I226" s="13">
        <v>0.73</v>
      </c>
      <c r="J226" s="13">
        <v>1.21</v>
      </c>
      <c r="K226" s="13">
        <v>1.02</v>
      </c>
      <c r="L226" s="13">
        <v>0</v>
      </c>
      <c r="M226" s="13">
        <v>64.599999999999994</v>
      </c>
      <c r="N226" s="13" t="s">
        <v>34</v>
      </c>
      <c r="O226" s="13">
        <v>0.74</v>
      </c>
      <c r="P226" s="13">
        <v>0.51</v>
      </c>
      <c r="Q226" s="13" t="s">
        <v>34</v>
      </c>
      <c r="R226" s="13">
        <v>2.65</v>
      </c>
      <c r="S226" s="13">
        <f t="shared" si="3"/>
        <v>1.01E-3</v>
      </c>
      <c r="T226" s="10" t="s">
        <v>36</v>
      </c>
      <c r="U226" s="13" t="s">
        <v>37</v>
      </c>
      <c r="V226" s="13" t="s">
        <v>162</v>
      </c>
      <c r="W226" s="10">
        <v>8</v>
      </c>
      <c r="X226" s="13">
        <v>0.3</v>
      </c>
      <c r="Y226" s="13">
        <v>1</v>
      </c>
      <c r="Z226" s="13" t="s">
        <v>200</v>
      </c>
      <c r="AA226" s="13">
        <v>0.3</v>
      </c>
      <c r="AB226" s="13" t="s">
        <v>34</v>
      </c>
      <c r="AC226" s="13" t="s">
        <v>40</v>
      </c>
      <c r="AD226" s="13" t="s">
        <v>32</v>
      </c>
      <c r="AE226" s="13">
        <v>0.76649999999999996</v>
      </c>
      <c r="AF226" s="13" t="s">
        <v>201</v>
      </c>
      <c r="AG226" s="13">
        <v>2020</v>
      </c>
      <c r="AH226" s="13" t="s">
        <v>202</v>
      </c>
      <c r="AI226" s="2">
        <v>50</v>
      </c>
      <c r="AJ226" s="2">
        <v>2</v>
      </c>
      <c r="AK226" s="2" t="s">
        <v>34</v>
      </c>
    </row>
    <row r="227" spans="1:37" x14ac:dyDescent="0.3">
      <c r="A227" s="11">
        <v>9.3419811320754693</v>
      </c>
      <c r="B227" s="11">
        <v>1477.0354906054199</v>
      </c>
      <c r="C227" s="13" t="s">
        <v>33</v>
      </c>
      <c r="D227" s="13" t="s">
        <v>35</v>
      </c>
      <c r="E227" s="13" t="s">
        <v>170</v>
      </c>
      <c r="F227" s="10">
        <v>0.61</v>
      </c>
      <c r="G227" s="10">
        <v>0.72</v>
      </c>
      <c r="H227" s="13">
        <v>0.67</v>
      </c>
      <c r="I227" s="13">
        <v>0.73</v>
      </c>
      <c r="J227" s="13">
        <v>1.21</v>
      </c>
      <c r="K227" s="13">
        <v>1.02</v>
      </c>
      <c r="L227" s="13">
        <v>0</v>
      </c>
      <c r="M227" s="13">
        <v>64.599999999999994</v>
      </c>
      <c r="N227" s="13" t="s">
        <v>34</v>
      </c>
      <c r="O227" s="13">
        <v>0.74</v>
      </c>
      <c r="P227" s="13">
        <v>0.51</v>
      </c>
      <c r="Q227" s="13" t="s">
        <v>34</v>
      </c>
      <c r="R227" s="13">
        <v>2.65</v>
      </c>
      <c r="S227" s="13">
        <f t="shared" si="3"/>
        <v>1.01E-3</v>
      </c>
      <c r="T227" s="10" t="s">
        <v>36</v>
      </c>
      <c r="U227" s="13" t="s">
        <v>37</v>
      </c>
      <c r="V227" s="13" t="s">
        <v>162</v>
      </c>
      <c r="W227" s="10">
        <v>12</v>
      </c>
      <c r="X227" s="13">
        <v>0.3</v>
      </c>
      <c r="Y227" s="13">
        <v>1</v>
      </c>
      <c r="Z227" s="13" t="s">
        <v>200</v>
      </c>
      <c r="AA227" s="13">
        <v>0.3</v>
      </c>
      <c r="AB227" s="13" t="s">
        <v>34</v>
      </c>
      <c r="AC227" s="13" t="s">
        <v>40</v>
      </c>
      <c r="AD227" s="13" t="s">
        <v>32</v>
      </c>
      <c r="AE227" s="13">
        <v>0.76649999999999996</v>
      </c>
      <c r="AF227" s="13" t="s">
        <v>201</v>
      </c>
      <c r="AG227" s="13">
        <v>2020</v>
      </c>
      <c r="AH227" s="13" t="s">
        <v>202</v>
      </c>
      <c r="AI227" s="2">
        <v>50</v>
      </c>
      <c r="AJ227" s="2">
        <v>2</v>
      </c>
      <c r="AK227" s="2" t="s">
        <v>34</v>
      </c>
    </row>
    <row r="228" spans="1:37" x14ac:dyDescent="0.3">
      <c r="A228" s="11">
        <v>10.885613207547101</v>
      </c>
      <c r="B228" s="11">
        <v>1649.2693110647101</v>
      </c>
      <c r="C228" s="13" t="s">
        <v>33</v>
      </c>
      <c r="D228" s="13" t="s">
        <v>35</v>
      </c>
      <c r="E228" s="13" t="s">
        <v>170</v>
      </c>
      <c r="F228" s="10">
        <v>0.61</v>
      </c>
      <c r="G228" s="10">
        <v>0.72</v>
      </c>
      <c r="H228" s="13">
        <v>0.67</v>
      </c>
      <c r="I228" s="13">
        <v>0.73</v>
      </c>
      <c r="J228" s="13">
        <v>1.21</v>
      </c>
      <c r="K228" s="13">
        <v>1.02</v>
      </c>
      <c r="L228" s="13">
        <v>0</v>
      </c>
      <c r="M228" s="13">
        <v>64.599999999999994</v>
      </c>
      <c r="N228" s="13" t="s">
        <v>34</v>
      </c>
      <c r="O228" s="13">
        <v>0.74</v>
      </c>
      <c r="P228" s="13">
        <v>0.51</v>
      </c>
      <c r="Q228" s="13" t="s">
        <v>34</v>
      </c>
      <c r="R228" s="13">
        <v>2.65</v>
      </c>
      <c r="S228" s="13">
        <f t="shared" si="3"/>
        <v>1.01E-3</v>
      </c>
      <c r="T228" s="10" t="s">
        <v>36</v>
      </c>
      <c r="U228" s="13" t="s">
        <v>37</v>
      </c>
      <c r="V228" s="13" t="s">
        <v>162</v>
      </c>
      <c r="W228" s="10">
        <v>12</v>
      </c>
      <c r="X228" s="13">
        <v>0.3</v>
      </c>
      <c r="Y228" s="13">
        <v>1</v>
      </c>
      <c r="Z228" s="13" t="s">
        <v>200</v>
      </c>
      <c r="AA228" s="13">
        <v>0.3</v>
      </c>
      <c r="AB228" s="13" t="s">
        <v>34</v>
      </c>
      <c r="AC228" s="13" t="s">
        <v>40</v>
      </c>
      <c r="AD228" s="13" t="s">
        <v>32</v>
      </c>
      <c r="AE228" s="13">
        <v>0.76649999999999996</v>
      </c>
      <c r="AF228" s="13" t="s">
        <v>201</v>
      </c>
      <c r="AG228" s="13">
        <v>2020</v>
      </c>
      <c r="AH228" s="13" t="s">
        <v>202</v>
      </c>
      <c r="AI228" s="2">
        <v>50</v>
      </c>
      <c r="AJ228" s="2">
        <v>2</v>
      </c>
      <c r="AK228" s="2" t="s">
        <v>34</v>
      </c>
    </row>
    <row r="229" spans="1:37" x14ac:dyDescent="0.3">
      <c r="A229" s="11">
        <v>12.850235849056601</v>
      </c>
      <c r="B229" s="11">
        <v>1858.0375782880999</v>
      </c>
      <c r="C229" s="13" t="s">
        <v>33</v>
      </c>
      <c r="D229" s="13" t="s">
        <v>35</v>
      </c>
      <c r="E229" s="13" t="s">
        <v>170</v>
      </c>
      <c r="F229" s="10">
        <v>0.61</v>
      </c>
      <c r="G229" s="10">
        <v>0.72</v>
      </c>
      <c r="H229" s="13">
        <v>0.67</v>
      </c>
      <c r="I229" s="13">
        <v>0.73</v>
      </c>
      <c r="J229" s="13">
        <v>1.21</v>
      </c>
      <c r="K229" s="13">
        <v>1.02</v>
      </c>
      <c r="L229" s="13">
        <v>0</v>
      </c>
      <c r="M229" s="13">
        <v>64.599999999999994</v>
      </c>
      <c r="N229" s="13" t="s">
        <v>34</v>
      </c>
      <c r="O229" s="13">
        <v>0.74</v>
      </c>
      <c r="P229" s="13">
        <v>0.51</v>
      </c>
      <c r="Q229" s="13" t="s">
        <v>34</v>
      </c>
      <c r="R229" s="13">
        <v>2.65</v>
      </c>
      <c r="S229" s="13">
        <f t="shared" si="3"/>
        <v>1.01E-3</v>
      </c>
      <c r="T229" s="10" t="s">
        <v>36</v>
      </c>
      <c r="U229" s="13" t="s">
        <v>37</v>
      </c>
      <c r="V229" s="13" t="s">
        <v>162</v>
      </c>
      <c r="W229" s="10">
        <v>12</v>
      </c>
      <c r="X229" s="13">
        <v>0.3</v>
      </c>
      <c r="Y229" s="13">
        <v>1</v>
      </c>
      <c r="Z229" s="13" t="s">
        <v>200</v>
      </c>
      <c r="AA229" s="13">
        <v>0.3</v>
      </c>
      <c r="AB229" s="13" t="s">
        <v>34</v>
      </c>
      <c r="AC229" s="13" t="s">
        <v>40</v>
      </c>
      <c r="AD229" s="13" t="s">
        <v>32</v>
      </c>
      <c r="AE229" s="13">
        <v>0.76649999999999996</v>
      </c>
      <c r="AF229" s="13" t="s">
        <v>201</v>
      </c>
      <c r="AG229" s="13">
        <v>2020</v>
      </c>
      <c r="AH229" s="13" t="s">
        <v>202</v>
      </c>
      <c r="AI229" s="2">
        <v>50</v>
      </c>
      <c r="AJ229" s="2">
        <v>2</v>
      </c>
      <c r="AK229" s="2" t="s">
        <v>34</v>
      </c>
    </row>
    <row r="230" spans="1:37" x14ac:dyDescent="0.3">
      <c r="A230" s="11">
        <v>11.5471698113207</v>
      </c>
      <c r="B230" s="11">
        <v>1714.50939457202</v>
      </c>
      <c r="C230" s="13" t="s">
        <v>33</v>
      </c>
      <c r="D230" s="13" t="s">
        <v>35</v>
      </c>
      <c r="E230" s="13" t="s">
        <v>170</v>
      </c>
      <c r="F230" s="10">
        <v>0.61</v>
      </c>
      <c r="G230" s="10">
        <v>0.72</v>
      </c>
      <c r="H230" s="13">
        <v>0.67</v>
      </c>
      <c r="I230" s="13">
        <v>0.73</v>
      </c>
      <c r="J230" s="13">
        <v>1.21</v>
      </c>
      <c r="K230" s="13">
        <v>1.02</v>
      </c>
      <c r="L230" s="13">
        <v>0</v>
      </c>
      <c r="M230" s="13">
        <v>64.599999999999994</v>
      </c>
      <c r="N230" s="13" t="s">
        <v>34</v>
      </c>
      <c r="O230" s="13">
        <v>0.74</v>
      </c>
      <c r="P230" s="13">
        <v>0.51</v>
      </c>
      <c r="Q230" s="13" t="s">
        <v>34</v>
      </c>
      <c r="R230" s="13">
        <v>2.65</v>
      </c>
      <c r="S230" s="13">
        <f t="shared" si="3"/>
        <v>1.01E-3</v>
      </c>
      <c r="T230" s="10" t="s">
        <v>36</v>
      </c>
      <c r="U230" s="13" t="s">
        <v>37</v>
      </c>
      <c r="V230" s="13" t="s">
        <v>162</v>
      </c>
      <c r="W230" s="10">
        <v>16</v>
      </c>
      <c r="X230" s="13">
        <v>0.3</v>
      </c>
      <c r="Y230" s="13">
        <v>1</v>
      </c>
      <c r="Z230" s="13" t="s">
        <v>200</v>
      </c>
      <c r="AA230" s="13">
        <v>0.3</v>
      </c>
      <c r="AB230" s="13" t="s">
        <v>34</v>
      </c>
      <c r="AC230" s="13" t="s">
        <v>40</v>
      </c>
      <c r="AD230" s="13" t="s">
        <v>32</v>
      </c>
      <c r="AE230" s="13">
        <v>0.76649999999999996</v>
      </c>
      <c r="AF230" s="13" t="s">
        <v>201</v>
      </c>
      <c r="AG230" s="13">
        <v>2020</v>
      </c>
      <c r="AH230" s="13" t="s">
        <v>202</v>
      </c>
      <c r="AI230" s="2">
        <v>50</v>
      </c>
      <c r="AJ230" s="2">
        <v>2</v>
      </c>
      <c r="AK230" s="2" t="s">
        <v>34</v>
      </c>
    </row>
    <row r="231" spans="1:37" x14ac:dyDescent="0.3">
      <c r="A231" s="11">
        <v>13.2912735849056</v>
      </c>
      <c r="B231" s="11">
        <v>1842.37995824634</v>
      </c>
      <c r="C231" s="13" t="s">
        <v>33</v>
      </c>
      <c r="D231" s="13" t="s">
        <v>35</v>
      </c>
      <c r="E231" s="13" t="s">
        <v>170</v>
      </c>
      <c r="F231" s="10">
        <v>0.61</v>
      </c>
      <c r="G231" s="10">
        <v>0.72</v>
      </c>
      <c r="H231" s="13">
        <v>0.67</v>
      </c>
      <c r="I231" s="13">
        <v>0.73</v>
      </c>
      <c r="J231" s="13">
        <v>1.21</v>
      </c>
      <c r="K231" s="13">
        <v>1.02</v>
      </c>
      <c r="L231" s="13">
        <v>0</v>
      </c>
      <c r="M231" s="13">
        <v>64.599999999999994</v>
      </c>
      <c r="N231" s="13" t="s">
        <v>34</v>
      </c>
      <c r="O231" s="13">
        <v>0.74</v>
      </c>
      <c r="P231" s="13">
        <v>0.51</v>
      </c>
      <c r="Q231" s="13" t="s">
        <v>34</v>
      </c>
      <c r="R231" s="13">
        <v>2.65</v>
      </c>
      <c r="S231" s="13">
        <f t="shared" si="3"/>
        <v>1.01E-3</v>
      </c>
      <c r="T231" s="10" t="s">
        <v>36</v>
      </c>
      <c r="U231" s="13" t="s">
        <v>37</v>
      </c>
      <c r="V231" s="13" t="s">
        <v>162</v>
      </c>
      <c r="W231" s="10">
        <v>16</v>
      </c>
      <c r="X231" s="13">
        <v>0.3</v>
      </c>
      <c r="Y231" s="13">
        <v>1</v>
      </c>
      <c r="Z231" s="13" t="s">
        <v>200</v>
      </c>
      <c r="AA231" s="13">
        <v>0.3</v>
      </c>
      <c r="AB231" s="13" t="s">
        <v>34</v>
      </c>
      <c r="AC231" s="13" t="s">
        <v>40</v>
      </c>
      <c r="AD231" s="13" t="s">
        <v>32</v>
      </c>
      <c r="AE231" s="13">
        <v>0.76649999999999996</v>
      </c>
      <c r="AF231" s="13" t="s">
        <v>201</v>
      </c>
      <c r="AG231" s="13">
        <v>2020</v>
      </c>
      <c r="AH231" s="13" t="s">
        <v>202</v>
      </c>
      <c r="AI231" s="2">
        <v>50</v>
      </c>
      <c r="AJ231" s="2">
        <v>2</v>
      </c>
      <c r="AK231" s="2" t="s">
        <v>34</v>
      </c>
    </row>
    <row r="232" spans="1:37" x14ac:dyDescent="0.3">
      <c r="A232" s="11">
        <v>15.5566037735849</v>
      </c>
      <c r="B232" s="11">
        <v>2252.0876826722301</v>
      </c>
      <c r="C232" s="13" t="s">
        <v>33</v>
      </c>
      <c r="D232" s="13" t="s">
        <v>35</v>
      </c>
      <c r="E232" s="13" t="s">
        <v>170</v>
      </c>
      <c r="F232" s="10">
        <v>0.61</v>
      </c>
      <c r="G232" s="10">
        <v>0.72</v>
      </c>
      <c r="H232" s="13">
        <v>0.67</v>
      </c>
      <c r="I232" s="13">
        <v>0.73</v>
      </c>
      <c r="J232" s="13">
        <v>1.21</v>
      </c>
      <c r="K232" s="13">
        <v>1.02</v>
      </c>
      <c r="L232" s="13">
        <v>0</v>
      </c>
      <c r="M232" s="13">
        <v>64.599999999999994</v>
      </c>
      <c r="N232" s="13" t="s">
        <v>34</v>
      </c>
      <c r="O232" s="13">
        <v>0.74</v>
      </c>
      <c r="P232" s="13">
        <v>0.51</v>
      </c>
      <c r="Q232" s="13" t="s">
        <v>34</v>
      </c>
      <c r="R232" s="13">
        <v>2.65</v>
      </c>
      <c r="S232" s="13">
        <f t="shared" si="3"/>
        <v>1.01E-3</v>
      </c>
      <c r="T232" s="10" t="s">
        <v>36</v>
      </c>
      <c r="U232" s="13" t="s">
        <v>37</v>
      </c>
      <c r="V232" s="13" t="s">
        <v>162</v>
      </c>
      <c r="W232" s="10">
        <v>16</v>
      </c>
      <c r="X232" s="13">
        <v>0.3</v>
      </c>
      <c r="Y232" s="13">
        <v>1</v>
      </c>
      <c r="Z232" s="13" t="s">
        <v>200</v>
      </c>
      <c r="AA232" s="13">
        <v>0.3</v>
      </c>
      <c r="AB232" s="13" t="s">
        <v>34</v>
      </c>
      <c r="AC232" s="13" t="s">
        <v>40</v>
      </c>
      <c r="AD232" s="13" t="s">
        <v>32</v>
      </c>
      <c r="AE232" s="13">
        <v>0.76649999999999996</v>
      </c>
      <c r="AF232" s="13" t="s">
        <v>201</v>
      </c>
      <c r="AG232" s="13">
        <v>2020</v>
      </c>
      <c r="AH232" s="13" t="s">
        <v>202</v>
      </c>
      <c r="AI232" s="2">
        <v>50</v>
      </c>
      <c r="AJ232" s="2">
        <v>2</v>
      </c>
      <c r="AK232" s="2" t="s">
        <v>34</v>
      </c>
    </row>
    <row r="233" spans="1:37" x14ac:dyDescent="0.3">
      <c r="A233" s="11">
        <v>1.5336084905660301</v>
      </c>
      <c r="B233" s="11">
        <v>417.53653444676399</v>
      </c>
      <c r="C233" s="13" t="s">
        <v>33</v>
      </c>
      <c r="D233" s="13" t="s">
        <v>35</v>
      </c>
      <c r="E233" s="13" t="s">
        <v>170</v>
      </c>
      <c r="F233" s="10">
        <v>0.61</v>
      </c>
      <c r="G233" s="10">
        <v>0.72</v>
      </c>
      <c r="H233" s="13">
        <v>0.67</v>
      </c>
      <c r="I233" s="13">
        <v>0.73</v>
      </c>
      <c r="J233" s="13">
        <v>1.21</v>
      </c>
      <c r="K233" s="13">
        <v>1.02</v>
      </c>
      <c r="L233" s="13">
        <v>0</v>
      </c>
      <c r="M233" s="13">
        <v>64.599999999999994</v>
      </c>
      <c r="N233" s="13" t="s">
        <v>34</v>
      </c>
      <c r="O233" s="13">
        <v>0.74</v>
      </c>
      <c r="P233" s="13">
        <v>0.51</v>
      </c>
      <c r="Q233" s="13" t="s">
        <v>34</v>
      </c>
      <c r="R233" s="13">
        <v>2.65</v>
      </c>
      <c r="S233" s="13">
        <f t="shared" si="3"/>
        <v>1.01E-3</v>
      </c>
      <c r="T233" s="10" t="s">
        <v>49</v>
      </c>
      <c r="U233" s="10" t="s">
        <v>199</v>
      </c>
      <c r="V233" s="13" t="s">
        <v>162</v>
      </c>
      <c r="W233" s="10">
        <v>4</v>
      </c>
      <c r="X233" s="13">
        <v>0.3</v>
      </c>
      <c r="Y233" s="13">
        <v>1</v>
      </c>
      <c r="Z233" s="13" t="s">
        <v>200</v>
      </c>
      <c r="AA233" s="13">
        <v>0.3</v>
      </c>
      <c r="AB233" s="13" t="s">
        <v>34</v>
      </c>
      <c r="AC233" s="13" t="s">
        <v>40</v>
      </c>
      <c r="AD233" s="13" t="s">
        <v>32</v>
      </c>
      <c r="AE233" s="13">
        <v>0.76649999999999996</v>
      </c>
      <c r="AF233" s="13" t="s">
        <v>201</v>
      </c>
      <c r="AG233" s="13">
        <v>2020</v>
      </c>
      <c r="AH233" s="13" t="s">
        <v>202</v>
      </c>
      <c r="AI233" s="2">
        <v>50</v>
      </c>
      <c r="AJ233" s="2">
        <v>2</v>
      </c>
      <c r="AK233" s="2" t="s">
        <v>34</v>
      </c>
    </row>
    <row r="234" spans="1:37" x14ac:dyDescent="0.3">
      <c r="A234" s="11">
        <v>1.68396226415094</v>
      </c>
      <c r="B234" s="11">
        <v>396.659707724425</v>
      </c>
      <c r="C234" s="13" t="s">
        <v>33</v>
      </c>
      <c r="D234" s="13" t="s">
        <v>35</v>
      </c>
      <c r="E234" s="13" t="s">
        <v>170</v>
      </c>
      <c r="F234" s="10">
        <v>0.61</v>
      </c>
      <c r="G234" s="10">
        <v>0.72</v>
      </c>
      <c r="H234" s="13">
        <v>0.67</v>
      </c>
      <c r="I234" s="13">
        <v>0.73</v>
      </c>
      <c r="J234" s="13">
        <v>1.21</v>
      </c>
      <c r="K234" s="13">
        <v>1.02</v>
      </c>
      <c r="L234" s="13">
        <v>0</v>
      </c>
      <c r="M234" s="13">
        <v>64.599999999999994</v>
      </c>
      <c r="N234" s="13" t="s">
        <v>34</v>
      </c>
      <c r="O234" s="13">
        <v>0.74</v>
      </c>
      <c r="P234" s="13">
        <v>0.51</v>
      </c>
      <c r="Q234" s="13" t="s">
        <v>34</v>
      </c>
      <c r="R234" s="13">
        <v>2.65</v>
      </c>
      <c r="S234" s="13">
        <f t="shared" si="3"/>
        <v>1.01E-3</v>
      </c>
      <c r="T234" s="10" t="s">
        <v>49</v>
      </c>
      <c r="U234" s="10" t="s">
        <v>199</v>
      </c>
      <c r="V234" s="13" t="s">
        <v>162</v>
      </c>
      <c r="W234" s="10">
        <v>4</v>
      </c>
      <c r="X234" s="13">
        <v>0.3</v>
      </c>
      <c r="Y234" s="13">
        <v>1</v>
      </c>
      <c r="Z234" s="13" t="s">
        <v>200</v>
      </c>
      <c r="AA234" s="13">
        <v>0.3</v>
      </c>
      <c r="AB234" s="13" t="s">
        <v>34</v>
      </c>
      <c r="AC234" s="13" t="s">
        <v>40</v>
      </c>
      <c r="AD234" s="13" t="s">
        <v>32</v>
      </c>
      <c r="AE234" s="13">
        <v>0.76649999999999996</v>
      </c>
      <c r="AF234" s="13" t="s">
        <v>201</v>
      </c>
      <c r="AG234" s="13">
        <v>2020</v>
      </c>
      <c r="AH234" s="13" t="s">
        <v>202</v>
      </c>
      <c r="AI234" s="2">
        <v>50</v>
      </c>
      <c r="AJ234" s="2">
        <v>2</v>
      </c>
      <c r="AK234" s="2" t="s">
        <v>34</v>
      </c>
    </row>
    <row r="235" spans="1:37" x14ac:dyDescent="0.3">
      <c r="A235" s="11">
        <v>2.5860849056603699</v>
      </c>
      <c r="B235" s="11">
        <v>493.21503131524003</v>
      </c>
      <c r="C235" s="13" t="s">
        <v>33</v>
      </c>
      <c r="D235" s="13" t="s">
        <v>35</v>
      </c>
      <c r="E235" s="13" t="s">
        <v>170</v>
      </c>
      <c r="F235" s="10">
        <v>0.61</v>
      </c>
      <c r="G235" s="10">
        <v>0.72</v>
      </c>
      <c r="H235" s="13">
        <v>0.67</v>
      </c>
      <c r="I235" s="13">
        <v>0.73</v>
      </c>
      <c r="J235" s="13">
        <v>1.21</v>
      </c>
      <c r="K235" s="13">
        <v>1.02</v>
      </c>
      <c r="L235" s="13">
        <v>0</v>
      </c>
      <c r="M235" s="13">
        <v>64.599999999999994</v>
      </c>
      <c r="N235" s="13" t="s">
        <v>34</v>
      </c>
      <c r="O235" s="13">
        <v>0.74</v>
      </c>
      <c r="P235" s="13">
        <v>0.51</v>
      </c>
      <c r="Q235" s="13" t="s">
        <v>34</v>
      </c>
      <c r="R235" s="13">
        <v>2.65</v>
      </c>
      <c r="S235" s="13">
        <f t="shared" si="3"/>
        <v>1.01E-3</v>
      </c>
      <c r="T235" s="10" t="s">
        <v>49</v>
      </c>
      <c r="U235" s="10" t="s">
        <v>199</v>
      </c>
      <c r="V235" s="13" t="s">
        <v>162</v>
      </c>
      <c r="W235" s="10">
        <v>4</v>
      </c>
      <c r="X235" s="13">
        <v>0.3</v>
      </c>
      <c r="Y235" s="13">
        <v>1</v>
      </c>
      <c r="Z235" s="13" t="s">
        <v>200</v>
      </c>
      <c r="AA235" s="13">
        <v>0.3</v>
      </c>
      <c r="AB235" s="13" t="s">
        <v>34</v>
      </c>
      <c r="AC235" s="13" t="s">
        <v>40</v>
      </c>
      <c r="AD235" s="13" t="s">
        <v>32</v>
      </c>
      <c r="AE235" s="13">
        <v>0.76649999999999996</v>
      </c>
      <c r="AF235" s="13" t="s">
        <v>201</v>
      </c>
      <c r="AG235" s="13">
        <v>2020</v>
      </c>
      <c r="AH235" s="13" t="s">
        <v>202</v>
      </c>
      <c r="AI235" s="2">
        <v>50</v>
      </c>
      <c r="AJ235" s="2">
        <v>2</v>
      </c>
      <c r="AK235" s="2" t="s">
        <v>34</v>
      </c>
    </row>
    <row r="236" spans="1:37" x14ac:dyDescent="0.3">
      <c r="A236" s="11">
        <v>1.9646226415094299</v>
      </c>
      <c r="B236" s="11">
        <v>631.52400835073001</v>
      </c>
      <c r="C236" s="13" t="s">
        <v>33</v>
      </c>
      <c r="D236" s="13" t="s">
        <v>35</v>
      </c>
      <c r="E236" s="13" t="s">
        <v>170</v>
      </c>
      <c r="F236" s="10">
        <v>0.61</v>
      </c>
      <c r="G236" s="10">
        <v>0.72</v>
      </c>
      <c r="H236" s="13">
        <v>0.67</v>
      </c>
      <c r="I236" s="13">
        <v>0.73</v>
      </c>
      <c r="J236" s="13">
        <v>1.21</v>
      </c>
      <c r="K236" s="13">
        <v>1.02</v>
      </c>
      <c r="L236" s="13">
        <v>0</v>
      </c>
      <c r="M236" s="13">
        <v>64.599999999999994</v>
      </c>
      <c r="N236" s="13" t="s">
        <v>34</v>
      </c>
      <c r="O236" s="13">
        <v>0.74</v>
      </c>
      <c r="P236" s="13">
        <v>0.51</v>
      </c>
      <c r="Q236" s="13" t="s">
        <v>34</v>
      </c>
      <c r="R236" s="13">
        <v>2.65</v>
      </c>
      <c r="S236" s="13">
        <f t="shared" si="3"/>
        <v>1.01E-3</v>
      </c>
      <c r="T236" s="10" t="s">
        <v>49</v>
      </c>
      <c r="U236" s="10" t="s">
        <v>199</v>
      </c>
      <c r="V236" s="13" t="s">
        <v>162</v>
      </c>
      <c r="W236" s="10">
        <v>8</v>
      </c>
      <c r="X236" s="13">
        <v>0.3</v>
      </c>
      <c r="Y236" s="13">
        <v>1</v>
      </c>
      <c r="Z236" s="13" t="s">
        <v>200</v>
      </c>
      <c r="AA236" s="13">
        <v>0.3</v>
      </c>
      <c r="AB236" s="13" t="s">
        <v>34</v>
      </c>
      <c r="AC236" s="13" t="s">
        <v>40</v>
      </c>
      <c r="AD236" s="13" t="s">
        <v>32</v>
      </c>
      <c r="AE236" s="13">
        <v>0.76649999999999996</v>
      </c>
      <c r="AF236" s="13" t="s">
        <v>201</v>
      </c>
      <c r="AG236" s="13">
        <v>2020</v>
      </c>
      <c r="AH236" s="13" t="s">
        <v>202</v>
      </c>
      <c r="AI236" s="2">
        <v>50</v>
      </c>
      <c r="AJ236" s="2">
        <v>2</v>
      </c>
      <c r="AK236" s="2" t="s">
        <v>34</v>
      </c>
    </row>
    <row r="237" spans="1:37" x14ac:dyDescent="0.3">
      <c r="A237" s="11">
        <v>2.1350235849056598</v>
      </c>
      <c r="B237" s="11">
        <v>474.947807933192</v>
      </c>
      <c r="C237" s="13" t="s">
        <v>33</v>
      </c>
      <c r="D237" s="13" t="s">
        <v>35</v>
      </c>
      <c r="E237" s="13" t="s">
        <v>170</v>
      </c>
      <c r="F237" s="10">
        <v>0.61</v>
      </c>
      <c r="G237" s="10">
        <v>0.72</v>
      </c>
      <c r="H237" s="13">
        <v>0.67</v>
      </c>
      <c r="I237" s="13">
        <v>0.73</v>
      </c>
      <c r="J237" s="13">
        <v>1.21</v>
      </c>
      <c r="K237" s="13">
        <v>1.02</v>
      </c>
      <c r="L237" s="13">
        <v>0</v>
      </c>
      <c r="M237" s="13">
        <v>64.599999999999994</v>
      </c>
      <c r="N237" s="13" t="s">
        <v>34</v>
      </c>
      <c r="O237" s="13">
        <v>0.74</v>
      </c>
      <c r="P237" s="13">
        <v>0.51</v>
      </c>
      <c r="Q237" s="13" t="s">
        <v>34</v>
      </c>
      <c r="R237" s="13">
        <v>2.65</v>
      </c>
      <c r="S237" s="13">
        <f t="shared" si="3"/>
        <v>1.01E-3</v>
      </c>
      <c r="T237" s="10" t="s">
        <v>49</v>
      </c>
      <c r="U237" s="10" t="s">
        <v>199</v>
      </c>
      <c r="V237" s="13" t="s">
        <v>162</v>
      </c>
      <c r="W237" s="10">
        <v>8</v>
      </c>
      <c r="X237" s="13">
        <v>0.3</v>
      </c>
      <c r="Y237" s="13">
        <v>1</v>
      </c>
      <c r="Z237" s="13" t="s">
        <v>200</v>
      </c>
      <c r="AA237" s="13">
        <v>0.3</v>
      </c>
      <c r="AB237" s="13" t="s">
        <v>34</v>
      </c>
      <c r="AC237" s="13" t="s">
        <v>40</v>
      </c>
      <c r="AD237" s="13" t="s">
        <v>32</v>
      </c>
      <c r="AE237" s="13">
        <v>0.76649999999999996</v>
      </c>
      <c r="AF237" s="13" t="s">
        <v>201</v>
      </c>
      <c r="AG237" s="13">
        <v>2020</v>
      </c>
      <c r="AH237" s="13" t="s">
        <v>202</v>
      </c>
      <c r="AI237" s="2">
        <v>50</v>
      </c>
      <c r="AJ237" s="2">
        <v>2</v>
      </c>
      <c r="AK237" s="2" t="s">
        <v>34</v>
      </c>
    </row>
    <row r="238" spans="1:37" x14ac:dyDescent="0.3">
      <c r="A238" s="11">
        <v>2.8266509433962201</v>
      </c>
      <c r="B238" s="11">
        <v>701.98329853862197</v>
      </c>
      <c r="C238" s="13" t="s">
        <v>33</v>
      </c>
      <c r="D238" s="13" t="s">
        <v>35</v>
      </c>
      <c r="E238" s="13" t="s">
        <v>170</v>
      </c>
      <c r="F238" s="10">
        <v>0.61</v>
      </c>
      <c r="G238" s="10">
        <v>0.72</v>
      </c>
      <c r="H238" s="13">
        <v>0.67</v>
      </c>
      <c r="I238" s="13">
        <v>0.73</v>
      </c>
      <c r="J238" s="13">
        <v>1.21</v>
      </c>
      <c r="K238" s="13">
        <v>1.02</v>
      </c>
      <c r="L238" s="13">
        <v>0</v>
      </c>
      <c r="M238" s="13">
        <v>64.599999999999994</v>
      </c>
      <c r="N238" s="13" t="s">
        <v>34</v>
      </c>
      <c r="O238" s="13">
        <v>0.74</v>
      </c>
      <c r="P238" s="13">
        <v>0.51</v>
      </c>
      <c r="Q238" s="13" t="s">
        <v>34</v>
      </c>
      <c r="R238" s="13">
        <v>2.65</v>
      </c>
      <c r="S238" s="13">
        <f t="shared" si="3"/>
        <v>1.01E-3</v>
      </c>
      <c r="T238" s="10" t="s">
        <v>49</v>
      </c>
      <c r="U238" s="10" t="s">
        <v>199</v>
      </c>
      <c r="V238" s="13" t="s">
        <v>162</v>
      </c>
      <c r="W238" s="10">
        <v>8</v>
      </c>
      <c r="X238" s="13">
        <v>0.3</v>
      </c>
      <c r="Y238" s="13">
        <v>1</v>
      </c>
      <c r="Z238" s="13" t="s">
        <v>200</v>
      </c>
      <c r="AA238" s="13">
        <v>0.3</v>
      </c>
      <c r="AB238" s="13" t="s">
        <v>34</v>
      </c>
      <c r="AC238" s="13" t="s">
        <v>40</v>
      </c>
      <c r="AD238" s="13" t="s">
        <v>32</v>
      </c>
      <c r="AE238" s="13">
        <v>0.76649999999999996</v>
      </c>
      <c r="AF238" s="13" t="s">
        <v>201</v>
      </c>
      <c r="AG238" s="13">
        <v>2020</v>
      </c>
      <c r="AH238" s="13" t="s">
        <v>202</v>
      </c>
      <c r="AI238" s="2">
        <v>50</v>
      </c>
      <c r="AJ238" s="2">
        <v>2</v>
      </c>
      <c r="AK238" s="2" t="s">
        <v>34</v>
      </c>
    </row>
    <row r="239" spans="1:37" x14ac:dyDescent="0.3">
      <c r="A239" s="11">
        <v>4.1998820754716997</v>
      </c>
      <c r="B239" s="11">
        <v>1242.1711899791201</v>
      </c>
      <c r="C239" s="13" t="s">
        <v>33</v>
      </c>
      <c r="D239" s="13" t="s">
        <v>35</v>
      </c>
      <c r="E239" s="13" t="s">
        <v>170</v>
      </c>
      <c r="F239" s="10">
        <v>0.61</v>
      </c>
      <c r="G239" s="10">
        <v>0.72</v>
      </c>
      <c r="H239" s="13">
        <v>0.67</v>
      </c>
      <c r="I239" s="13">
        <v>0.73</v>
      </c>
      <c r="J239" s="13">
        <v>1.21</v>
      </c>
      <c r="K239" s="13">
        <v>1.02</v>
      </c>
      <c r="L239" s="13">
        <v>0</v>
      </c>
      <c r="M239" s="13">
        <v>64.599999999999994</v>
      </c>
      <c r="N239" s="13" t="s">
        <v>34</v>
      </c>
      <c r="O239" s="13">
        <v>0.74</v>
      </c>
      <c r="P239" s="13">
        <v>0.51</v>
      </c>
      <c r="Q239" s="13" t="s">
        <v>34</v>
      </c>
      <c r="R239" s="13">
        <v>2.65</v>
      </c>
      <c r="S239" s="13">
        <f t="shared" si="3"/>
        <v>1.01E-3</v>
      </c>
      <c r="T239" s="10" t="s">
        <v>49</v>
      </c>
      <c r="U239" s="10" t="s">
        <v>199</v>
      </c>
      <c r="V239" s="13" t="s">
        <v>162</v>
      </c>
      <c r="W239" s="10">
        <v>12</v>
      </c>
      <c r="X239" s="13">
        <v>0.3</v>
      </c>
      <c r="Y239" s="13">
        <v>1</v>
      </c>
      <c r="Z239" s="13" t="s">
        <v>200</v>
      </c>
      <c r="AA239" s="13">
        <v>0.3</v>
      </c>
      <c r="AB239" s="13" t="s">
        <v>34</v>
      </c>
      <c r="AC239" s="13" t="s">
        <v>40</v>
      </c>
      <c r="AD239" s="13" t="s">
        <v>32</v>
      </c>
      <c r="AE239" s="13">
        <v>0.76649999999999996</v>
      </c>
      <c r="AF239" s="13" t="s">
        <v>201</v>
      </c>
      <c r="AG239" s="13">
        <v>2020</v>
      </c>
      <c r="AH239" s="13" t="s">
        <v>202</v>
      </c>
      <c r="AI239" s="2">
        <v>50</v>
      </c>
      <c r="AJ239" s="2">
        <v>2</v>
      </c>
      <c r="AK239" s="2" t="s">
        <v>34</v>
      </c>
    </row>
    <row r="240" spans="1:37" x14ac:dyDescent="0.3">
      <c r="A240" s="11">
        <v>5.5029481132075402</v>
      </c>
      <c r="B240" s="11">
        <v>1336.1169102296401</v>
      </c>
      <c r="C240" s="13" t="s">
        <v>33</v>
      </c>
      <c r="D240" s="13" t="s">
        <v>35</v>
      </c>
      <c r="E240" s="13" t="s">
        <v>170</v>
      </c>
      <c r="F240" s="10">
        <v>0.61</v>
      </c>
      <c r="G240" s="10">
        <v>0.72</v>
      </c>
      <c r="H240" s="13">
        <v>0.67</v>
      </c>
      <c r="I240" s="13">
        <v>0.73</v>
      </c>
      <c r="J240" s="13">
        <v>1.21</v>
      </c>
      <c r="K240" s="13">
        <v>1.02</v>
      </c>
      <c r="L240" s="13">
        <v>0</v>
      </c>
      <c r="M240" s="13">
        <v>64.599999999999994</v>
      </c>
      <c r="N240" s="13" t="s">
        <v>34</v>
      </c>
      <c r="O240" s="13">
        <v>0.74</v>
      </c>
      <c r="P240" s="13">
        <v>0.51</v>
      </c>
      <c r="Q240" s="13" t="s">
        <v>34</v>
      </c>
      <c r="R240" s="13">
        <v>2.65</v>
      </c>
      <c r="S240" s="13">
        <f t="shared" si="3"/>
        <v>1.01E-3</v>
      </c>
      <c r="T240" s="10" t="s">
        <v>49</v>
      </c>
      <c r="U240" s="10" t="s">
        <v>199</v>
      </c>
      <c r="V240" s="13" t="s">
        <v>162</v>
      </c>
      <c r="W240" s="10">
        <v>12</v>
      </c>
      <c r="X240" s="13">
        <v>0.3</v>
      </c>
      <c r="Y240" s="13">
        <v>1</v>
      </c>
      <c r="Z240" s="13" t="s">
        <v>200</v>
      </c>
      <c r="AA240" s="13">
        <v>0.3</v>
      </c>
      <c r="AB240" s="13" t="s">
        <v>34</v>
      </c>
      <c r="AC240" s="13" t="s">
        <v>40</v>
      </c>
      <c r="AD240" s="13" t="s">
        <v>32</v>
      </c>
      <c r="AE240" s="13">
        <v>0.76649999999999996</v>
      </c>
      <c r="AF240" s="13" t="s">
        <v>201</v>
      </c>
      <c r="AG240" s="13">
        <v>2020</v>
      </c>
      <c r="AH240" s="13" t="s">
        <v>202</v>
      </c>
      <c r="AI240" s="2">
        <v>50</v>
      </c>
      <c r="AJ240" s="2">
        <v>2</v>
      </c>
      <c r="AK240" s="2" t="s">
        <v>34</v>
      </c>
    </row>
    <row r="241" spans="1:37" x14ac:dyDescent="0.3">
      <c r="A241" s="11">
        <v>5.95400943396226</v>
      </c>
      <c r="B241" s="11">
        <v>1456.15866388308</v>
      </c>
      <c r="C241" s="13" t="s">
        <v>33</v>
      </c>
      <c r="D241" s="13" t="s">
        <v>35</v>
      </c>
      <c r="E241" s="13" t="s">
        <v>170</v>
      </c>
      <c r="F241" s="10">
        <v>0.61</v>
      </c>
      <c r="G241" s="10">
        <v>0.72</v>
      </c>
      <c r="H241" s="13">
        <v>0.67</v>
      </c>
      <c r="I241" s="13">
        <v>0.73</v>
      </c>
      <c r="J241" s="13">
        <v>1.21</v>
      </c>
      <c r="K241" s="13">
        <v>1.02</v>
      </c>
      <c r="L241" s="13">
        <v>0</v>
      </c>
      <c r="M241" s="13">
        <v>64.599999999999994</v>
      </c>
      <c r="N241" s="13" t="s">
        <v>34</v>
      </c>
      <c r="O241" s="13">
        <v>0.74</v>
      </c>
      <c r="P241" s="13">
        <v>0.51</v>
      </c>
      <c r="Q241" s="13" t="s">
        <v>34</v>
      </c>
      <c r="R241" s="13">
        <v>2.65</v>
      </c>
      <c r="S241" s="13">
        <f t="shared" si="3"/>
        <v>1.01E-3</v>
      </c>
      <c r="T241" s="10" t="s">
        <v>49</v>
      </c>
      <c r="U241" s="10" t="s">
        <v>199</v>
      </c>
      <c r="V241" s="13" t="s">
        <v>162</v>
      </c>
      <c r="W241" s="10">
        <v>12</v>
      </c>
      <c r="X241" s="13">
        <v>0.3</v>
      </c>
      <c r="Y241" s="13">
        <v>1</v>
      </c>
      <c r="Z241" s="13" t="s">
        <v>200</v>
      </c>
      <c r="AA241" s="13">
        <v>0.3</v>
      </c>
      <c r="AB241" s="13" t="s">
        <v>34</v>
      </c>
      <c r="AC241" s="13" t="s">
        <v>40</v>
      </c>
      <c r="AD241" s="13" t="s">
        <v>32</v>
      </c>
      <c r="AE241" s="13">
        <v>0.76649999999999996</v>
      </c>
      <c r="AF241" s="13" t="s">
        <v>201</v>
      </c>
      <c r="AG241" s="13">
        <v>2020</v>
      </c>
      <c r="AH241" s="13" t="s">
        <v>202</v>
      </c>
      <c r="AI241" s="2">
        <v>50</v>
      </c>
      <c r="AJ241" s="2">
        <v>2</v>
      </c>
      <c r="AK241" s="2" t="s">
        <v>34</v>
      </c>
    </row>
    <row r="242" spans="1:37" x14ac:dyDescent="0.3">
      <c r="A242" s="11">
        <v>5.3425707547169798</v>
      </c>
      <c r="B242" s="11">
        <v>1127.3486430062601</v>
      </c>
      <c r="C242" s="13" t="s">
        <v>33</v>
      </c>
      <c r="D242" s="13" t="s">
        <v>35</v>
      </c>
      <c r="E242" s="13" t="s">
        <v>170</v>
      </c>
      <c r="F242" s="10">
        <v>0.61</v>
      </c>
      <c r="G242" s="10">
        <v>0.72</v>
      </c>
      <c r="H242" s="13">
        <v>0.67</v>
      </c>
      <c r="I242" s="13">
        <v>0.73</v>
      </c>
      <c r="J242" s="13">
        <v>1.21</v>
      </c>
      <c r="K242" s="13">
        <v>1.02</v>
      </c>
      <c r="L242" s="13">
        <v>0</v>
      </c>
      <c r="M242" s="13">
        <v>64.599999999999994</v>
      </c>
      <c r="N242" s="13" t="s">
        <v>34</v>
      </c>
      <c r="O242" s="13">
        <v>0.74</v>
      </c>
      <c r="P242" s="13">
        <v>0.51</v>
      </c>
      <c r="Q242" s="13" t="s">
        <v>34</v>
      </c>
      <c r="R242" s="13">
        <v>2.65</v>
      </c>
      <c r="S242" s="13">
        <f t="shared" si="3"/>
        <v>1.01E-3</v>
      </c>
      <c r="T242" s="10" t="s">
        <v>49</v>
      </c>
      <c r="U242" s="10" t="s">
        <v>199</v>
      </c>
      <c r="V242" s="13" t="s">
        <v>162</v>
      </c>
      <c r="W242" s="10">
        <v>16</v>
      </c>
      <c r="X242" s="13">
        <v>0.3</v>
      </c>
      <c r="Y242" s="13">
        <v>1</v>
      </c>
      <c r="Z242" s="13" t="s">
        <v>200</v>
      </c>
      <c r="AA242" s="13">
        <v>0.3</v>
      </c>
      <c r="AB242" s="13" t="s">
        <v>34</v>
      </c>
      <c r="AC242" s="13" t="s">
        <v>40</v>
      </c>
      <c r="AD242" s="13" t="s">
        <v>32</v>
      </c>
      <c r="AE242" s="13">
        <v>0.76649999999999996</v>
      </c>
      <c r="AF242" s="13" t="s">
        <v>201</v>
      </c>
      <c r="AG242" s="13">
        <v>2020</v>
      </c>
      <c r="AH242" s="13" t="s">
        <v>202</v>
      </c>
      <c r="AI242" s="2">
        <v>50</v>
      </c>
      <c r="AJ242" s="2">
        <v>2</v>
      </c>
      <c r="AK242" s="2" t="s">
        <v>34</v>
      </c>
    </row>
    <row r="243" spans="1:37" x14ac:dyDescent="0.3">
      <c r="A243" s="11">
        <v>7.8685141509434002</v>
      </c>
      <c r="B243" s="11">
        <v>1513.5699373695099</v>
      </c>
      <c r="C243" s="13" t="s">
        <v>33</v>
      </c>
      <c r="D243" s="13" t="s">
        <v>35</v>
      </c>
      <c r="E243" s="13" t="s">
        <v>170</v>
      </c>
      <c r="F243" s="10">
        <v>0.61</v>
      </c>
      <c r="G243" s="10">
        <v>0.72</v>
      </c>
      <c r="H243" s="13">
        <v>0.67</v>
      </c>
      <c r="I243" s="13">
        <v>0.73</v>
      </c>
      <c r="J243" s="13">
        <v>1.21</v>
      </c>
      <c r="K243" s="13">
        <v>1.02</v>
      </c>
      <c r="L243" s="13">
        <v>0</v>
      </c>
      <c r="M243" s="13">
        <v>64.599999999999994</v>
      </c>
      <c r="N243" s="13" t="s">
        <v>34</v>
      </c>
      <c r="O243" s="13">
        <v>0.74</v>
      </c>
      <c r="P243" s="13">
        <v>0.51</v>
      </c>
      <c r="Q243" s="13" t="s">
        <v>34</v>
      </c>
      <c r="R243" s="13">
        <v>2.65</v>
      </c>
      <c r="S243" s="13">
        <f t="shared" si="3"/>
        <v>1.01E-3</v>
      </c>
      <c r="T243" s="10" t="s">
        <v>49</v>
      </c>
      <c r="U243" s="10" t="s">
        <v>199</v>
      </c>
      <c r="V243" s="13" t="s">
        <v>162</v>
      </c>
      <c r="W243" s="10">
        <v>16</v>
      </c>
      <c r="X243" s="13">
        <v>0.3</v>
      </c>
      <c r="Y243" s="13">
        <v>1</v>
      </c>
      <c r="Z243" s="13" t="s">
        <v>200</v>
      </c>
      <c r="AA243" s="13">
        <v>0.3</v>
      </c>
      <c r="AB243" s="13" t="s">
        <v>34</v>
      </c>
      <c r="AC243" s="13" t="s">
        <v>40</v>
      </c>
      <c r="AD243" s="13" t="s">
        <v>32</v>
      </c>
      <c r="AE243" s="13">
        <v>0.76649999999999996</v>
      </c>
      <c r="AF243" s="13" t="s">
        <v>201</v>
      </c>
      <c r="AG243" s="13">
        <v>2020</v>
      </c>
      <c r="AH243" s="13" t="s">
        <v>202</v>
      </c>
      <c r="AI243" s="2">
        <v>50</v>
      </c>
      <c r="AJ243" s="2">
        <v>2</v>
      </c>
      <c r="AK243" s="2" t="s">
        <v>34</v>
      </c>
    </row>
    <row r="244" spans="1:37" x14ac:dyDescent="0.3">
      <c r="A244" s="11">
        <v>8.0689858490566007</v>
      </c>
      <c r="B244" s="11">
        <v>2366.9102296450901</v>
      </c>
      <c r="C244" s="13" t="s">
        <v>33</v>
      </c>
      <c r="D244" s="13" t="s">
        <v>35</v>
      </c>
      <c r="E244" s="13" t="s">
        <v>170</v>
      </c>
      <c r="F244" s="10">
        <v>0.61</v>
      </c>
      <c r="G244" s="10">
        <v>0.72</v>
      </c>
      <c r="H244" s="13">
        <v>0.67</v>
      </c>
      <c r="I244" s="13">
        <v>0.73</v>
      </c>
      <c r="J244" s="13">
        <v>1.21</v>
      </c>
      <c r="K244" s="13">
        <v>1.02</v>
      </c>
      <c r="L244" s="13">
        <v>0</v>
      </c>
      <c r="M244" s="13">
        <v>64.599999999999994</v>
      </c>
      <c r="N244" s="13" t="s">
        <v>34</v>
      </c>
      <c r="O244" s="13">
        <v>0.74</v>
      </c>
      <c r="P244" s="13">
        <v>0.51</v>
      </c>
      <c r="Q244" s="13" t="s">
        <v>34</v>
      </c>
      <c r="R244" s="13">
        <v>2.65</v>
      </c>
      <c r="S244" s="13">
        <f t="shared" si="3"/>
        <v>1.01E-3</v>
      </c>
      <c r="T244" s="10" t="s">
        <v>49</v>
      </c>
      <c r="U244" s="10" t="s">
        <v>199</v>
      </c>
      <c r="V244" s="13" t="s">
        <v>162</v>
      </c>
      <c r="W244" s="10">
        <v>16</v>
      </c>
      <c r="X244" s="13">
        <v>0.3</v>
      </c>
      <c r="Y244" s="13">
        <v>1</v>
      </c>
      <c r="Z244" s="13" t="s">
        <v>200</v>
      </c>
      <c r="AA244" s="13">
        <v>0.3</v>
      </c>
      <c r="AB244" s="13" t="s">
        <v>34</v>
      </c>
      <c r="AC244" s="13" t="s">
        <v>40</v>
      </c>
      <c r="AD244" s="13" t="s">
        <v>32</v>
      </c>
      <c r="AE244" s="13">
        <v>0.76649999999999996</v>
      </c>
      <c r="AF244" s="13" t="s">
        <v>201</v>
      </c>
      <c r="AG244" s="13">
        <v>2020</v>
      </c>
      <c r="AH244" s="13" t="s">
        <v>202</v>
      </c>
      <c r="AI244" s="2">
        <v>50</v>
      </c>
      <c r="AJ244" s="2">
        <v>2</v>
      </c>
      <c r="AK244" s="2" t="s">
        <v>34</v>
      </c>
    </row>
    <row r="245" spans="1:37" x14ac:dyDescent="0.3">
      <c r="A245" s="11">
        <v>1.84413202933985</v>
      </c>
      <c r="B245" s="11">
        <v>170.85436281406999</v>
      </c>
      <c r="C245" s="13" t="s">
        <v>33</v>
      </c>
      <c r="D245" s="13" t="s">
        <v>35</v>
      </c>
      <c r="E245" s="13" t="s">
        <v>170</v>
      </c>
      <c r="F245" s="10">
        <v>0.26</v>
      </c>
      <c r="G245" s="10">
        <v>0.36</v>
      </c>
      <c r="H245" s="11">
        <v>0.314</v>
      </c>
      <c r="I245" s="10">
        <v>0.39</v>
      </c>
      <c r="J245" s="10">
        <v>1.46</v>
      </c>
      <c r="K245" s="10">
        <v>0.97</v>
      </c>
      <c r="L245" s="13">
        <v>0</v>
      </c>
      <c r="M245" s="10">
        <v>64.400000000000006</v>
      </c>
      <c r="N245" s="13" t="s">
        <v>34</v>
      </c>
      <c r="O245" s="10">
        <v>0.87</v>
      </c>
      <c r="P245" s="10">
        <v>0.55000000000000004</v>
      </c>
      <c r="Q245" s="13" t="s">
        <v>34</v>
      </c>
      <c r="R245" s="13">
        <v>2.65</v>
      </c>
      <c r="S245" s="10">
        <f>3.2*10^-4</f>
        <v>3.2000000000000003E-4</v>
      </c>
      <c r="T245" s="10" t="s">
        <v>49</v>
      </c>
      <c r="U245" s="10" t="s">
        <v>199</v>
      </c>
      <c r="V245" s="13" t="s">
        <v>162</v>
      </c>
      <c r="W245" s="10" t="s">
        <v>34</v>
      </c>
      <c r="X245" s="13">
        <v>0.3</v>
      </c>
      <c r="Y245" s="13">
        <v>1</v>
      </c>
      <c r="Z245" s="13" t="s">
        <v>200</v>
      </c>
      <c r="AA245" s="13">
        <v>0.3</v>
      </c>
      <c r="AB245" s="13" t="s">
        <v>34</v>
      </c>
      <c r="AC245" s="13" t="s">
        <v>40</v>
      </c>
      <c r="AD245" s="13" t="s">
        <v>32</v>
      </c>
      <c r="AE245" s="13">
        <v>0.76649999999999996</v>
      </c>
      <c r="AF245" s="13" t="s">
        <v>201</v>
      </c>
      <c r="AG245" s="13">
        <v>2020</v>
      </c>
      <c r="AH245" s="13" t="s">
        <v>202</v>
      </c>
      <c r="AI245" s="2">
        <v>50</v>
      </c>
      <c r="AJ245" s="2">
        <v>2</v>
      </c>
      <c r="AK245" s="2" t="s">
        <v>34</v>
      </c>
    </row>
    <row r="246" spans="1:37" x14ac:dyDescent="0.3">
      <c r="A246" s="11">
        <v>2.2677261613691901</v>
      </c>
      <c r="B246" s="11">
        <v>418.09053135678403</v>
      </c>
      <c r="C246" s="13" t="s">
        <v>33</v>
      </c>
      <c r="D246" s="13" t="s">
        <v>35</v>
      </c>
      <c r="E246" s="13" t="s">
        <v>170</v>
      </c>
      <c r="F246" s="10">
        <v>0.26</v>
      </c>
      <c r="G246" s="10">
        <v>0.36</v>
      </c>
      <c r="H246" s="11">
        <v>0.314</v>
      </c>
      <c r="I246" s="10">
        <v>0.39</v>
      </c>
      <c r="J246" s="10">
        <v>1.46</v>
      </c>
      <c r="K246" s="10">
        <v>0.97</v>
      </c>
      <c r="L246" s="13">
        <v>0</v>
      </c>
      <c r="M246" s="10">
        <v>64.400000000000006</v>
      </c>
      <c r="N246" s="13" t="s">
        <v>34</v>
      </c>
      <c r="O246" s="10">
        <v>0.87</v>
      </c>
      <c r="P246" s="10">
        <v>0.55000000000000004</v>
      </c>
      <c r="Q246" s="13" t="s">
        <v>34</v>
      </c>
      <c r="R246" s="13">
        <v>2.65</v>
      </c>
      <c r="S246" s="10">
        <f t="shared" ref="S246:S253" si="4">3.2*10^-4</f>
        <v>3.2000000000000003E-4</v>
      </c>
      <c r="T246" s="10" t="s">
        <v>49</v>
      </c>
      <c r="U246" s="10" t="s">
        <v>199</v>
      </c>
      <c r="V246" s="13" t="s">
        <v>162</v>
      </c>
      <c r="W246" s="10" t="s">
        <v>34</v>
      </c>
      <c r="X246" s="13">
        <v>0.3</v>
      </c>
      <c r="Y246" s="13">
        <v>1</v>
      </c>
      <c r="Z246" s="13" t="s">
        <v>200</v>
      </c>
      <c r="AA246" s="13">
        <v>0.3</v>
      </c>
      <c r="AB246" s="13" t="s">
        <v>34</v>
      </c>
      <c r="AC246" s="13" t="s">
        <v>40</v>
      </c>
      <c r="AD246" s="13" t="s">
        <v>32</v>
      </c>
      <c r="AE246" s="13">
        <v>0.76649999999999996</v>
      </c>
      <c r="AF246" s="13" t="s">
        <v>201</v>
      </c>
      <c r="AG246" s="13">
        <v>2020</v>
      </c>
      <c r="AH246" s="13" t="s">
        <v>202</v>
      </c>
      <c r="AI246" s="2">
        <v>50</v>
      </c>
      <c r="AJ246" s="2">
        <v>2</v>
      </c>
      <c r="AK246" s="2" t="s">
        <v>34</v>
      </c>
    </row>
    <row r="247" spans="1:37" x14ac:dyDescent="0.3">
      <c r="A247" s="11">
        <v>2.31051344743276</v>
      </c>
      <c r="B247" s="11">
        <v>397.99002984924601</v>
      </c>
      <c r="C247" s="13" t="s">
        <v>33</v>
      </c>
      <c r="D247" s="13" t="s">
        <v>35</v>
      </c>
      <c r="E247" s="13" t="s">
        <v>170</v>
      </c>
      <c r="F247" s="10">
        <v>0.26</v>
      </c>
      <c r="G247" s="10">
        <v>0.36</v>
      </c>
      <c r="H247" s="11">
        <v>0.314</v>
      </c>
      <c r="I247" s="10">
        <v>0.39</v>
      </c>
      <c r="J247" s="10">
        <v>1.46</v>
      </c>
      <c r="K247" s="10">
        <v>0.97</v>
      </c>
      <c r="L247" s="13">
        <v>0</v>
      </c>
      <c r="M247" s="10">
        <v>64.400000000000006</v>
      </c>
      <c r="N247" s="13" t="s">
        <v>34</v>
      </c>
      <c r="O247" s="10">
        <v>0.87</v>
      </c>
      <c r="P247" s="10">
        <v>0.55000000000000004</v>
      </c>
      <c r="Q247" s="13" t="s">
        <v>34</v>
      </c>
      <c r="R247" s="13">
        <v>2.65</v>
      </c>
      <c r="S247" s="10">
        <f t="shared" si="4"/>
        <v>3.2000000000000003E-4</v>
      </c>
      <c r="T247" s="10" t="s">
        <v>49</v>
      </c>
      <c r="U247" s="10" t="s">
        <v>199</v>
      </c>
      <c r="V247" s="13" t="s">
        <v>162</v>
      </c>
      <c r="W247" s="10" t="s">
        <v>34</v>
      </c>
      <c r="X247" s="13">
        <v>0.3</v>
      </c>
      <c r="Y247" s="13">
        <v>1</v>
      </c>
      <c r="Z247" s="13" t="s">
        <v>200</v>
      </c>
      <c r="AA247" s="13">
        <v>0.3</v>
      </c>
      <c r="AB247" s="13" t="s">
        <v>34</v>
      </c>
      <c r="AC247" s="13" t="s">
        <v>40</v>
      </c>
      <c r="AD247" s="13" t="s">
        <v>32</v>
      </c>
      <c r="AE247" s="13">
        <v>0.76649999999999996</v>
      </c>
      <c r="AF247" s="13" t="s">
        <v>201</v>
      </c>
      <c r="AG247" s="13">
        <v>2020</v>
      </c>
      <c r="AH247" s="13" t="s">
        <v>202</v>
      </c>
      <c r="AI247" s="2">
        <v>50</v>
      </c>
      <c r="AJ247" s="2">
        <v>2</v>
      </c>
      <c r="AK247" s="2" t="s">
        <v>34</v>
      </c>
    </row>
    <row r="248" spans="1:37" x14ac:dyDescent="0.3">
      <c r="A248" s="11">
        <v>2.4474327628361801</v>
      </c>
      <c r="B248" s="11">
        <v>381.90962864321602</v>
      </c>
      <c r="C248" s="13" t="s">
        <v>33</v>
      </c>
      <c r="D248" s="13" t="s">
        <v>35</v>
      </c>
      <c r="E248" s="13" t="s">
        <v>170</v>
      </c>
      <c r="F248" s="10">
        <v>0.26</v>
      </c>
      <c r="G248" s="10">
        <v>0.36</v>
      </c>
      <c r="H248" s="11">
        <v>0.314</v>
      </c>
      <c r="I248" s="10">
        <v>0.39</v>
      </c>
      <c r="J248" s="10">
        <v>1.46</v>
      </c>
      <c r="K248" s="10">
        <v>0.97</v>
      </c>
      <c r="L248" s="13">
        <v>0</v>
      </c>
      <c r="M248" s="10">
        <v>64.400000000000006</v>
      </c>
      <c r="N248" s="13" t="s">
        <v>34</v>
      </c>
      <c r="O248" s="10">
        <v>0.87</v>
      </c>
      <c r="P248" s="10">
        <v>0.55000000000000004</v>
      </c>
      <c r="Q248" s="13" t="s">
        <v>34</v>
      </c>
      <c r="R248" s="13">
        <v>2.65</v>
      </c>
      <c r="S248" s="10">
        <f t="shared" si="4"/>
        <v>3.2000000000000003E-4</v>
      </c>
      <c r="T248" s="10" t="s">
        <v>49</v>
      </c>
      <c r="U248" s="10" t="s">
        <v>199</v>
      </c>
      <c r="V248" s="13" t="s">
        <v>162</v>
      </c>
      <c r="W248" s="10" t="s">
        <v>34</v>
      </c>
      <c r="X248" s="13">
        <v>0.3</v>
      </c>
      <c r="Y248" s="13">
        <v>1</v>
      </c>
      <c r="Z248" s="13" t="s">
        <v>200</v>
      </c>
      <c r="AA248" s="13">
        <v>0.3</v>
      </c>
      <c r="AB248" s="13" t="s">
        <v>34</v>
      </c>
      <c r="AC248" s="13" t="s">
        <v>40</v>
      </c>
      <c r="AD248" s="13" t="s">
        <v>32</v>
      </c>
      <c r="AE248" s="13">
        <v>0.76649999999999996</v>
      </c>
      <c r="AF248" s="13" t="s">
        <v>201</v>
      </c>
      <c r="AG248" s="13">
        <v>2020</v>
      </c>
      <c r="AH248" s="13" t="s">
        <v>202</v>
      </c>
      <c r="AI248" s="2">
        <v>50</v>
      </c>
      <c r="AJ248" s="2">
        <v>2</v>
      </c>
      <c r="AK248" s="2" t="s">
        <v>34</v>
      </c>
    </row>
    <row r="249" spans="1:37" x14ac:dyDescent="0.3">
      <c r="A249" s="11">
        <v>3.1919315403422899</v>
      </c>
      <c r="B249" s="11">
        <v>524.62318934673397</v>
      </c>
      <c r="C249" s="13" t="s">
        <v>33</v>
      </c>
      <c r="D249" s="13" t="s">
        <v>35</v>
      </c>
      <c r="E249" s="13" t="s">
        <v>170</v>
      </c>
      <c r="F249" s="10">
        <v>0.26</v>
      </c>
      <c r="G249" s="10">
        <v>0.36</v>
      </c>
      <c r="H249" s="11">
        <v>0.314</v>
      </c>
      <c r="I249" s="10">
        <v>0.39</v>
      </c>
      <c r="J249" s="10">
        <v>1.46</v>
      </c>
      <c r="K249" s="10">
        <v>0.97</v>
      </c>
      <c r="L249" s="13">
        <v>0</v>
      </c>
      <c r="M249" s="10">
        <v>64.400000000000006</v>
      </c>
      <c r="N249" s="13" t="s">
        <v>34</v>
      </c>
      <c r="O249" s="10">
        <v>0.87</v>
      </c>
      <c r="P249" s="10">
        <v>0.55000000000000004</v>
      </c>
      <c r="Q249" s="13" t="s">
        <v>34</v>
      </c>
      <c r="R249" s="13">
        <v>2.65</v>
      </c>
      <c r="S249" s="10">
        <f t="shared" si="4"/>
        <v>3.2000000000000003E-4</v>
      </c>
      <c r="T249" s="10" t="s">
        <v>49</v>
      </c>
      <c r="U249" s="10" t="s">
        <v>199</v>
      </c>
      <c r="V249" s="13" t="s">
        <v>162</v>
      </c>
      <c r="W249" s="10" t="s">
        <v>34</v>
      </c>
      <c r="X249" s="13">
        <v>0.3</v>
      </c>
      <c r="Y249" s="13">
        <v>1</v>
      </c>
      <c r="Z249" s="13" t="s">
        <v>200</v>
      </c>
      <c r="AA249" s="13">
        <v>0.3</v>
      </c>
      <c r="AB249" s="13" t="s">
        <v>34</v>
      </c>
      <c r="AC249" s="13" t="s">
        <v>40</v>
      </c>
      <c r="AD249" s="13" t="s">
        <v>32</v>
      </c>
      <c r="AE249" s="13">
        <v>0.76649999999999996</v>
      </c>
      <c r="AF249" s="13" t="s">
        <v>201</v>
      </c>
      <c r="AG249" s="13">
        <v>2020</v>
      </c>
      <c r="AH249" s="13" t="s">
        <v>202</v>
      </c>
      <c r="AI249" s="2">
        <v>50</v>
      </c>
      <c r="AJ249" s="2">
        <v>2</v>
      </c>
      <c r="AK249" s="2" t="s">
        <v>34</v>
      </c>
    </row>
    <row r="250" spans="1:37" x14ac:dyDescent="0.3">
      <c r="A250" s="11">
        <v>3.70110024449877</v>
      </c>
      <c r="B250" s="11">
        <v>532.66338994974797</v>
      </c>
      <c r="C250" s="13" t="s">
        <v>33</v>
      </c>
      <c r="D250" s="13" t="s">
        <v>35</v>
      </c>
      <c r="E250" s="13" t="s">
        <v>170</v>
      </c>
      <c r="F250" s="10">
        <v>0.26</v>
      </c>
      <c r="G250" s="10">
        <v>0.36</v>
      </c>
      <c r="H250" s="11">
        <v>0.314</v>
      </c>
      <c r="I250" s="10">
        <v>0.39</v>
      </c>
      <c r="J250" s="10">
        <v>1.46</v>
      </c>
      <c r="K250" s="10">
        <v>0.97</v>
      </c>
      <c r="L250" s="13">
        <v>0</v>
      </c>
      <c r="M250" s="10">
        <v>64.400000000000006</v>
      </c>
      <c r="N250" s="13" t="s">
        <v>34</v>
      </c>
      <c r="O250" s="10">
        <v>0.87</v>
      </c>
      <c r="P250" s="10">
        <v>0.55000000000000004</v>
      </c>
      <c r="Q250" s="13" t="s">
        <v>34</v>
      </c>
      <c r="R250" s="13">
        <v>2.65</v>
      </c>
      <c r="S250" s="10">
        <f t="shared" si="4"/>
        <v>3.2000000000000003E-4</v>
      </c>
      <c r="T250" s="10" t="s">
        <v>49</v>
      </c>
      <c r="U250" s="10" t="s">
        <v>199</v>
      </c>
      <c r="V250" s="13" t="s">
        <v>162</v>
      </c>
      <c r="W250" s="10" t="s">
        <v>34</v>
      </c>
      <c r="X250" s="13">
        <v>0.3</v>
      </c>
      <c r="Y250" s="13">
        <v>1</v>
      </c>
      <c r="Z250" s="13" t="s">
        <v>200</v>
      </c>
      <c r="AA250" s="13">
        <v>0.3</v>
      </c>
      <c r="AB250" s="13" t="s">
        <v>34</v>
      </c>
      <c r="AC250" s="13" t="s">
        <v>40</v>
      </c>
      <c r="AD250" s="13" t="s">
        <v>32</v>
      </c>
      <c r="AE250" s="13">
        <v>0.76649999999999996</v>
      </c>
      <c r="AF250" s="13" t="s">
        <v>201</v>
      </c>
      <c r="AG250" s="13">
        <v>2020</v>
      </c>
      <c r="AH250" s="13" t="s">
        <v>202</v>
      </c>
      <c r="AI250" s="2">
        <v>50</v>
      </c>
      <c r="AJ250" s="2">
        <v>2</v>
      </c>
      <c r="AK250" s="2" t="s">
        <v>34</v>
      </c>
    </row>
    <row r="251" spans="1:37" x14ac:dyDescent="0.3">
      <c r="A251" s="11">
        <v>5.1900977995110003</v>
      </c>
      <c r="B251" s="11">
        <v>693.46740201005002</v>
      </c>
      <c r="C251" s="13" t="s">
        <v>33</v>
      </c>
      <c r="D251" s="13" t="s">
        <v>35</v>
      </c>
      <c r="E251" s="13" t="s">
        <v>170</v>
      </c>
      <c r="F251" s="10">
        <v>0.26</v>
      </c>
      <c r="G251" s="10">
        <v>0.36</v>
      </c>
      <c r="H251" s="11">
        <v>0.314</v>
      </c>
      <c r="I251" s="10">
        <v>0.39</v>
      </c>
      <c r="J251" s="10">
        <v>1.46</v>
      </c>
      <c r="K251" s="10">
        <v>0.97</v>
      </c>
      <c r="L251" s="13">
        <v>0</v>
      </c>
      <c r="M251" s="10">
        <v>64.400000000000006</v>
      </c>
      <c r="N251" s="13" t="s">
        <v>34</v>
      </c>
      <c r="O251" s="10">
        <v>0.87</v>
      </c>
      <c r="P251" s="10">
        <v>0.55000000000000004</v>
      </c>
      <c r="Q251" s="13" t="s">
        <v>34</v>
      </c>
      <c r="R251" s="13">
        <v>2.65</v>
      </c>
      <c r="S251" s="10">
        <f t="shared" si="4"/>
        <v>3.2000000000000003E-4</v>
      </c>
      <c r="T251" s="10" t="s">
        <v>49</v>
      </c>
      <c r="U251" s="10" t="s">
        <v>199</v>
      </c>
      <c r="V251" s="13" t="s">
        <v>162</v>
      </c>
      <c r="W251" s="10" t="s">
        <v>34</v>
      </c>
      <c r="X251" s="13">
        <v>0.3</v>
      </c>
      <c r="Y251" s="13">
        <v>1</v>
      </c>
      <c r="Z251" s="13" t="s">
        <v>200</v>
      </c>
      <c r="AA251" s="13">
        <v>0.3</v>
      </c>
      <c r="AB251" s="13" t="s">
        <v>34</v>
      </c>
      <c r="AC251" s="13" t="s">
        <v>40</v>
      </c>
      <c r="AD251" s="13" t="s">
        <v>32</v>
      </c>
      <c r="AE251" s="13">
        <v>0.76649999999999996</v>
      </c>
      <c r="AF251" s="13" t="s">
        <v>201</v>
      </c>
      <c r="AG251" s="13">
        <v>2020</v>
      </c>
      <c r="AH251" s="13" t="s">
        <v>202</v>
      </c>
      <c r="AI251" s="2">
        <v>50</v>
      </c>
      <c r="AJ251" s="2">
        <v>2</v>
      </c>
      <c r="AK251" s="2" t="s">
        <v>34</v>
      </c>
    </row>
    <row r="252" spans="1:37" x14ac:dyDescent="0.3">
      <c r="A252" s="11">
        <v>6.0501222493887497</v>
      </c>
      <c r="B252" s="11">
        <v>818.09051135678396</v>
      </c>
      <c r="C252" s="13" t="s">
        <v>33</v>
      </c>
      <c r="D252" s="13" t="s">
        <v>35</v>
      </c>
      <c r="E252" s="13" t="s">
        <v>170</v>
      </c>
      <c r="F252" s="10">
        <v>0.26</v>
      </c>
      <c r="G252" s="10">
        <v>0.36</v>
      </c>
      <c r="H252" s="11">
        <v>0.314</v>
      </c>
      <c r="I252" s="10">
        <v>0.39</v>
      </c>
      <c r="J252" s="10">
        <v>1.46</v>
      </c>
      <c r="K252" s="10">
        <v>0.97</v>
      </c>
      <c r="L252" s="13">
        <v>0</v>
      </c>
      <c r="M252" s="10">
        <v>64.400000000000006</v>
      </c>
      <c r="N252" s="13" t="s">
        <v>34</v>
      </c>
      <c r="O252" s="10">
        <v>0.87</v>
      </c>
      <c r="P252" s="10">
        <v>0.55000000000000004</v>
      </c>
      <c r="Q252" s="13" t="s">
        <v>34</v>
      </c>
      <c r="R252" s="13">
        <v>2.65</v>
      </c>
      <c r="S252" s="10">
        <f t="shared" si="4"/>
        <v>3.2000000000000003E-4</v>
      </c>
      <c r="T252" s="10" t="s">
        <v>49</v>
      </c>
      <c r="U252" s="10" t="s">
        <v>199</v>
      </c>
      <c r="V252" s="13" t="s">
        <v>162</v>
      </c>
      <c r="W252" s="10" t="s">
        <v>34</v>
      </c>
      <c r="X252" s="13">
        <v>0.3</v>
      </c>
      <c r="Y252" s="13">
        <v>1</v>
      </c>
      <c r="Z252" s="13" t="s">
        <v>200</v>
      </c>
      <c r="AA252" s="13">
        <v>0.3</v>
      </c>
      <c r="AB252" s="13" t="s">
        <v>34</v>
      </c>
      <c r="AC252" s="13" t="s">
        <v>40</v>
      </c>
      <c r="AD252" s="13" t="s">
        <v>32</v>
      </c>
      <c r="AE252" s="13">
        <v>0.76649999999999996</v>
      </c>
      <c r="AF252" s="13" t="s">
        <v>201</v>
      </c>
      <c r="AG252" s="13">
        <v>2020</v>
      </c>
      <c r="AH252" s="13" t="s">
        <v>202</v>
      </c>
      <c r="AI252" s="2">
        <v>50</v>
      </c>
      <c r="AJ252" s="2">
        <v>2</v>
      </c>
      <c r="AK252" s="2" t="s">
        <v>34</v>
      </c>
    </row>
    <row r="253" spans="1:37" s="15" customFormat="1" ht="16.2" thickBot="1" x14ac:dyDescent="0.35">
      <c r="A253" s="17">
        <v>6.5165036674816603</v>
      </c>
      <c r="B253" s="17">
        <v>882.41211618090404</v>
      </c>
      <c r="C253" s="18" t="s">
        <v>33</v>
      </c>
      <c r="D253" s="18" t="s">
        <v>35</v>
      </c>
      <c r="E253" s="18" t="s">
        <v>170</v>
      </c>
      <c r="F253" s="14">
        <v>0.26</v>
      </c>
      <c r="G253" s="14">
        <v>0.36</v>
      </c>
      <c r="H253" s="17">
        <v>0.314</v>
      </c>
      <c r="I253" s="14">
        <v>0.39</v>
      </c>
      <c r="J253" s="14">
        <v>1.46</v>
      </c>
      <c r="K253" s="14">
        <v>0.97</v>
      </c>
      <c r="L253" s="18">
        <v>0</v>
      </c>
      <c r="M253" s="14">
        <v>64.400000000000006</v>
      </c>
      <c r="N253" s="14" t="s">
        <v>34</v>
      </c>
      <c r="O253" s="14">
        <v>0.87</v>
      </c>
      <c r="P253" s="14">
        <v>0.55000000000000004</v>
      </c>
      <c r="Q253" s="14" t="s">
        <v>34</v>
      </c>
      <c r="R253" s="18">
        <v>2.65</v>
      </c>
      <c r="S253" s="14">
        <f t="shared" si="4"/>
        <v>3.2000000000000003E-4</v>
      </c>
      <c r="T253" s="14" t="s">
        <v>49</v>
      </c>
      <c r="U253" s="14" t="s">
        <v>199</v>
      </c>
      <c r="V253" s="18" t="s">
        <v>162</v>
      </c>
      <c r="W253" s="14" t="s">
        <v>34</v>
      </c>
      <c r="X253" s="18">
        <v>0.3</v>
      </c>
      <c r="Y253" s="18">
        <v>1</v>
      </c>
      <c r="Z253" s="18" t="s">
        <v>200</v>
      </c>
      <c r="AA253" s="18">
        <v>0.3</v>
      </c>
      <c r="AB253" s="18" t="s">
        <v>34</v>
      </c>
      <c r="AC253" s="18" t="s">
        <v>40</v>
      </c>
      <c r="AD253" s="18" t="s">
        <v>32</v>
      </c>
      <c r="AE253" s="18">
        <v>0.76649999999999996</v>
      </c>
      <c r="AF253" s="18" t="s">
        <v>201</v>
      </c>
      <c r="AG253" s="18">
        <v>2020</v>
      </c>
      <c r="AH253" s="18" t="s">
        <v>202</v>
      </c>
      <c r="AI253" s="62">
        <v>50</v>
      </c>
      <c r="AJ253" s="34">
        <v>2</v>
      </c>
      <c r="AK253" s="34" t="s">
        <v>34</v>
      </c>
    </row>
    <row r="254" spans="1:37" x14ac:dyDescent="0.3">
      <c r="A254" s="12">
        <v>3</v>
      </c>
      <c r="B254" s="12">
        <v>53.594771241830003</v>
      </c>
      <c r="C254" s="13" t="s">
        <v>33</v>
      </c>
      <c r="D254" s="13" t="s">
        <v>35</v>
      </c>
      <c r="E254" s="13" t="s">
        <v>170</v>
      </c>
      <c r="F254" s="13">
        <v>0.25</v>
      </c>
      <c r="G254" s="13">
        <v>0.72</v>
      </c>
      <c r="H254" s="13">
        <v>0.44</v>
      </c>
      <c r="I254" s="13">
        <v>0.98</v>
      </c>
      <c r="J254" s="13">
        <v>3.92</v>
      </c>
      <c r="K254" s="12">
        <v>0.7902040816326531</v>
      </c>
      <c r="L254" s="13">
        <v>0</v>
      </c>
      <c r="M254" s="13">
        <v>20</v>
      </c>
      <c r="N254" s="13" t="s">
        <v>34</v>
      </c>
      <c r="O254" s="13">
        <v>0.74</v>
      </c>
      <c r="P254" s="13">
        <v>0.43</v>
      </c>
      <c r="Q254" s="13" t="s">
        <v>34</v>
      </c>
      <c r="R254" s="13" t="s">
        <v>34</v>
      </c>
      <c r="S254" s="13" t="s">
        <v>34</v>
      </c>
      <c r="T254" s="13" t="s">
        <v>49</v>
      </c>
      <c r="U254" s="13" t="s">
        <v>204</v>
      </c>
      <c r="V254" s="13" t="s">
        <v>162</v>
      </c>
      <c r="W254" s="13">
        <v>2</v>
      </c>
      <c r="X254" s="13">
        <v>1</v>
      </c>
      <c r="Y254" s="13">
        <v>1.5</v>
      </c>
      <c r="Z254" s="13" t="s">
        <v>204</v>
      </c>
      <c r="AA254" s="13">
        <v>0.19800000000000001</v>
      </c>
      <c r="AB254" s="13" t="s">
        <v>34</v>
      </c>
      <c r="AC254" s="13" t="s">
        <v>203</v>
      </c>
      <c r="AD254" s="13" t="s">
        <v>32</v>
      </c>
      <c r="AE254" s="13">
        <v>0.70120000000000005</v>
      </c>
      <c r="AF254" s="13" t="s">
        <v>205</v>
      </c>
      <c r="AG254" s="13">
        <v>2021</v>
      </c>
      <c r="AH254" s="13" t="s">
        <v>206</v>
      </c>
      <c r="AI254" s="2" t="s">
        <v>43</v>
      </c>
      <c r="AJ254" s="2" t="s">
        <v>43</v>
      </c>
      <c r="AK254" s="2" t="s">
        <v>43</v>
      </c>
    </row>
    <row r="255" spans="1:37" x14ac:dyDescent="0.3">
      <c r="A255" s="11">
        <v>4.3</v>
      </c>
      <c r="B255" s="11">
        <v>223.529411764705</v>
      </c>
      <c r="C255" s="10" t="s">
        <v>33</v>
      </c>
      <c r="D255" s="13" t="s">
        <v>35</v>
      </c>
      <c r="E255" s="13" t="s">
        <v>170</v>
      </c>
      <c r="F255" s="10">
        <v>0.25</v>
      </c>
      <c r="G255" s="10">
        <v>0.72</v>
      </c>
      <c r="H255" s="13">
        <v>0.44</v>
      </c>
      <c r="I255" s="13">
        <v>0.98</v>
      </c>
      <c r="J255" s="13">
        <v>3.92</v>
      </c>
      <c r="K255" s="12">
        <v>0.7902040816326531</v>
      </c>
      <c r="L255" s="13">
        <v>0</v>
      </c>
      <c r="M255" s="13">
        <v>20</v>
      </c>
      <c r="N255" s="13" t="s">
        <v>34</v>
      </c>
      <c r="O255" s="13">
        <v>0.74</v>
      </c>
      <c r="P255" s="13">
        <v>0.43</v>
      </c>
      <c r="Q255" s="13" t="s">
        <v>34</v>
      </c>
      <c r="R255" s="13" t="s">
        <v>34</v>
      </c>
      <c r="S255" s="13" t="s">
        <v>34</v>
      </c>
      <c r="T255" s="13" t="s">
        <v>49</v>
      </c>
      <c r="U255" s="13" t="s">
        <v>204</v>
      </c>
      <c r="V255" s="13" t="s">
        <v>162</v>
      </c>
      <c r="W255" s="10">
        <v>3</v>
      </c>
      <c r="X255" s="10">
        <v>1</v>
      </c>
      <c r="Y255" s="10">
        <v>1.5</v>
      </c>
      <c r="Z255" s="13" t="s">
        <v>204</v>
      </c>
      <c r="AA255" s="10">
        <v>0.19800000000000001</v>
      </c>
      <c r="AB255" s="13" t="s">
        <v>34</v>
      </c>
      <c r="AC255" s="13" t="s">
        <v>203</v>
      </c>
      <c r="AD255" s="13" t="s">
        <v>32</v>
      </c>
      <c r="AE255" s="13">
        <v>0.70120000000000005</v>
      </c>
      <c r="AF255" s="13" t="s">
        <v>205</v>
      </c>
      <c r="AG255" s="13">
        <v>2021</v>
      </c>
      <c r="AH255" s="13" t="s">
        <v>206</v>
      </c>
      <c r="AI255" s="60" t="s">
        <v>43</v>
      </c>
      <c r="AJ255" s="59" t="s">
        <v>43</v>
      </c>
      <c r="AK255" s="59" t="s">
        <v>43</v>
      </c>
    </row>
    <row r="256" spans="1:37" x14ac:dyDescent="0.3">
      <c r="A256" s="11">
        <v>6.3</v>
      </c>
      <c r="B256" s="11">
        <v>372.54901960784298</v>
      </c>
      <c r="C256" s="10" t="s">
        <v>33</v>
      </c>
      <c r="D256" s="13" t="s">
        <v>35</v>
      </c>
      <c r="E256" s="13" t="s">
        <v>170</v>
      </c>
      <c r="F256" s="10">
        <v>0.25</v>
      </c>
      <c r="G256" s="10">
        <v>0.72</v>
      </c>
      <c r="H256" s="13">
        <v>0.44</v>
      </c>
      <c r="I256" s="13">
        <v>0.98</v>
      </c>
      <c r="J256" s="13">
        <v>3.92</v>
      </c>
      <c r="K256" s="12">
        <v>0.7902040816326531</v>
      </c>
      <c r="L256" s="13">
        <v>0</v>
      </c>
      <c r="M256" s="13">
        <v>20</v>
      </c>
      <c r="N256" s="13" t="s">
        <v>34</v>
      </c>
      <c r="O256" s="13">
        <v>0.74</v>
      </c>
      <c r="P256" s="13">
        <v>0.43</v>
      </c>
      <c r="Q256" s="13" t="s">
        <v>34</v>
      </c>
      <c r="R256" s="13" t="s">
        <v>34</v>
      </c>
      <c r="S256" s="13" t="s">
        <v>34</v>
      </c>
      <c r="T256" s="13" t="s">
        <v>49</v>
      </c>
      <c r="U256" s="13" t="s">
        <v>204</v>
      </c>
      <c r="V256" s="13" t="s">
        <v>162</v>
      </c>
      <c r="W256" s="10">
        <v>4</v>
      </c>
      <c r="X256" s="10">
        <v>1</v>
      </c>
      <c r="Y256" s="10">
        <v>1.5</v>
      </c>
      <c r="Z256" s="13" t="s">
        <v>204</v>
      </c>
      <c r="AA256" s="10">
        <v>0.19800000000000001</v>
      </c>
      <c r="AB256" s="13" t="s">
        <v>34</v>
      </c>
      <c r="AC256" s="13" t="s">
        <v>203</v>
      </c>
      <c r="AD256" s="13" t="s">
        <v>32</v>
      </c>
      <c r="AE256" s="13">
        <v>0.70120000000000005</v>
      </c>
      <c r="AF256" s="13" t="s">
        <v>205</v>
      </c>
      <c r="AG256" s="13">
        <v>2021</v>
      </c>
      <c r="AH256" s="13" t="s">
        <v>206</v>
      </c>
      <c r="AI256" s="57" t="s">
        <v>43</v>
      </c>
      <c r="AJ256" s="2" t="s">
        <v>43</v>
      </c>
      <c r="AK256" s="2" t="s">
        <v>43</v>
      </c>
    </row>
    <row r="257" spans="1:37" x14ac:dyDescent="0.3">
      <c r="A257" s="11">
        <v>4.0999999999999996</v>
      </c>
      <c r="B257" s="11">
        <v>100.653594771241</v>
      </c>
      <c r="C257" s="10" t="s">
        <v>33</v>
      </c>
      <c r="D257" s="13" t="s">
        <v>35</v>
      </c>
      <c r="E257" s="13" t="s">
        <v>170</v>
      </c>
      <c r="F257" s="10">
        <v>0.25</v>
      </c>
      <c r="G257" s="10">
        <v>0.72</v>
      </c>
      <c r="H257" s="13">
        <v>0.44</v>
      </c>
      <c r="I257" s="13">
        <v>0.98</v>
      </c>
      <c r="J257" s="13">
        <v>3.92</v>
      </c>
      <c r="K257" s="12">
        <v>0.7902040816326531</v>
      </c>
      <c r="L257" s="13">
        <v>0</v>
      </c>
      <c r="M257" s="13">
        <v>20</v>
      </c>
      <c r="N257" s="13" t="s">
        <v>34</v>
      </c>
      <c r="O257" s="13">
        <v>0.74</v>
      </c>
      <c r="P257" s="13">
        <v>0.43</v>
      </c>
      <c r="Q257" s="13" t="s">
        <v>34</v>
      </c>
      <c r="R257" s="13" t="s">
        <v>34</v>
      </c>
      <c r="S257" s="13" t="s">
        <v>34</v>
      </c>
      <c r="T257" s="13" t="s">
        <v>49</v>
      </c>
      <c r="U257" s="13" t="s">
        <v>204</v>
      </c>
      <c r="V257" s="13" t="s">
        <v>162</v>
      </c>
      <c r="W257" s="10">
        <v>2</v>
      </c>
      <c r="X257" s="10">
        <v>1.5</v>
      </c>
      <c r="Y257" s="10">
        <v>1.5</v>
      </c>
      <c r="Z257" s="13" t="s">
        <v>204</v>
      </c>
      <c r="AA257" s="10">
        <v>0.29699999999999999</v>
      </c>
      <c r="AB257" s="13" t="s">
        <v>34</v>
      </c>
      <c r="AC257" s="13" t="s">
        <v>203</v>
      </c>
      <c r="AD257" s="13" t="s">
        <v>32</v>
      </c>
      <c r="AE257" s="13">
        <v>0.70120000000000005</v>
      </c>
      <c r="AF257" s="13" t="s">
        <v>205</v>
      </c>
      <c r="AG257" s="13">
        <v>2021</v>
      </c>
      <c r="AH257" s="13" t="s">
        <v>206</v>
      </c>
      <c r="AI257" s="57" t="s">
        <v>43</v>
      </c>
      <c r="AJ257" s="2" t="s">
        <v>43</v>
      </c>
      <c r="AK257" s="2" t="s">
        <v>43</v>
      </c>
    </row>
    <row r="258" spans="1:37" x14ac:dyDescent="0.3">
      <c r="A258" s="11">
        <v>5.4</v>
      </c>
      <c r="B258" s="11">
        <v>662.74509803921501</v>
      </c>
      <c r="C258" s="10" t="s">
        <v>33</v>
      </c>
      <c r="D258" s="13" t="s">
        <v>35</v>
      </c>
      <c r="E258" s="13" t="s">
        <v>170</v>
      </c>
      <c r="F258" s="10">
        <v>0.25</v>
      </c>
      <c r="G258" s="10">
        <v>0.72</v>
      </c>
      <c r="H258" s="13">
        <v>0.44</v>
      </c>
      <c r="I258" s="13">
        <v>0.98</v>
      </c>
      <c r="J258" s="13">
        <v>3.92</v>
      </c>
      <c r="K258" s="12">
        <v>0.7902040816326531</v>
      </c>
      <c r="L258" s="13">
        <v>0</v>
      </c>
      <c r="M258" s="13">
        <v>20</v>
      </c>
      <c r="N258" s="13" t="s">
        <v>34</v>
      </c>
      <c r="O258" s="13">
        <v>0.74</v>
      </c>
      <c r="P258" s="13">
        <v>0.43</v>
      </c>
      <c r="Q258" s="13" t="s">
        <v>34</v>
      </c>
      <c r="R258" s="13" t="s">
        <v>34</v>
      </c>
      <c r="S258" s="13" t="s">
        <v>34</v>
      </c>
      <c r="T258" s="13" t="s">
        <v>49</v>
      </c>
      <c r="U258" s="13" t="s">
        <v>204</v>
      </c>
      <c r="V258" s="13" t="s">
        <v>162</v>
      </c>
      <c r="W258" s="10">
        <v>3</v>
      </c>
      <c r="X258" s="10">
        <v>1.5</v>
      </c>
      <c r="Y258" s="10">
        <v>1.5</v>
      </c>
      <c r="Z258" s="13" t="s">
        <v>204</v>
      </c>
      <c r="AA258" s="10">
        <v>0.29699999999999999</v>
      </c>
      <c r="AB258" s="13" t="s">
        <v>34</v>
      </c>
      <c r="AC258" s="13" t="s">
        <v>203</v>
      </c>
      <c r="AD258" s="13" t="s">
        <v>32</v>
      </c>
      <c r="AE258" s="13">
        <v>0.70120000000000005</v>
      </c>
      <c r="AF258" s="13" t="s">
        <v>205</v>
      </c>
      <c r="AG258" s="13">
        <v>2021</v>
      </c>
      <c r="AH258" s="13" t="s">
        <v>206</v>
      </c>
      <c r="AI258" s="57" t="s">
        <v>43</v>
      </c>
      <c r="AJ258" s="2" t="s">
        <v>43</v>
      </c>
      <c r="AK258" s="2" t="s">
        <v>43</v>
      </c>
    </row>
    <row r="259" spans="1:37" s="15" customFormat="1" ht="16.2" thickBot="1" x14ac:dyDescent="0.35">
      <c r="A259" s="17">
        <v>6.9</v>
      </c>
      <c r="B259" s="17">
        <v>792.15686274509801</v>
      </c>
      <c r="C259" s="14" t="s">
        <v>33</v>
      </c>
      <c r="D259" s="18" t="s">
        <v>35</v>
      </c>
      <c r="E259" s="18" t="s">
        <v>170</v>
      </c>
      <c r="F259" s="14">
        <v>0.25</v>
      </c>
      <c r="G259" s="14">
        <v>0.72</v>
      </c>
      <c r="H259" s="18">
        <v>0.44</v>
      </c>
      <c r="I259" s="18">
        <v>0.98</v>
      </c>
      <c r="J259" s="18">
        <v>3.92</v>
      </c>
      <c r="K259" s="19">
        <v>0.7902040816326531</v>
      </c>
      <c r="L259" s="18">
        <v>0</v>
      </c>
      <c r="M259" s="18">
        <v>20</v>
      </c>
      <c r="N259" s="18" t="s">
        <v>34</v>
      </c>
      <c r="O259" s="18">
        <v>0.74</v>
      </c>
      <c r="P259" s="18">
        <v>0.43</v>
      </c>
      <c r="Q259" s="18" t="s">
        <v>34</v>
      </c>
      <c r="R259" s="18" t="s">
        <v>34</v>
      </c>
      <c r="S259" s="18" t="s">
        <v>34</v>
      </c>
      <c r="T259" s="18" t="s">
        <v>49</v>
      </c>
      <c r="U259" s="18" t="s">
        <v>204</v>
      </c>
      <c r="V259" s="18" t="s">
        <v>162</v>
      </c>
      <c r="W259" s="14">
        <v>4</v>
      </c>
      <c r="X259" s="14">
        <v>1.5</v>
      </c>
      <c r="Y259" s="14">
        <v>1.5</v>
      </c>
      <c r="Z259" s="18" t="s">
        <v>204</v>
      </c>
      <c r="AA259" s="14">
        <v>0.29699999999999999</v>
      </c>
      <c r="AB259" s="18" t="s">
        <v>34</v>
      </c>
      <c r="AC259" s="18" t="s">
        <v>203</v>
      </c>
      <c r="AD259" s="18" t="s">
        <v>32</v>
      </c>
      <c r="AE259" s="18">
        <v>0.70120000000000005</v>
      </c>
      <c r="AF259" s="18" t="s">
        <v>205</v>
      </c>
      <c r="AG259" s="18">
        <v>2021</v>
      </c>
      <c r="AH259" s="18" t="s">
        <v>206</v>
      </c>
      <c r="AI259" s="61" t="s">
        <v>43</v>
      </c>
      <c r="AJ259" s="15" t="s">
        <v>43</v>
      </c>
      <c r="AK259" s="15" t="s">
        <v>43</v>
      </c>
    </row>
    <row r="260" spans="1:37" s="30" customFormat="1" ht="16.2" thickBot="1" x14ac:dyDescent="0.35">
      <c r="A260" s="28">
        <v>2.9</v>
      </c>
      <c r="B260" s="28">
        <v>1330</v>
      </c>
      <c r="C260" s="29" t="s">
        <v>33</v>
      </c>
      <c r="D260" s="29" t="s">
        <v>47</v>
      </c>
      <c r="E260" s="29" t="s">
        <v>170</v>
      </c>
      <c r="F260" s="29">
        <v>0.26</v>
      </c>
      <c r="G260" s="29">
        <v>0.33</v>
      </c>
      <c r="H260" s="29">
        <v>0.28599999999999998</v>
      </c>
      <c r="I260" s="29">
        <v>0.35099999999999998</v>
      </c>
      <c r="J260" s="29">
        <v>1.35</v>
      </c>
      <c r="K260" s="29">
        <v>0.9</v>
      </c>
      <c r="L260" s="29" t="s">
        <v>34</v>
      </c>
      <c r="M260" s="29" t="s">
        <v>34</v>
      </c>
      <c r="N260" s="29" t="s">
        <v>34</v>
      </c>
      <c r="O260" s="29" t="s">
        <v>34</v>
      </c>
      <c r="P260" s="29" t="s">
        <v>34</v>
      </c>
      <c r="Q260" s="29" t="s">
        <v>34</v>
      </c>
      <c r="R260" s="29" t="s">
        <v>34</v>
      </c>
      <c r="S260" s="29" t="s">
        <v>34</v>
      </c>
      <c r="T260" s="29" t="s">
        <v>49</v>
      </c>
      <c r="U260" s="29" t="s">
        <v>50</v>
      </c>
      <c r="V260" s="29" t="s">
        <v>207</v>
      </c>
      <c r="W260" s="29" t="s">
        <v>34</v>
      </c>
      <c r="X260" s="29">
        <v>1</v>
      </c>
      <c r="Y260" s="29">
        <v>1.5</v>
      </c>
      <c r="Z260" s="29" t="s">
        <v>51</v>
      </c>
      <c r="AA260" s="29">
        <v>0.40699999999999997</v>
      </c>
      <c r="AB260" s="29" t="s">
        <v>34</v>
      </c>
      <c r="AC260" s="29" t="s">
        <v>40</v>
      </c>
      <c r="AD260" s="29" t="s">
        <v>32</v>
      </c>
      <c r="AE260" s="29" t="s">
        <v>34</v>
      </c>
      <c r="AF260" s="29" t="s">
        <v>208</v>
      </c>
      <c r="AG260" s="29">
        <v>2018</v>
      </c>
      <c r="AH260" s="29" t="s">
        <v>209</v>
      </c>
      <c r="AI260" s="30">
        <v>51</v>
      </c>
      <c r="AJ260" s="30" t="s">
        <v>43</v>
      </c>
      <c r="AK260" s="30">
        <v>1</v>
      </c>
    </row>
    <row r="261" spans="1:37" x14ac:dyDescent="0.3">
      <c r="A261" s="12">
        <v>1.1458733205374201</v>
      </c>
      <c r="B261" s="12">
        <v>116.182572614107</v>
      </c>
      <c r="C261" s="13" t="s">
        <v>33</v>
      </c>
      <c r="D261" s="13" t="s">
        <v>35</v>
      </c>
      <c r="E261" s="13" t="s">
        <v>170</v>
      </c>
      <c r="F261" s="13">
        <v>0.2</v>
      </c>
      <c r="G261" s="13">
        <v>0.36</v>
      </c>
      <c r="H261" s="13">
        <v>0.31900000000000001</v>
      </c>
      <c r="I261" s="13">
        <v>0.39300000000000002</v>
      </c>
      <c r="J261" s="13">
        <v>1.9650000000000001</v>
      </c>
      <c r="K261" s="13">
        <v>1.29</v>
      </c>
      <c r="L261" s="13">
        <v>0</v>
      </c>
      <c r="M261" s="13" t="s">
        <v>34</v>
      </c>
      <c r="N261" s="13">
        <v>1600</v>
      </c>
      <c r="O261" s="13" t="s">
        <v>34</v>
      </c>
      <c r="P261" s="13" t="s">
        <v>34</v>
      </c>
      <c r="Q261" s="13">
        <v>0</v>
      </c>
      <c r="R261" s="13">
        <v>2.65</v>
      </c>
      <c r="S261" s="13" t="s">
        <v>34</v>
      </c>
      <c r="T261" s="13" t="s">
        <v>49</v>
      </c>
      <c r="U261" s="13" t="s">
        <v>50</v>
      </c>
      <c r="V261" s="13" t="s">
        <v>207</v>
      </c>
      <c r="W261" s="13" t="s">
        <v>34</v>
      </c>
      <c r="X261" s="13">
        <v>1</v>
      </c>
      <c r="Y261" s="13">
        <v>1.5</v>
      </c>
      <c r="Z261" s="13" t="s">
        <v>177</v>
      </c>
      <c r="AA261" s="13">
        <v>0.13500000000000001</v>
      </c>
      <c r="AB261" s="13" t="s">
        <v>34</v>
      </c>
      <c r="AC261" s="13" t="s">
        <v>203</v>
      </c>
      <c r="AD261" s="13" t="s">
        <v>32</v>
      </c>
      <c r="AE261" s="13">
        <v>0.84240000000000004</v>
      </c>
      <c r="AF261" s="13" t="s">
        <v>210</v>
      </c>
      <c r="AG261" s="13">
        <v>2021</v>
      </c>
      <c r="AH261" s="13" t="s">
        <v>211</v>
      </c>
      <c r="AI261" s="2">
        <v>50</v>
      </c>
      <c r="AJ261" s="2">
        <v>2</v>
      </c>
      <c r="AK261" s="2">
        <v>0.5</v>
      </c>
    </row>
    <row r="262" spans="1:37" x14ac:dyDescent="0.3">
      <c r="A262" s="11">
        <v>1.0652591170825301</v>
      </c>
      <c r="B262" s="11">
        <v>188.796680497925</v>
      </c>
      <c r="C262" s="13" t="s">
        <v>33</v>
      </c>
      <c r="D262" s="13" t="s">
        <v>35</v>
      </c>
      <c r="E262" s="13" t="s">
        <v>170</v>
      </c>
      <c r="F262" s="13">
        <v>0.2</v>
      </c>
      <c r="G262" s="13">
        <v>0.36</v>
      </c>
      <c r="H262" s="13">
        <v>0.31900000000000001</v>
      </c>
      <c r="I262" s="13">
        <v>0.39300000000000002</v>
      </c>
      <c r="J262" s="13">
        <v>1.9650000000000001</v>
      </c>
      <c r="K262" s="13">
        <v>1.29</v>
      </c>
      <c r="L262" s="13">
        <v>0</v>
      </c>
      <c r="M262" s="13" t="s">
        <v>34</v>
      </c>
      <c r="N262" s="13">
        <v>1600</v>
      </c>
      <c r="O262" s="13" t="s">
        <v>34</v>
      </c>
      <c r="P262" s="13" t="s">
        <v>34</v>
      </c>
      <c r="Q262" s="13">
        <v>0</v>
      </c>
      <c r="R262" s="13">
        <v>2.65</v>
      </c>
      <c r="S262" s="13" t="s">
        <v>34</v>
      </c>
      <c r="T262" s="13" t="s">
        <v>49</v>
      </c>
      <c r="U262" s="13" t="s">
        <v>50</v>
      </c>
      <c r="V262" s="13" t="s">
        <v>207</v>
      </c>
      <c r="W262" s="13" t="s">
        <v>34</v>
      </c>
      <c r="X262" s="10">
        <v>1</v>
      </c>
      <c r="Y262" s="13">
        <v>1.5</v>
      </c>
      <c r="Z262" s="13" t="s">
        <v>177</v>
      </c>
      <c r="AA262" s="10">
        <v>0.13500000000000001</v>
      </c>
      <c r="AB262" s="13" t="s">
        <v>34</v>
      </c>
      <c r="AC262" s="13" t="s">
        <v>203</v>
      </c>
      <c r="AD262" s="13" t="s">
        <v>32</v>
      </c>
      <c r="AE262" s="13">
        <v>0.84240000000000004</v>
      </c>
      <c r="AF262" s="13" t="s">
        <v>210</v>
      </c>
      <c r="AG262" s="13">
        <v>2021</v>
      </c>
      <c r="AH262" s="13" t="s">
        <v>211</v>
      </c>
      <c r="AI262" s="2">
        <v>50</v>
      </c>
      <c r="AJ262" s="2">
        <v>2</v>
      </c>
      <c r="AK262" s="2">
        <v>0.5</v>
      </c>
    </row>
    <row r="263" spans="1:37" x14ac:dyDescent="0.3">
      <c r="A263" s="11">
        <v>1.08829174664107</v>
      </c>
      <c r="B263" s="11">
        <v>210.58091286307101</v>
      </c>
      <c r="C263" s="13" t="s">
        <v>33</v>
      </c>
      <c r="D263" s="13" t="s">
        <v>35</v>
      </c>
      <c r="E263" s="13" t="s">
        <v>170</v>
      </c>
      <c r="F263" s="13">
        <v>0.2</v>
      </c>
      <c r="G263" s="13">
        <v>0.36</v>
      </c>
      <c r="H263" s="13">
        <v>0.31900000000000001</v>
      </c>
      <c r="I263" s="13">
        <v>0.39300000000000002</v>
      </c>
      <c r="J263" s="13">
        <v>1.9650000000000001</v>
      </c>
      <c r="K263" s="13">
        <v>1.29</v>
      </c>
      <c r="L263" s="13">
        <v>0</v>
      </c>
      <c r="M263" s="13" t="s">
        <v>34</v>
      </c>
      <c r="N263" s="13">
        <v>1600</v>
      </c>
      <c r="O263" s="13" t="s">
        <v>34</v>
      </c>
      <c r="P263" s="13" t="s">
        <v>34</v>
      </c>
      <c r="Q263" s="13">
        <v>0</v>
      </c>
      <c r="R263" s="13">
        <v>2.65</v>
      </c>
      <c r="S263" s="13" t="s">
        <v>34</v>
      </c>
      <c r="T263" s="13" t="s">
        <v>49</v>
      </c>
      <c r="U263" s="13" t="s">
        <v>50</v>
      </c>
      <c r="V263" s="13" t="s">
        <v>207</v>
      </c>
      <c r="W263" s="13" t="s">
        <v>34</v>
      </c>
      <c r="X263" s="10">
        <v>1</v>
      </c>
      <c r="Y263" s="13">
        <v>1.5</v>
      </c>
      <c r="Z263" s="13" t="s">
        <v>177</v>
      </c>
      <c r="AA263" s="10">
        <v>0.13500000000000001</v>
      </c>
      <c r="AB263" s="13" t="s">
        <v>34</v>
      </c>
      <c r="AC263" s="13" t="s">
        <v>203</v>
      </c>
      <c r="AD263" s="13" t="s">
        <v>32</v>
      </c>
      <c r="AE263" s="13">
        <v>0.84240000000000004</v>
      </c>
      <c r="AF263" s="13" t="s">
        <v>210</v>
      </c>
      <c r="AG263" s="13">
        <v>2021</v>
      </c>
      <c r="AH263" s="13" t="s">
        <v>211</v>
      </c>
      <c r="AI263" s="2">
        <v>50</v>
      </c>
      <c r="AJ263" s="2">
        <v>2</v>
      </c>
      <c r="AK263" s="2">
        <v>0.5</v>
      </c>
    </row>
    <row r="264" spans="1:37" x14ac:dyDescent="0.3">
      <c r="A264" s="11">
        <v>1.20345489443378</v>
      </c>
      <c r="B264" s="11">
        <v>239.62655601659799</v>
      </c>
      <c r="C264" s="13" t="s">
        <v>33</v>
      </c>
      <c r="D264" s="13" t="s">
        <v>35</v>
      </c>
      <c r="E264" s="13" t="s">
        <v>170</v>
      </c>
      <c r="F264" s="13">
        <v>0.2</v>
      </c>
      <c r="G264" s="13">
        <v>0.36</v>
      </c>
      <c r="H264" s="13">
        <v>0.31900000000000001</v>
      </c>
      <c r="I264" s="13">
        <v>0.39300000000000002</v>
      </c>
      <c r="J264" s="13">
        <v>1.9650000000000001</v>
      </c>
      <c r="K264" s="13">
        <v>1.29</v>
      </c>
      <c r="L264" s="13">
        <v>0</v>
      </c>
      <c r="M264" s="13" t="s">
        <v>34</v>
      </c>
      <c r="N264" s="13">
        <v>1600</v>
      </c>
      <c r="O264" s="13" t="s">
        <v>34</v>
      </c>
      <c r="P264" s="13" t="s">
        <v>34</v>
      </c>
      <c r="Q264" s="13">
        <v>0</v>
      </c>
      <c r="R264" s="13">
        <v>2.65</v>
      </c>
      <c r="S264" s="13" t="s">
        <v>34</v>
      </c>
      <c r="T264" s="13" t="s">
        <v>49</v>
      </c>
      <c r="U264" s="13" t="s">
        <v>50</v>
      </c>
      <c r="V264" s="13" t="s">
        <v>207</v>
      </c>
      <c r="W264" s="13" t="s">
        <v>34</v>
      </c>
      <c r="X264" s="10">
        <v>1</v>
      </c>
      <c r="Y264" s="13">
        <v>1.5</v>
      </c>
      <c r="Z264" s="13" t="s">
        <v>177</v>
      </c>
      <c r="AA264" s="10">
        <v>0.13500000000000001</v>
      </c>
      <c r="AB264" s="13" t="s">
        <v>34</v>
      </c>
      <c r="AC264" s="13" t="s">
        <v>203</v>
      </c>
      <c r="AD264" s="13" t="s">
        <v>32</v>
      </c>
      <c r="AE264" s="13">
        <v>0.84240000000000004</v>
      </c>
      <c r="AF264" s="13" t="s">
        <v>210</v>
      </c>
      <c r="AG264" s="13">
        <v>2021</v>
      </c>
      <c r="AH264" s="13" t="s">
        <v>211</v>
      </c>
      <c r="AI264" s="2">
        <v>50</v>
      </c>
      <c r="AJ264" s="2">
        <v>2</v>
      </c>
      <c r="AK264" s="2">
        <v>0.5</v>
      </c>
    </row>
    <row r="265" spans="1:37" x14ac:dyDescent="0.3">
      <c r="A265" s="11">
        <v>1.1285988483685201</v>
      </c>
      <c r="B265" s="11">
        <v>275.93360995850702</v>
      </c>
      <c r="C265" s="13" t="s">
        <v>33</v>
      </c>
      <c r="D265" s="13" t="s">
        <v>35</v>
      </c>
      <c r="E265" s="13" t="s">
        <v>170</v>
      </c>
      <c r="F265" s="13">
        <v>0.2</v>
      </c>
      <c r="G265" s="13">
        <v>0.36</v>
      </c>
      <c r="H265" s="13">
        <v>0.31900000000000001</v>
      </c>
      <c r="I265" s="13">
        <v>0.39300000000000002</v>
      </c>
      <c r="J265" s="13">
        <v>1.9650000000000001</v>
      </c>
      <c r="K265" s="13">
        <v>1.29</v>
      </c>
      <c r="L265" s="13">
        <v>0</v>
      </c>
      <c r="M265" s="13" t="s">
        <v>34</v>
      </c>
      <c r="N265" s="13">
        <v>1600</v>
      </c>
      <c r="O265" s="13" t="s">
        <v>34</v>
      </c>
      <c r="P265" s="13" t="s">
        <v>34</v>
      </c>
      <c r="Q265" s="13">
        <v>0</v>
      </c>
      <c r="R265" s="13">
        <v>2.65</v>
      </c>
      <c r="S265" s="13" t="s">
        <v>34</v>
      </c>
      <c r="T265" s="13" t="s">
        <v>49</v>
      </c>
      <c r="U265" s="13" t="s">
        <v>50</v>
      </c>
      <c r="V265" s="13" t="s">
        <v>207</v>
      </c>
      <c r="W265" s="13" t="s">
        <v>34</v>
      </c>
      <c r="X265" s="10">
        <v>1</v>
      </c>
      <c r="Y265" s="13">
        <v>1.5</v>
      </c>
      <c r="Z265" s="13" t="s">
        <v>177</v>
      </c>
      <c r="AA265" s="10">
        <v>0.13500000000000001</v>
      </c>
      <c r="AB265" s="13" t="s">
        <v>34</v>
      </c>
      <c r="AC265" s="13" t="s">
        <v>203</v>
      </c>
      <c r="AD265" s="13" t="s">
        <v>32</v>
      </c>
      <c r="AE265" s="13">
        <v>0.84240000000000004</v>
      </c>
      <c r="AF265" s="13" t="s">
        <v>210</v>
      </c>
      <c r="AG265" s="13">
        <v>2021</v>
      </c>
      <c r="AH265" s="13" t="s">
        <v>211</v>
      </c>
      <c r="AI265" s="2">
        <v>50</v>
      </c>
      <c r="AJ265" s="2">
        <v>2</v>
      </c>
      <c r="AK265" s="2">
        <v>0.5</v>
      </c>
    </row>
    <row r="266" spans="1:37" x14ac:dyDescent="0.3">
      <c r="A266" s="11">
        <v>1.19769673704414</v>
      </c>
      <c r="B266" s="11">
        <v>268.67219917012397</v>
      </c>
      <c r="C266" s="13" t="s">
        <v>33</v>
      </c>
      <c r="D266" s="13" t="s">
        <v>35</v>
      </c>
      <c r="E266" s="13" t="s">
        <v>170</v>
      </c>
      <c r="F266" s="13">
        <v>0.2</v>
      </c>
      <c r="G266" s="13">
        <v>0.36</v>
      </c>
      <c r="H266" s="13">
        <v>0.31900000000000001</v>
      </c>
      <c r="I266" s="13">
        <v>0.39300000000000002</v>
      </c>
      <c r="J266" s="13">
        <v>1.9650000000000001</v>
      </c>
      <c r="K266" s="13">
        <v>1.29</v>
      </c>
      <c r="L266" s="13">
        <v>0</v>
      </c>
      <c r="M266" s="13" t="s">
        <v>34</v>
      </c>
      <c r="N266" s="13">
        <v>1600</v>
      </c>
      <c r="O266" s="13" t="s">
        <v>34</v>
      </c>
      <c r="P266" s="13" t="s">
        <v>34</v>
      </c>
      <c r="Q266" s="13">
        <v>0</v>
      </c>
      <c r="R266" s="13">
        <v>2.65</v>
      </c>
      <c r="S266" s="13" t="s">
        <v>34</v>
      </c>
      <c r="T266" s="13" t="s">
        <v>49</v>
      </c>
      <c r="U266" s="13" t="s">
        <v>50</v>
      </c>
      <c r="V266" s="13" t="s">
        <v>207</v>
      </c>
      <c r="W266" s="13" t="s">
        <v>34</v>
      </c>
      <c r="X266" s="10">
        <v>1</v>
      </c>
      <c r="Y266" s="13">
        <v>1.5</v>
      </c>
      <c r="Z266" s="13" t="s">
        <v>177</v>
      </c>
      <c r="AA266" s="10">
        <v>0.13500000000000001</v>
      </c>
      <c r="AB266" s="13" t="s">
        <v>34</v>
      </c>
      <c r="AC266" s="13" t="s">
        <v>203</v>
      </c>
      <c r="AD266" s="13" t="s">
        <v>32</v>
      </c>
      <c r="AE266" s="13">
        <v>0.84240000000000004</v>
      </c>
      <c r="AF266" s="13" t="s">
        <v>210</v>
      </c>
      <c r="AG266" s="13">
        <v>2021</v>
      </c>
      <c r="AH266" s="13" t="s">
        <v>211</v>
      </c>
      <c r="AI266" s="2">
        <v>50</v>
      </c>
      <c r="AJ266" s="2">
        <v>2</v>
      </c>
      <c r="AK266" s="2">
        <v>0.5</v>
      </c>
    </row>
    <row r="267" spans="1:37" x14ac:dyDescent="0.3">
      <c r="A267" s="11">
        <v>1.3243761996161201</v>
      </c>
      <c r="B267" s="11">
        <v>308.60995850622402</v>
      </c>
      <c r="C267" s="13" t="s">
        <v>33</v>
      </c>
      <c r="D267" s="13" t="s">
        <v>35</v>
      </c>
      <c r="E267" s="13" t="s">
        <v>170</v>
      </c>
      <c r="F267" s="13">
        <v>0.2</v>
      </c>
      <c r="G267" s="13">
        <v>0.36</v>
      </c>
      <c r="H267" s="13">
        <v>0.31900000000000001</v>
      </c>
      <c r="I267" s="13">
        <v>0.39300000000000002</v>
      </c>
      <c r="J267" s="13">
        <v>1.9650000000000001</v>
      </c>
      <c r="K267" s="13">
        <v>1.29</v>
      </c>
      <c r="L267" s="13">
        <v>0</v>
      </c>
      <c r="M267" s="13" t="s">
        <v>34</v>
      </c>
      <c r="N267" s="13">
        <v>1600</v>
      </c>
      <c r="O267" s="13" t="s">
        <v>34</v>
      </c>
      <c r="P267" s="13" t="s">
        <v>34</v>
      </c>
      <c r="Q267" s="13">
        <v>0</v>
      </c>
      <c r="R267" s="13">
        <v>2.65</v>
      </c>
      <c r="S267" s="13" t="s">
        <v>34</v>
      </c>
      <c r="T267" s="13" t="s">
        <v>49</v>
      </c>
      <c r="U267" s="13" t="s">
        <v>50</v>
      </c>
      <c r="V267" s="13" t="s">
        <v>207</v>
      </c>
      <c r="W267" s="13" t="s">
        <v>34</v>
      </c>
      <c r="X267" s="10">
        <v>1</v>
      </c>
      <c r="Y267" s="13">
        <v>1.5</v>
      </c>
      <c r="Z267" s="13" t="s">
        <v>177</v>
      </c>
      <c r="AA267" s="10">
        <v>0.13500000000000001</v>
      </c>
      <c r="AB267" s="13" t="s">
        <v>34</v>
      </c>
      <c r="AC267" s="13" t="s">
        <v>203</v>
      </c>
      <c r="AD267" s="13" t="s">
        <v>32</v>
      </c>
      <c r="AE267" s="13">
        <v>0.84240000000000004</v>
      </c>
      <c r="AF267" s="13" t="s">
        <v>210</v>
      </c>
      <c r="AG267" s="13">
        <v>2021</v>
      </c>
      <c r="AH267" s="13" t="s">
        <v>211</v>
      </c>
      <c r="AI267" s="2">
        <v>50</v>
      </c>
      <c r="AJ267" s="2">
        <v>2</v>
      </c>
      <c r="AK267" s="2">
        <v>0.5</v>
      </c>
    </row>
    <row r="268" spans="1:37" x14ac:dyDescent="0.3">
      <c r="A268" s="11">
        <v>1.2725527831093999</v>
      </c>
      <c r="B268" s="11">
        <v>355.80912863070603</v>
      </c>
      <c r="C268" s="13" t="s">
        <v>33</v>
      </c>
      <c r="D268" s="13" t="s">
        <v>35</v>
      </c>
      <c r="E268" s="13" t="s">
        <v>170</v>
      </c>
      <c r="F268" s="13">
        <v>0.2</v>
      </c>
      <c r="G268" s="13">
        <v>0.36</v>
      </c>
      <c r="H268" s="13">
        <v>0.31900000000000001</v>
      </c>
      <c r="I268" s="13">
        <v>0.39300000000000002</v>
      </c>
      <c r="J268" s="13">
        <v>1.9650000000000001</v>
      </c>
      <c r="K268" s="13">
        <v>1.29</v>
      </c>
      <c r="L268" s="13">
        <v>0</v>
      </c>
      <c r="M268" s="13" t="s">
        <v>34</v>
      </c>
      <c r="N268" s="13">
        <v>1600</v>
      </c>
      <c r="O268" s="13" t="s">
        <v>34</v>
      </c>
      <c r="P268" s="13" t="s">
        <v>34</v>
      </c>
      <c r="Q268" s="13">
        <v>0</v>
      </c>
      <c r="R268" s="13">
        <v>2.65</v>
      </c>
      <c r="S268" s="13" t="s">
        <v>34</v>
      </c>
      <c r="T268" s="13" t="s">
        <v>49</v>
      </c>
      <c r="U268" s="13" t="s">
        <v>50</v>
      </c>
      <c r="V268" s="13" t="s">
        <v>207</v>
      </c>
      <c r="W268" s="13" t="s">
        <v>34</v>
      </c>
      <c r="X268" s="10">
        <v>1</v>
      </c>
      <c r="Y268" s="13">
        <v>1.5</v>
      </c>
      <c r="Z268" s="13" t="s">
        <v>177</v>
      </c>
      <c r="AA268" s="10">
        <v>0.13500000000000001</v>
      </c>
      <c r="AB268" s="13" t="s">
        <v>34</v>
      </c>
      <c r="AC268" s="13" t="s">
        <v>203</v>
      </c>
      <c r="AD268" s="13" t="s">
        <v>32</v>
      </c>
      <c r="AE268" s="13">
        <v>0.84240000000000004</v>
      </c>
      <c r="AF268" s="13" t="s">
        <v>210</v>
      </c>
      <c r="AG268" s="13">
        <v>2021</v>
      </c>
      <c r="AH268" s="13" t="s">
        <v>211</v>
      </c>
      <c r="AI268" s="2">
        <v>50</v>
      </c>
      <c r="AJ268" s="2">
        <v>2</v>
      </c>
      <c r="AK268" s="2">
        <v>0.5</v>
      </c>
    </row>
    <row r="269" spans="1:37" x14ac:dyDescent="0.3">
      <c r="A269" s="11">
        <v>2.0671785028790701</v>
      </c>
      <c r="B269" s="11">
        <v>279.56431535269701</v>
      </c>
      <c r="C269" s="13" t="s">
        <v>33</v>
      </c>
      <c r="D269" s="13" t="s">
        <v>35</v>
      </c>
      <c r="E269" s="13" t="s">
        <v>170</v>
      </c>
      <c r="F269" s="13">
        <v>0.2</v>
      </c>
      <c r="G269" s="13">
        <v>0.36</v>
      </c>
      <c r="H269" s="13">
        <v>0.31900000000000001</v>
      </c>
      <c r="I269" s="13">
        <v>0.39300000000000002</v>
      </c>
      <c r="J269" s="13">
        <v>1.9650000000000001</v>
      </c>
      <c r="K269" s="13">
        <v>1.29</v>
      </c>
      <c r="L269" s="13">
        <v>0</v>
      </c>
      <c r="M269" s="13" t="s">
        <v>34</v>
      </c>
      <c r="N269" s="13">
        <v>1600</v>
      </c>
      <c r="O269" s="13" t="s">
        <v>34</v>
      </c>
      <c r="P269" s="13" t="s">
        <v>34</v>
      </c>
      <c r="Q269" s="13">
        <v>0</v>
      </c>
      <c r="R269" s="13">
        <v>2.65</v>
      </c>
      <c r="S269" s="13" t="s">
        <v>34</v>
      </c>
      <c r="T269" s="13" t="s">
        <v>49</v>
      </c>
      <c r="U269" s="13" t="s">
        <v>50</v>
      </c>
      <c r="V269" s="13" t="s">
        <v>207</v>
      </c>
      <c r="W269" s="13" t="s">
        <v>34</v>
      </c>
      <c r="X269" s="10">
        <v>2</v>
      </c>
      <c r="Y269" s="13">
        <v>1.5</v>
      </c>
      <c r="Z269" s="13" t="s">
        <v>177</v>
      </c>
      <c r="AA269" s="10">
        <v>0.27</v>
      </c>
      <c r="AB269" s="13" t="s">
        <v>34</v>
      </c>
      <c r="AC269" s="13" t="s">
        <v>203</v>
      </c>
      <c r="AD269" s="13" t="s">
        <v>32</v>
      </c>
      <c r="AE269" s="13">
        <v>0.84240000000000004</v>
      </c>
      <c r="AF269" s="13" t="s">
        <v>210</v>
      </c>
      <c r="AG269" s="13">
        <v>2021</v>
      </c>
      <c r="AH269" s="13" t="s">
        <v>211</v>
      </c>
      <c r="AI269" s="2">
        <v>50</v>
      </c>
      <c r="AJ269" s="2">
        <v>2</v>
      </c>
      <c r="AK269" s="2">
        <v>0.5</v>
      </c>
    </row>
    <row r="270" spans="1:37" x14ac:dyDescent="0.3">
      <c r="A270" s="11">
        <v>2.17082533589251</v>
      </c>
      <c r="B270" s="11">
        <v>312.24066390041497</v>
      </c>
      <c r="C270" s="13" t="s">
        <v>33</v>
      </c>
      <c r="D270" s="13" t="s">
        <v>35</v>
      </c>
      <c r="E270" s="13" t="s">
        <v>170</v>
      </c>
      <c r="F270" s="13">
        <v>0.2</v>
      </c>
      <c r="G270" s="13">
        <v>0.36</v>
      </c>
      <c r="H270" s="13">
        <v>0.31900000000000001</v>
      </c>
      <c r="I270" s="13">
        <v>0.39300000000000002</v>
      </c>
      <c r="J270" s="13">
        <v>1.9650000000000001</v>
      </c>
      <c r="K270" s="13">
        <v>1.29</v>
      </c>
      <c r="L270" s="13">
        <v>0</v>
      </c>
      <c r="M270" s="13" t="s">
        <v>34</v>
      </c>
      <c r="N270" s="13">
        <v>1600</v>
      </c>
      <c r="O270" s="13" t="s">
        <v>34</v>
      </c>
      <c r="P270" s="13" t="s">
        <v>34</v>
      </c>
      <c r="Q270" s="13">
        <v>0</v>
      </c>
      <c r="R270" s="13">
        <v>2.65</v>
      </c>
      <c r="S270" s="13" t="s">
        <v>34</v>
      </c>
      <c r="T270" s="13" t="s">
        <v>49</v>
      </c>
      <c r="U270" s="13" t="s">
        <v>50</v>
      </c>
      <c r="V270" s="13" t="s">
        <v>207</v>
      </c>
      <c r="W270" s="13" t="s">
        <v>34</v>
      </c>
      <c r="X270" s="10">
        <v>2</v>
      </c>
      <c r="Y270" s="13">
        <v>1.5</v>
      </c>
      <c r="Z270" s="13" t="s">
        <v>177</v>
      </c>
      <c r="AA270" s="10">
        <v>0.27</v>
      </c>
      <c r="AB270" s="13" t="s">
        <v>34</v>
      </c>
      <c r="AC270" s="13" t="s">
        <v>203</v>
      </c>
      <c r="AD270" s="13" t="s">
        <v>32</v>
      </c>
      <c r="AE270" s="13">
        <v>0.84240000000000004</v>
      </c>
      <c r="AF270" s="13" t="s">
        <v>210</v>
      </c>
      <c r="AG270" s="13">
        <v>2021</v>
      </c>
      <c r="AH270" s="13" t="s">
        <v>211</v>
      </c>
      <c r="AI270" s="2">
        <v>50</v>
      </c>
      <c r="AJ270" s="2">
        <v>2</v>
      </c>
      <c r="AK270" s="2">
        <v>0.5</v>
      </c>
    </row>
    <row r="271" spans="1:37" x14ac:dyDescent="0.3">
      <c r="A271" s="11">
        <v>2.2341650671785001</v>
      </c>
      <c r="B271" s="11">
        <v>301.34854771784302</v>
      </c>
      <c r="C271" s="13" t="s">
        <v>33</v>
      </c>
      <c r="D271" s="13" t="s">
        <v>35</v>
      </c>
      <c r="E271" s="13" t="s">
        <v>170</v>
      </c>
      <c r="F271" s="13">
        <v>0.2</v>
      </c>
      <c r="G271" s="13">
        <v>0.36</v>
      </c>
      <c r="H271" s="13">
        <v>0.31900000000000001</v>
      </c>
      <c r="I271" s="13">
        <v>0.39300000000000002</v>
      </c>
      <c r="J271" s="13">
        <v>1.9650000000000001</v>
      </c>
      <c r="K271" s="13">
        <v>1.29</v>
      </c>
      <c r="L271" s="13">
        <v>0</v>
      </c>
      <c r="M271" s="13" t="s">
        <v>34</v>
      </c>
      <c r="N271" s="13">
        <v>1600</v>
      </c>
      <c r="O271" s="13" t="s">
        <v>34</v>
      </c>
      <c r="P271" s="13" t="s">
        <v>34</v>
      </c>
      <c r="Q271" s="13">
        <v>0</v>
      </c>
      <c r="R271" s="13">
        <v>2.65</v>
      </c>
      <c r="S271" s="13" t="s">
        <v>34</v>
      </c>
      <c r="T271" s="13" t="s">
        <v>49</v>
      </c>
      <c r="U271" s="13" t="s">
        <v>50</v>
      </c>
      <c r="V271" s="13" t="s">
        <v>207</v>
      </c>
      <c r="W271" s="13" t="s">
        <v>34</v>
      </c>
      <c r="X271" s="10">
        <v>2</v>
      </c>
      <c r="Y271" s="13">
        <v>1.5</v>
      </c>
      <c r="Z271" s="13" t="s">
        <v>177</v>
      </c>
      <c r="AA271" s="10">
        <v>0.27</v>
      </c>
      <c r="AB271" s="13" t="s">
        <v>34</v>
      </c>
      <c r="AC271" s="13" t="s">
        <v>203</v>
      </c>
      <c r="AD271" s="13" t="s">
        <v>32</v>
      </c>
      <c r="AE271" s="13">
        <v>0.84240000000000004</v>
      </c>
      <c r="AF271" s="13" t="s">
        <v>210</v>
      </c>
      <c r="AG271" s="13">
        <v>2021</v>
      </c>
      <c r="AH271" s="13" t="s">
        <v>211</v>
      </c>
      <c r="AI271" s="2">
        <v>50</v>
      </c>
      <c r="AJ271" s="2">
        <v>2</v>
      </c>
      <c r="AK271" s="2">
        <v>0.5</v>
      </c>
    </row>
    <row r="272" spans="1:37" x14ac:dyDescent="0.3">
      <c r="A272" s="11">
        <v>2.3378119001919302</v>
      </c>
      <c r="B272" s="11">
        <v>315.87136929460502</v>
      </c>
      <c r="C272" s="13" t="s">
        <v>33</v>
      </c>
      <c r="D272" s="13" t="s">
        <v>35</v>
      </c>
      <c r="E272" s="13" t="s">
        <v>170</v>
      </c>
      <c r="F272" s="13">
        <v>0.2</v>
      </c>
      <c r="G272" s="13">
        <v>0.36</v>
      </c>
      <c r="H272" s="13">
        <v>0.31900000000000001</v>
      </c>
      <c r="I272" s="13">
        <v>0.39300000000000002</v>
      </c>
      <c r="J272" s="13">
        <v>1.9650000000000001</v>
      </c>
      <c r="K272" s="13">
        <v>1.29</v>
      </c>
      <c r="L272" s="13">
        <v>0</v>
      </c>
      <c r="M272" s="13" t="s">
        <v>34</v>
      </c>
      <c r="N272" s="13">
        <v>1600</v>
      </c>
      <c r="O272" s="13" t="s">
        <v>34</v>
      </c>
      <c r="P272" s="13" t="s">
        <v>34</v>
      </c>
      <c r="Q272" s="13">
        <v>0</v>
      </c>
      <c r="R272" s="13">
        <v>2.65</v>
      </c>
      <c r="S272" s="13" t="s">
        <v>34</v>
      </c>
      <c r="T272" s="13" t="s">
        <v>49</v>
      </c>
      <c r="U272" s="13" t="s">
        <v>50</v>
      </c>
      <c r="V272" s="13" t="s">
        <v>207</v>
      </c>
      <c r="W272" s="13" t="s">
        <v>34</v>
      </c>
      <c r="X272" s="10">
        <v>2</v>
      </c>
      <c r="Y272" s="13">
        <v>1.5</v>
      </c>
      <c r="Z272" s="13" t="s">
        <v>177</v>
      </c>
      <c r="AA272" s="10">
        <v>0.27</v>
      </c>
      <c r="AB272" s="13" t="s">
        <v>34</v>
      </c>
      <c r="AC272" s="13" t="s">
        <v>203</v>
      </c>
      <c r="AD272" s="13" t="s">
        <v>32</v>
      </c>
      <c r="AE272" s="13">
        <v>0.84240000000000004</v>
      </c>
      <c r="AF272" s="13" t="s">
        <v>210</v>
      </c>
      <c r="AG272" s="13">
        <v>2021</v>
      </c>
      <c r="AH272" s="13" t="s">
        <v>211</v>
      </c>
      <c r="AI272" s="2">
        <v>50</v>
      </c>
      <c r="AJ272" s="2">
        <v>2</v>
      </c>
      <c r="AK272" s="2">
        <v>0.5</v>
      </c>
    </row>
    <row r="273" spans="1:37" x14ac:dyDescent="0.3">
      <c r="A273" s="11">
        <v>2.4587332053742799</v>
      </c>
      <c r="B273" s="11">
        <v>406.639004149377</v>
      </c>
      <c r="C273" s="13" t="s">
        <v>33</v>
      </c>
      <c r="D273" s="13" t="s">
        <v>35</v>
      </c>
      <c r="E273" s="13" t="s">
        <v>170</v>
      </c>
      <c r="F273" s="13">
        <v>0.2</v>
      </c>
      <c r="G273" s="13">
        <v>0.36</v>
      </c>
      <c r="H273" s="13">
        <v>0.31900000000000001</v>
      </c>
      <c r="I273" s="13">
        <v>0.39300000000000002</v>
      </c>
      <c r="J273" s="13">
        <v>1.9650000000000001</v>
      </c>
      <c r="K273" s="13">
        <v>1.29</v>
      </c>
      <c r="L273" s="13">
        <v>0</v>
      </c>
      <c r="M273" s="13" t="s">
        <v>34</v>
      </c>
      <c r="N273" s="13">
        <v>1600</v>
      </c>
      <c r="O273" s="13" t="s">
        <v>34</v>
      </c>
      <c r="P273" s="13" t="s">
        <v>34</v>
      </c>
      <c r="Q273" s="13">
        <v>0</v>
      </c>
      <c r="R273" s="13">
        <v>2.65</v>
      </c>
      <c r="S273" s="13" t="s">
        <v>34</v>
      </c>
      <c r="T273" s="13" t="s">
        <v>49</v>
      </c>
      <c r="U273" s="13" t="s">
        <v>50</v>
      </c>
      <c r="V273" s="13" t="s">
        <v>207</v>
      </c>
      <c r="W273" s="13" t="s">
        <v>34</v>
      </c>
      <c r="X273" s="10">
        <v>2</v>
      </c>
      <c r="Y273" s="13">
        <v>1.5</v>
      </c>
      <c r="Z273" s="13" t="s">
        <v>177</v>
      </c>
      <c r="AA273" s="10">
        <v>0.27</v>
      </c>
      <c r="AB273" s="13" t="s">
        <v>34</v>
      </c>
      <c r="AC273" s="13" t="s">
        <v>203</v>
      </c>
      <c r="AD273" s="13" t="s">
        <v>32</v>
      </c>
      <c r="AE273" s="13">
        <v>0.84240000000000004</v>
      </c>
      <c r="AF273" s="13" t="s">
        <v>210</v>
      </c>
      <c r="AG273" s="13">
        <v>2021</v>
      </c>
      <c r="AH273" s="13" t="s">
        <v>211</v>
      </c>
      <c r="AI273" s="2">
        <v>50</v>
      </c>
      <c r="AJ273" s="2">
        <v>2</v>
      </c>
      <c r="AK273" s="2">
        <v>0.5</v>
      </c>
    </row>
    <row r="274" spans="1:37" x14ac:dyDescent="0.3">
      <c r="A274" s="11">
        <v>2.4414587332053701</v>
      </c>
      <c r="B274" s="11">
        <v>435.68464730290498</v>
      </c>
      <c r="C274" s="13" t="s">
        <v>33</v>
      </c>
      <c r="D274" s="13" t="s">
        <v>35</v>
      </c>
      <c r="E274" s="13" t="s">
        <v>170</v>
      </c>
      <c r="F274" s="13">
        <v>0.2</v>
      </c>
      <c r="G274" s="13">
        <v>0.36</v>
      </c>
      <c r="H274" s="13">
        <v>0.31900000000000001</v>
      </c>
      <c r="I274" s="13">
        <v>0.39300000000000002</v>
      </c>
      <c r="J274" s="13">
        <v>1.9650000000000001</v>
      </c>
      <c r="K274" s="13">
        <v>1.29</v>
      </c>
      <c r="L274" s="13">
        <v>0</v>
      </c>
      <c r="M274" s="13" t="s">
        <v>34</v>
      </c>
      <c r="N274" s="13">
        <v>1600</v>
      </c>
      <c r="O274" s="13" t="s">
        <v>34</v>
      </c>
      <c r="P274" s="13" t="s">
        <v>34</v>
      </c>
      <c r="Q274" s="13">
        <v>0</v>
      </c>
      <c r="R274" s="13">
        <v>2.65</v>
      </c>
      <c r="S274" s="13" t="s">
        <v>34</v>
      </c>
      <c r="T274" s="13" t="s">
        <v>49</v>
      </c>
      <c r="U274" s="13" t="s">
        <v>50</v>
      </c>
      <c r="V274" s="13" t="s">
        <v>207</v>
      </c>
      <c r="W274" s="13" t="s">
        <v>34</v>
      </c>
      <c r="X274" s="10">
        <v>2</v>
      </c>
      <c r="Y274" s="13">
        <v>1.5</v>
      </c>
      <c r="Z274" s="13" t="s">
        <v>177</v>
      </c>
      <c r="AA274" s="10">
        <v>0.27</v>
      </c>
      <c r="AB274" s="13" t="s">
        <v>34</v>
      </c>
      <c r="AC274" s="13" t="s">
        <v>203</v>
      </c>
      <c r="AD274" s="13" t="s">
        <v>32</v>
      </c>
      <c r="AE274" s="13">
        <v>0.84240000000000004</v>
      </c>
      <c r="AF274" s="13" t="s">
        <v>210</v>
      </c>
      <c r="AG274" s="13">
        <v>2021</v>
      </c>
      <c r="AH274" s="13" t="s">
        <v>211</v>
      </c>
      <c r="AI274" s="2">
        <v>50</v>
      </c>
      <c r="AJ274" s="2">
        <v>2</v>
      </c>
      <c r="AK274" s="2">
        <v>0.5</v>
      </c>
    </row>
    <row r="275" spans="1:37" x14ac:dyDescent="0.3">
      <c r="A275" s="11">
        <v>2.4529750479846402</v>
      </c>
      <c r="B275" s="11">
        <v>475.62240663900297</v>
      </c>
      <c r="C275" s="13" t="s">
        <v>33</v>
      </c>
      <c r="D275" s="13" t="s">
        <v>35</v>
      </c>
      <c r="E275" s="13" t="s">
        <v>170</v>
      </c>
      <c r="F275" s="13">
        <v>0.2</v>
      </c>
      <c r="G275" s="13">
        <v>0.36</v>
      </c>
      <c r="H275" s="13">
        <v>0.31900000000000001</v>
      </c>
      <c r="I275" s="13">
        <v>0.39300000000000002</v>
      </c>
      <c r="J275" s="13">
        <v>1.9650000000000001</v>
      </c>
      <c r="K275" s="13">
        <v>1.29</v>
      </c>
      <c r="L275" s="13">
        <v>0</v>
      </c>
      <c r="M275" s="13" t="s">
        <v>34</v>
      </c>
      <c r="N275" s="13">
        <v>1600</v>
      </c>
      <c r="O275" s="13" t="s">
        <v>34</v>
      </c>
      <c r="P275" s="13" t="s">
        <v>34</v>
      </c>
      <c r="Q275" s="13">
        <v>0</v>
      </c>
      <c r="R275" s="13">
        <v>2.65</v>
      </c>
      <c r="S275" s="13" t="s">
        <v>34</v>
      </c>
      <c r="T275" s="13" t="s">
        <v>49</v>
      </c>
      <c r="U275" s="13" t="s">
        <v>50</v>
      </c>
      <c r="V275" s="13" t="s">
        <v>207</v>
      </c>
      <c r="W275" s="13" t="s">
        <v>34</v>
      </c>
      <c r="X275" s="10">
        <v>2</v>
      </c>
      <c r="Y275" s="13">
        <v>1.5</v>
      </c>
      <c r="Z275" s="13" t="s">
        <v>177</v>
      </c>
      <c r="AA275" s="10">
        <v>0.27</v>
      </c>
      <c r="AB275" s="13" t="s">
        <v>34</v>
      </c>
      <c r="AC275" s="13" t="s">
        <v>203</v>
      </c>
      <c r="AD275" s="13" t="s">
        <v>32</v>
      </c>
      <c r="AE275" s="13">
        <v>0.84240000000000004</v>
      </c>
      <c r="AF275" s="13" t="s">
        <v>210</v>
      </c>
      <c r="AG275" s="13">
        <v>2021</v>
      </c>
      <c r="AH275" s="13" t="s">
        <v>211</v>
      </c>
      <c r="AI275" s="2">
        <v>50</v>
      </c>
      <c r="AJ275" s="2">
        <v>2</v>
      </c>
      <c r="AK275" s="2">
        <v>0.5</v>
      </c>
    </row>
    <row r="276" spans="1:37" x14ac:dyDescent="0.3">
      <c r="A276" s="11">
        <v>2.4932821497120901</v>
      </c>
      <c r="B276" s="11">
        <v>501.03734439834</v>
      </c>
      <c r="C276" s="13" t="s">
        <v>33</v>
      </c>
      <c r="D276" s="13" t="s">
        <v>35</v>
      </c>
      <c r="E276" s="13" t="s">
        <v>170</v>
      </c>
      <c r="F276" s="13">
        <v>0.2</v>
      </c>
      <c r="G276" s="13">
        <v>0.36</v>
      </c>
      <c r="H276" s="13">
        <v>0.31900000000000001</v>
      </c>
      <c r="I276" s="13">
        <v>0.39300000000000002</v>
      </c>
      <c r="J276" s="13">
        <v>1.9650000000000001</v>
      </c>
      <c r="K276" s="13">
        <v>1.29</v>
      </c>
      <c r="L276" s="13">
        <v>0</v>
      </c>
      <c r="M276" s="13" t="s">
        <v>34</v>
      </c>
      <c r="N276" s="13">
        <v>1600</v>
      </c>
      <c r="O276" s="13" t="s">
        <v>34</v>
      </c>
      <c r="P276" s="13" t="s">
        <v>34</v>
      </c>
      <c r="Q276" s="13">
        <v>0</v>
      </c>
      <c r="R276" s="13">
        <v>2.65</v>
      </c>
      <c r="S276" s="13" t="s">
        <v>34</v>
      </c>
      <c r="T276" s="13" t="s">
        <v>49</v>
      </c>
      <c r="U276" s="13" t="s">
        <v>50</v>
      </c>
      <c r="V276" s="13" t="s">
        <v>207</v>
      </c>
      <c r="W276" s="13" t="s">
        <v>34</v>
      </c>
      <c r="X276" s="10">
        <v>2</v>
      </c>
      <c r="Y276" s="13">
        <v>1.5</v>
      </c>
      <c r="Z276" s="13" t="s">
        <v>177</v>
      </c>
      <c r="AA276" s="10">
        <v>0.27</v>
      </c>
      <c r="AB276" s="13" t="s">
        <v>34</v>
      </c>
      <c r="AC276" s="13" t="s">
        <v>203</v>
      </c>
      <c r="AD276" s="13" t="s">
        <v>32</v>
      </c>
      <c r="AE276" s="13">
        <v>0.84240000000000004</v>
      </c>
      <c r="AF276" s="13" t="s">
        <v>210</v>
      </c>
      <c r="AG276" s="13">
        <v>2021</v>
      </c>
      <c r="AH276" s="13" t="s">
        <v>211</v>
      </c>
      <c r="AI276" s="2">
        <v>50</v>
      </c>
      <c r="AJ276" s="2">
        <v>2</v>
      </c>
      <c r="AK276" s="2">
        <v>0.5</v>
      </c>
    </row>
    <row r="277" spans="1:37" x14ac:dyDescent="0.3">
      <c r="A277" s="11">
        <v>3.2706333973128499</v>
      </c>
      <c r="B277" s="11">
        <v>504.66804979253197</v>
      </c>
      <c r="C277" s="13" t="s">
        <v>33</v>
      </c>
      <c r="D277" s="13" t="s">
        <v>35</v>
      </c>
      <c r="E277" s="13" t="s">
        <v>170</v>
      </c>
      <c r="F277" s="13">
        <v>0.2</v>
      </c>
      <c r="G277" s="13">
        <v>0.36</v>
      </c>
      <c r="H277" s="13">
        <v>0.31900000000000001</v>
      </c>
      <c r="I277" s="13">
        <v>0.39300000000000002</v>
      </c>
      <c r="J277" s="13">
        <v>1.9650000000000001</v>
      </c>
      <c r="K277" s="13">
        <v>1.29</v>
      </c>
      <c r="L277" s="13">
        <v>0</v>
      </c>
      <c r="M277" s="13" t="s">
        <v>34</v>
      </c>
      <c r="N277" s="13">
        <v>1600</v>
      </c>
      <c r="O277" s="13" t="s">
        <v>34</v>
      </c>
      <c r="P277" s="13" t="s">
        <v>34</v>
      </c>
      <c r="Q277" s="13">
        <v>0</v>
      </c>
      <c r="R277" s="13">
        <v>2.65</v>
      </c>
      <c r="S277" s="13" t="s">
        <v>34</v>
      </c>
      <c r="T277" s="13" t="s">
        <v>49</v>
      </c>
      <c r="U277" s="13" t="s">
        <v>50</v>
      </c>
      <c r="V277" s="13" t="s">
        <v>207</v>
      </c>
      <c r="W277" s="13" t="s">
        <v>34</v>
      </c>
      <c r="X277" s="10">
        <v>3</v>
      </c>
      <c r="Y277" s="13">
        <v>1.5</v>
      </c>
      <c r="Z277" s="13" t="s">
        <v>177</v>
      </c>
      <c r="AA277" s="10">
        <v>0.40500000000000003</v>
      </c>
      <c r="AB277" s="13" t="s">
        <v>34</v>
      </c>
      <c r="AC277" s="13" t="s">
        <v>203</v>
      </c>
      <c r="AD277" s="13" t="s">
        <v>32</v>
      </c>
      <c r="AE277" s="13">
        <v>0.84240000000000004</v>
      </c>
      <c r="AF277" s="13" t="s">
        <v>210</v>
      </c>
      <c r="AG277" s="13">
        <v>2021</v>
      </c>
      <c r="AH277" s="13" t="s">
        <v>211</v>
      </c>
      <c r="AI277" s="2">
        <v>50</v>
      </c>
      <c r="AJ277" s="2">
        <v>2</v>
      </c>
      <c r="AK277" s="2">
        <v>0.5</v>
      </c>
    </row>
    <row r="278" spans="1:37" x14ac:dyDescent="0.3">
      <c r="A278" s="11">
        <v>3.16122840690978</v>
      </c>
      <c r="B278" s="11">
        <v>508.29875518672202</v>
      </c>
      <c r="C278" s="13" t="s">
        <v>33</v>
      </c>
      <c r="D278" s="13" t="s">
        <v>35</v>
      </c>
      <c r="E278" s="13" t="s">
        <v>170</v>
      </c>
      <c r="F278" s="13">
        <v>0.2</v>
      </c>
      <c r="G278" s="13">
        <v>0.36</v>
      </c>
      <c r="H278" s="13">
        <v>0.31900000000000001</v>
      </c>
      <c r="I278" s="13">
        <v>0.39300000000000002</v>
      </c>
      <c r="J278" s="13">
        <v>1.9650000000000001</v>
      </c>
      <c r="K278" s="13">
        <v>1.29</v>
      </c>
      <c r="L278" s="13">
        <v>0</v>
      </c>
      <c r="M278" s="13" t="s">
        <v>34</v>
      </c>
      <c r="N278" s="13">
        <v>1600</v>
      </c>
      <c r="O278" s="13" t="s">
        <v>34</v>
      </c>
      <c r="P278" s="13" t="s">
        <v>34</v>
      </c>
      <c r="Q278" s="13">
        <v>0</v>
      </c>
      <c r="R278" s="13">
        <v>2.65</v>
      </c>
      <c r="S278" s="13" t="s">
        <v>34</v>
      </c>
      <c r="T278" s="13" t="s">
        <v>49</v>
      </c>
      <c r="U278" s="13" t="s">
        <v>50</v>
      </c>
      <c r="V278" s="13" t="s">
        <v>207</v>
      </c>
      <c r="W278" s="13" t="s">
        <v>34</v>
      </c>
      <c r="X278" s="10">
        <v>3</v>
      </c>
      <c r="Y278" s="13">
        <v>1.5</v>
      </c>
      <c r="Z278" s="13" t="s">
        <v>177</v>
      </c>
      <c r="AA278" s="10">
        <v>0.40500000000000003</v>
      </c>
      <c r="AB278" s="13" t="s">
        <v>34</v>
      </c>
      <c r="AC278" s="13" t="s">
        <v>203</v>
      </c>
      <c r="AD278" s="13" t="s">
        <v>32</v>
      </c>
      <c r="AE278" s="13">
        <v>0.84240000000000004</v>
      </c>
      <c r="AF278" s="13" t="s">
        <v>210</v>
      </c>
      <c r="AG278" s="13">
        <v>2021</v>
      </c>
      <c r="AH278" s="13" t="s">
        <v>211</v>
      </c>
      <c r="AI278" s="2">
        <v>50</v>
      </c>
      <c r="AJ278" s="2">
        <v>2</v>
      </c>
      <c r="AK278" s="2">
        <v>0.5</v>
      </c>
    </row>
    <row r="279" spans="1:37" x14ac:dyDescent="0.3">
      <c r="A279" s="11">
        <v>3.1036468330134301</v>
      </c>
      <c r="B279" s="11">
        <v>809.64730290456396</v>
      </c>
      <c r="C279" s="13" t="s">
        <v>33</v>
      </c>
      <c r="D279" s="13" t="s">
        <v>35</v>
      </c>
      <c r="E279" s="13" t="s">
        <v>170</v>
      </c>
      <c r="F279" s="13">
        <v>0.2</v>
      </c>
      <c r="G279" s="13">
        <v>0.36</v>
      </c>
      <c r="H279" s="13">
        <v>0.31900000000000001</v>
      </c>
      <c r="I279" s="13">
        <v>0.39300000000000002</v>
      </c>
      <c r="J279" s="13">
        <v>1.9650000000000001</v>
      </c>
      <c r="K279" s="13">
        <v>1.29</v>
      </c>
      <c r="L279" s="13">
        <v>0</v>
      </c>
      <c r="M279" s="13" t="s">
        <v>34</v>
      </c>
      <c r="N279" s="13">
        <v>1600</v>
      </c>
      <c r="O279" s="13" t="s">
        <v>34</v>
      </c>
      <c r="P279" s="13" t="s">
        <v>34</v>
      </c>
      <c r="Q279" s="13">
        <v>0</v>
      </c>
      <c r="R279" s="13">
        <v>2.65</v>
      </c>
      <c r="S279" s="13" t="s">
        <v>34</v>
      </c>
      <c r="T279" s="13" t="s">
        <v>49</v>
      </c>
      <c r="U279" s="13" t="s">
        <v>50</v>
      </c>
      <c r="V279" s="13" t="s">
        <v>207</v>
      </c>
      <c r="W279" s="13" t="s">
        <v>34</v>
      </c>
      <c r="X279" s="10">
        <v>3</v>
      </c>
      <c r="Y279" s="13">
        <v>1.5</v>
      </c>
      <c r="Z279" s="13" t="s">
        <v>177</v>
      </c>
      <c r="AA279" s="10">
        <v>0.40500000000000003</v>
      </c>
      <c r="AB279" s="13" t="s">
        <v>34</v>
      </c>
      <c r="AC279" s="13" t="s">
        <v>203</v>
      </c>
      <c r="AD279" s="13" t="s">
        <v>32</v>
      </c>
      <c r="AE279" s="13">
        <v>0.84240000000000004</v>
      </c>
      <c r="AF279" s="13" t="s">
        <v>210</v>
      </c>
      <c r="AG279" s="13">
        <v>2021</v>
      </c>
      <c r="AH279" s="13" t="s">
        <v>211</v>
      </c>
      <c r="AI279" s="2">
        <v>50</v>
      </c>
      <c r="AJ279" s="2">
        <v>2</v>
      </c>
      <c r="AK279" s="2">
        <v>0.5</v>
      </c>
    </row>
    <row r="280" spans="1:37" x14ac:dyDescent="0.3">
      <c r="A280" s="11">
        <v>4.1401151631477902</v>
      </c>
      <c r="B280" s="11">
        <v>1110.9958506224</v>
      </c>
      <c r="C280" s="13" t="s">
        <v>33</v>
      </c>
      <c r="D280" s="13" t="s">
        <v>35</v>
      </c>
      <c r="E280" s="13" t="s">
        <v>170</v>
      </c>
      <c r="F280" s="13">
        <v>0.2</v>
      </c>
      <c r="G280" s="13">
        <v>0.36</v>
      </c>
      <c r="H280" s="13">
        <v>0.31900000000000001</v>
      </c>
      <c r="I280" s="13">
        <v>0.39300000000000002</v>
      </c>
      <c r="J280" s="13">
        <v>1.9650000000000001</v>
      </c>
      <c r="K280" s="13">
        <v>1.29</v>
      </c>
      <c r="L280" s="13">
        <v>0</v>
      </c>
      <c r="M280" s="13" t="s">
        <v>34</v>
      </c>
      <c r="N280" s="13">
        <v>1600</v>
      </c>
      <c r="O280" s="13" t="s">
        <v>34</v>
      </c>
      <c r="P280" s="13" t="s">
        <v>34</v>
      </c>
      <c r="Q280" s="13">
        <v>0</v>
      </c>
      <c r="R280" s="13">
        <v>2.65</v>
      </c>
      <c r="S280" s="13" t="s">
        <v>34</v>
      </c>
      <c r="T280" s="13" t="s">
        <v>49</v>
      </c>
      <c r="U280" s="13" t="s">
        <v>50</v>
      </c>
      <c r="V280" s="13" t="s">
        <v>207</v>
      </c>
      <c r="W280" s="13" t="s">
        <v>34</v>
      </c>
      <c r="X280" s="10">
        <v>3</v>
      </c>
      <c r="Y280" s="13">
        <v>1.5</v>
      </c>
      <c r="Z280" s="13" t="s">
        <v>177</v>
      </c>
      <c r="AA280" s="10">
        <v>0.40500000000000003</v>
      </c>
      <c r="AB280" s="13" t="s">
        <v>34</v>
      </c>
      <c r="AC280" s="13" t="s">
        <v>203</v>
      </c>
      <c r="AD280" s="13" t="s">
        <v>32</v>
      </c>
      <c r="AE280" s="13">
        <v>0.84240000000000004</v>
      </c>
      <c r="AF280" s="13" t="s">
        <v>210</v>
      </c>
      <c r="AG280" s="13">
        <v>2021</v>
      </c>
      <c r="AH280" s="13" t="s">
        <v>211</v>
      </c>
      <c r="AI280" s="2">
        <v>50</v>
      </c>
      <c r="AJ280" s="2">
        <v>2</v>
      </c>
      <c r="AK280" s="2">
        <v>0.5</v>
      </c>
    </row>
    <row r="281" spans="1:37" x14ac:dyDescent="0.3">
      <c r="A281" s="11">
        <v>4.1228406909788804</v>
      </c>
      <c r="B281" s="11">
        <v>1089.2116182572599</v>
      </c>
      <c r="C281" s="13" t="s">
        <v>33</v>
      </c>
      <c r="D281" s="13" t="s">
        <v>35</v>
      </c>
      <c r="E281" s="13" t="s">
        <v>170</v>
      </c>
      <c r="F281" s="13">
        <v>0.2</v>
      </c>
      <c r="G281" s="13">
        <v>0.36</v>
      </c>
      <c r="H281" s="13">
        <v>0.31900000000000001</v>
      </c>
      <c r="I281" s="13">
        <v>0.39300000000000002</v>
      </c>
      <c r="J281" s="13">
        <v>1.9650000000000001</v>
      </c>
      <c r="K281" s="13">
        <v>1.29</v>
      </c>
      <c r="L281" s="13">
        <v>0</v>
      </c>
      <c r="M281" s="13" t="s">
        <v>34</v>
      </c>
      <c r="N281" s="13">
        <v>1600</v>
      </c>
      <c r="O281" s="13" t="s">
        <v>34</v>
      </c>
      <c r="P281" s="13" t="s">
        <v>34</v>
      </c>
      <c r="Q281" s="13">
        <v>0</v>
      </c>
      <c r="R281" s="13">
        <v>2.65</v>
      </c>
      <c r="S281" s="13" t="s">
        <v>34</v>
      </c>
      <c r="T281" s="13" t="s">
        <v>49</v>
      </c>
      <c r="U281" s="13" t="s">
        <v>50</v>
      </c>
      <c r="V281" s="13" t="s">
        <v>207</v>
      </c>
      <c r="W281" s="13" t="s">
        <v>34</v>
      </c>
      <c r="X281" s="10">
        <v>3</v>
      </c>
      <c r="Y281" s="13">
        <v>1.5</v>
      </c>
      <c r="Z281" s="13" t="s">
        <v>177</v>
      </c>
      <c r="AA281" s="10">
        <v>0.40500000000000003</v>
      </c>
      <c r="AB281" s="13" t="s">
        <v>34</v>
      </c>
      <c r="AC281" s="13" t="s">
        <v>203</v>
      </c>
      <c r="AD281" s="13" t="s">
        <v>32</v>
      </c>
      <c r="AE281" s="13">
        <v>0.84240000000000004</v>
      </c>
      <c r="AF281" s="13" t="s">
        <v>210</v>
      </c>
      <c r="AG281" s="13">
        <v>2021</v>
      </c>
      <c r="AH281" s="13" t="s">
        <v>211</v>
      </c>
      <c r="AI281" s="2">
        <v>50</v>
      </c>
      <c r="AJ281" s="2">
        <v>2</v>
      </c>
      <c r="AK281" s="2">
        <v>0.5</v>
      </c>
    </row>
    <row r="282" spans="1:37" x14ac:dyDescent="0.3">
      <c r="A282" s="11">
        <v>4.1285988483685196</v>
      </c>
      <c r="B282" s="11">
        <v>1143.6721991701199</v>
      </c>
      <c r="C282" s="13" t="s">
        <v>33</v>
      </c>
      <c r="D282" s="13" t="s">
        <v>35</v>
      </c>
      <c r="E282" s="13" t="s">
        <v>170</v>
      </c>
      <c r="F282" s="13">
        <v>0.2</v>
      </c>
      <c r="G282" s="13">
        <v>0.36</v>
      </c>
      <c r="H282" s="13">
        <v>0.31900000000000001</v>
      </c>
      <c r="I282" s="13">
        <v>0.39300000000000002</v>
      </c>
      <c r="J282" s="13">
        <v>1.9650000000000001</v>
      </c>
      <c r="K282" s="13">
        <v>1.29</v>
      </c>
      <c r="L282" s="13">
        <v>0</v>
      </c>
      <c r="M282" s="13" t="s">
        <v>34</v>
      </c>
      <c r="N282" s="13">
        <v>1600</v>
      </c>
      <c r="O282" s="13" t="s">
        <v>34</v>
      </c>
      <c r="P282" s="13" t="s">
        <v>34</v>
      </c>
      <c r="Q282" s="13">
        <v>0</v>
      </c>
      <c r="R282" s="13">
        <v>2.65</v>
      </c>
      <c r="S282" s="13" t="s">
        <v>34</v>
      </c>
      <c r="T282" s="13" t="s">
        <v>49</v>
      </c>
      <c r="U282" s="13" t="s">
        <v>50</v>
      </c>
      <c r="V282" s="13" t="s">
        <v>207</v>
      </c>
      <c r="W282" s="13" t="s">
        <v>34</v>
      </c>
      <c r="X282" s="10">
        <v>3</v>
      </c>
      <c r="Y282" s="13">
        <v>1.5</v>
      </c>
      <c r="Z282" s="13" t="s">
        <v>177</v>
      </c>
      <c r="AA282" s="10">
        <v>0.40500000000000003</v>
      </c>
      <c r="AB282" s="13" t="s">
        <v>34</v>
      </c>
      <c r="AC282" s="13" t="s">
        <v>203</v>
      </c>
      <c r="AD282" s="13" t="s">
        <v>32</v>
      </c>
      <c r="AE282" s="13">
        <v>0.84240000000000004</v>
      </c>
      <c r="AF282" s="13" t="s">
        <v>210</v>
      </c>
      <c r="AG282" s="13">
        <v>2021</v>
      </c>
      <c r="AH282" s="13" t="s">
        <v>211</v>
      </c>
      <c r="AI282" s="2">
        <v>50</v>
      </c>
      <c r="AJ282" s="2">
        <v>2</v>
      </c>
      <c r="AK282" s="2">
        <v>0.5</v>
      </c>
    </row>
    <row r="283" spans="1:37" x14ac:dyDescent="0.3">
      <c r="A283" s="11">
        <v>4.2495201535508604</v>
      </c>
      <c r="B283" s="11">
        <v>1274.37759336099</v>
      </c>
      <c r="C283" s="13" t="s">
        <v>33</v>
      </c>
      <c r="D283" s="13" t="s">
        <v>35</v>
      </c>
      <c r="E283" s="13" t="s">
        <v>170</v>
      </c>
      <c r="F283" s="13">
        <v>0.2</v>
      </c>
      <c r="G283" s="13">
        <v>0.36</v>
      </c>
      <c r="H283" s="13">
        <v>0.31900000000000001</v>
      </c>
      <c r="I283" s="13">
        <v>0.39300000000000002</v>
      </c>
      <c r="J283" s="13">
        <v>1.9650000000000001</v>
      </c>
      <c r="K283" s="13">
        <v>1.29</v>
      </c>
      <c r="L283" s="13">
        <v>0</v>
      </c>
      <c r="M283" s="13" t="s">
        <v>34</v>
      </c>
      <c r="N283" s="13">
        <v>1600</v>
      </c>
      <c r="O283" s="13" t="s">
        <v>34</v>
      </c>
      <c r="P283" s="13" t="s">
        <v>34</v>
      </c>
      <c r="Q283" s="13">
        <v>0</v>
      </c>
      <c r="R283" s="13">
        <v>2.65</v>
      </c>
      <c r="S283" s="13" t="s">
        <v>34</v>
      </c>
      <c r="T283" s="13" t="s">
        <v>49</v>
      </c>
      <c r="U283" s="13" t="s">
        <v>50</v>
      </c>
      <c r="V283" s="13" t="s">
        <v>207</v>
      </c>
      <c r="W283" s="13" t="s">
        <v>34</v>
      </c>
      <c r="X283" s="10">
        <v>3</v>
      </c>
      <c r="Y283" s="13">
        <v>1.5</v>
      </c>
      <c r="Z283" s="13" t="s">
        <v>177</v>
      </c>
      <c r="AA283" s="10">
        <v>0.40500000000000003</v>
      </c>
      <c r="AB283" s="13" t="s">
        <v>34</v>
      </c>
      <c r="AC283" s="13" t="s">
        <v>203</v>
      </c>
      <c r="AD283" s="13" t="s">
        <v>32</v>
      </c>
      <c r="AE283" s="13">
        <v>0.84240000000000004</v>
      </c>
      <c r="AF283" s="13" t="s">
        <v>210</v>
      </c>
      <c r="AG283" s="13">
        <v>2021</v>
      </c>
      <c r="AH283" s="13" t="s">
        <v>211</v>
      </c>
      <c r="AI283" s="2">
        <v>50</v>
      </c>
      <c r="AJ283" s="2">
        <v>2</v>
      </c>
      <c r="AK283" s="2">
        <v>0.5</v>
      </c>
    </row>
    <row r="284" spans="1:37" x14ac:dyDescent="0.3">
      <c r="A284" s="11">
        <v>4.2322456813819596</v>
      </c>
      <c r="B284" s="11">
        <v>1238.07053941908</v>
      </c>
      <c r="C284" s="13" t="s">
        <v>33</v>
      </c>
      <c r="D284" s="13" t="s">
        <v>35</v>
      </c>
      <c r="E284" s="13" t="s">
        <v>170</v>
      </c>
      <c r="F284" s="13">
        <v>0.2</v>
      </c>
      <c r="G284" s="13">
        <v>0.36</v>
      </c>
      <c r="H284" s="13">
        <v>0.31900000000000001</v>
      </c>
      <c r="I284" s="13">
        <v>0.39300000000000002</v>
      </c>
      <c r="J284" s="13">
        <v>1.9650000000000001</v>
      </c>
      <c r="K284" s="13">
        <v>1.29</v>
      </c>
      <c r="L284" s="13">
        <v>0</v>
      </c>
      <c r="M284" s="13" t="s">
        <v>34</v>
      </c>
      <c r="N284" s="13">
        <v>1600</v>
      </c>
      <c r="O284" s="13" t="s">
        <v>34</v>
      </c>
      <c r="P284" s="13" t="s">
        <v>34</v>
      </c>
      <c r="Q284" s="13">
        <v>0</v>
      </c>
      <c r="R284" s="13">
        <v>2.65</v>
      </c>
      <c r="S284" s="13" t="s">
        <v>34</v>
      </c>
      <c r="T284" s="13" t="s">
        <v>49</v>
      </c>
      <c r="U284" s="13" t="s">
        <v>50</v>
      </c>
      <c r="V284" s="13" t="s">
        <v>207</v>
      </c>
      <c r="W284" s="13" t="s">
        <v>34</v>
      </c>
      <c r="X284" s="10">
        <v>3</v>
      </c>
      <c r="Y284" s="13">
        <v>1.5</v>
      </c>
      <c r="Z284" s="13" t="s">
        <v>177</v>
      </c>
      <c r="AA284" s="10">
        <v>0.40500000000000003</v>
      </c>
      <c r="AB284" s="13" t="s">
        <v>34</v>
      </c>
      <c r="AC284" s="13" t="s">
        <v>203</v>
      </c>
      <c r="AD284" s="13" t="s">
        <v>32</v>
      </c>
      <c r="AE284" s="13">
        <v>0.84240000000000004</v>
      </c>
      <c r="AF284" s="13" t="s">
        <v>210</v>
      </c>
      <c r="AG284" s="13">
        <v>2021</v>
      </c>
      <c r="AH284" s="13" t="s">
        <v>211</v>
      </c>
      <c r="AI284" s="2">
        <v>50</v>
      </c>
      <c r="AJ284" s="2">
        <v>2</v>
      </c>
      <c r="AK284" s="2">
        <v>0.5</v>
      </c>
    </row>
    <row r="285" spans="1:37" x14ac:dyDescent="0.3">
      <c r="A285" s="11">
        <v>4.1631477927063303</v>
      </c>
      <c r="B285" s="11">
        <v>1292.53112033195</v>
      </c>
      <c r="C285" s="13" t="s">
        <v>33</v>
      </c>
      <c r="D285" s="13" t="s">
        <v>35</v>
      </c>
      <c r="E285" s="13" t="s">
        <v>170</v>
      </c>
      <c r="F285" s="13">
        <v>0.2</v>
      </c>
      <c r="G285" s="13">
        <v>0.36</v>
      </c>
      <c r="H285" s="13">
        <v>0.31900000000000001</v>
      </c>
      <c r="I285" s="13">
        <v>0.39300000000000002</v>
      </c>
      <c r="J285" s="13">
        <v>1.9650000000000001</v>
      </c>
      <c r="K285" s="13">
        <v>1.29</v>
      </c>
      <c r="L285" s="13">
        <v>0</v>
      </c>
      <c r="M285" s="13" t="s">
        <v>34</v>
      </c>
      <c r="N285" s="13">
        <v>1600</v>
      </c>
      <c r="O285" s="13" t="s">
        <v>34</v>
      </c>
      <c r="P285" s="13" t="s">
        <v>34</v>
      </c>
      <c r="Q285" s="13">
        <v>0</v>
      </c>
      <c r="R285" s="13">
        <v>2.65</v>
      </c>
      <c r="S285" s="13" t="s">
        <v>34</v>
      </c>
      <c r="T285" s="13" t="s">
        <v>49</v>
      </c>
      <c r="U285" s="13" t="s">
        <v>50</v>
      </c>
      <c r="V285" s="13" t="s">
        <v>207</v>
      </c>
      <c r="W285" s="13" t="s">
        <v>34</v>
      </c>
      <c r="X285" s="10">
        <v>3</v>
      </c>
      <c r="Y285" s="13">
        <v>1.5</v>
      </c>
      <c r="Z285" s="13" t="s">
        <v>177</v>
      </c>
      <c r="AA285" s="10">
        <v>0.40500000000000003</v>
      </c>
      <c r="AB285" s="13" t="s">
        <v>34</v>
      </c>
      <c r="AC285" s="13" t="s">
        <v>203</v>
      </c>
      <c r="AD285" s="13" t="s">
        <v>32</v>
      </c>
      <c r="AE285" s="13">
        <v>0.84240000000000004</v>
      </c>
      <c r="AF285" s="13" t="s">
        <v>210</v>
      </c>
      <c r="AG285" s="13">
        <v>2021</v>
      </c>
      <c r="AH285" s="13" t="s">
        <v>211</v>
      </c>
      <c r="AI285" s="2">
        <v>50</v>
      </c>
      <c r="AJ285" s="2">
        <v>2</v>
      </c>
      <c r="AK285" s="2">
        <v>0.5</v>
      </c>
    </row>
    <row r="286" spans="1:37" x14ac:dyDescent="0.3">
      <c r="A286" s="11">
        <v>4.2898272552782997</v>
      </c>
      <c r="B286" s="11">
        <v>1405.08298755186</v>
      </c>
      <c r="C286" s="13" t="s">
        <v>33</v>
      </c>
      <c r="D286" s="13" t="s">
        <v>35</v>
      </c>
      <c r="E286" s="13" t="s">
        <v>170</v>
      </c>
      <c r="F286" s="13">
        <v>0.2</v>
      </c>
      <c r="G286" s="13">
        <v>0.36</v>
      </c>
      <c r="H286" s="13">
        <v>0.31900000000000001</v>
      </c>
      <c r="I286" s="13">
        <v>0.39300000000000002</v>
      </c>
      <c r="J286" s="13">
        <v>1.9650000000000001</v>
      </c>
      <c r="K286" s="13">
        <v>1.29</v>
      </c>
      <c r="L286" s="13">
        <v>0</v>
      </c>
      <c r="M286" s="13" t="s">
        <v>34</v>
      </c>
      <c r="N286" s="13">
        <v>1600</v>
      </c>
      <c r="O286" s="13" t="s">
        <v>34</v>
      </c>
      <c r="P286" s="13" t="s">
        <v>34</v>
      </c>
      <c r="Q286" s="13">
        <v>0</v>
      </c>
      <c r="R286" s="13">
        <v>2.65</v>
      </c>
      <c r="S286" s="13" t="s">
        <v>34</v>
      </c>
      <c r="T286" s="13" t="s">
        <v>49</v>
      </c>
      <c r="U286" s="13" t="s">
        <v>50</v>
      </c>
      <c r="V286" s="13" t="s">
        <v>207</v>
      </c>
      <c r="W286" s="13" t="s">
        <v>34</v>
      </c>
      <c r="X286" s="10">
        <v>3</v>
      </c>
      <c r="Y286" s="13">
        <v>1.5</v>
      </c>
      <c r="Z286" s="13" t="s">
        <v>177</v>
      </c>
      <c r="AA286" s="10">
        <v>0.40500000000000003</v>
      </c>
      <c r="AB286" s="13" t="s">
        <v>34</v>
      </c>
      <c r="AC286" s="13" t="s">
        <v>203</v>
      </c>
      <c r="AD286" s="13" t="s">
        <v>32</v>
      </c>
      <c r="AE286" s="13">
        <v>0.84240000000000004</v>
      </c>
      <c r="AF286" s="13" t="s">
        <v>210</v>
      </c>
      <c r="AG286" s="13">
        <v>2021</v>
      </c>
      <c r="AH286" s="13" t="s">
        <v>211</v>
      </c>
      <c r="AI286" s="2">
        <v>50</v>
      </c>
      <c r="AJ286" s="2">
        <v>2</v>
      </c>
      <c r="AK286" s="2">
        <v>0.5</v>
      </c>
    </row>
    <row r="287" spans="1:37" x14ac:dyDescent="0.3">
      <c r="A287" s="11">
        <v>4.3416506717850201</v>
      </c>
      <c r="B287" s="11">
        <v>1445.0207468879601</v>
      </c>
      <c r="C287" s="13" t="s">
        <v>33</v>
      </c>
      <c r="D287" s="13" t="s">
        <v>35</v>
      </c>
      <c r="E287" s="13" t="s">
        <v>170</v>
      </c>
      <c r="F287" s="13">
        <v>0.2</v>
      </c>
      <c r="G287" s="13">
        <v>0.36</v>
      </c>
      <c r="H287" s="13">
        <v>0.31900000000000001</v>
      </c>
      <c r="I287" s="13">
        <v>0.39300000000000002</v>
      </c>
      <c r="J287" s="13">
        <v>1.9650000000000001</v>
      </c>
      <c r="K287" s="13">
        <v>1.29</v>
      </c>
      <c r="L287" s="13">
        <v>0</v>
      </c>
      <c r="M287" s="13" t="s">
        <v>34</v>
      </c>
      <c r="N287" s="13">
        <v>1600</v>
      </c>
      <c r="O287" s="13" t="s">
        <v>34</v>
      </c>
      <c r="P287" s="13" t="s">
        <v>34</v>
      </c>
      <c r="Q287" s="13">
        <v>0</v>
      </c>
      <c r="R287" s="13">
        <v>2.65</v>
      </c>
      <c r="S287" s="13" t="s">
        <v>34</v>
      </c>
      <c r="T287" s="13" t="s">
        <v>49</v>
      </c>
      <c r="U287" s="13" t="s">
        <v>50</v>
      </c>
      <c r="V287" s="13" t="s">
        <v>207</v>
      </c>
      <c r="W287" s="13" t="s">
        <v>34</v>
      </c>
      <c r="X287" s="10">
        <v>3</v>
      </c>
      <c r="Y287" s="13">
        <v>1.5</v>
      </c>
      <c r="Z287" s="13" t="s">
        <v>177</v>
      </c>
      <c r="AA287" s="10">
        <v>0.40500000000000003</v>
      </c>
      <c r="AB287" s="13" t="s">
        <v>34</v>
      </c>
      <c r="AC287" s="13" t="s">
        <v>203</v>
      </c>
      <c r="AD287" s="13" t="s">
        <v>32</v>
      </c>
      <c r="AE287" s="13">
        <v>0.84240000000000004</v>
      </c>
      <c r="AF287" s="13" t="s">
        <v>210</v>
      </c>
      <c r="AG287" s="13">
        <v>2021</v>
      </c>
      <c r="AH287" s="13" t="s">
        <v>211</v>
      </c>
      <c r="AI287" s="2">
        <v>50</v>
      </c>
      <c r="AJ287" s="2">
        <v>2</v>
      </c>
      <c r="AK287" s="2">
        <v>0.5</v>
      </c>
    </row>
    <row r="288" spans="1:37" x14ac:dyDescent="0.3">
      <c r="A288" s="11">
        <v>4.3416506717850298</v>
      </c>
      <c r="B288" s="11">
        <v>1543.0497925311199</v>
      </c>
      <c r="C288" s="13" t="s">
        <v>33</v>
      </c>
      <c r="D288" s="13" t="s">
        <v>35</v>
      </c>
      <c r="E288" s="13" t="s">
        <v>170</v>
      </c>
      <c r="F288" s="13">
        <v>0.2</v>
      </c>
      <c r="G288" s="13">
        <v>0.36</v>
      </c>
      <c r="H288" s="13">
        <v>0.31900000000000001</v>
      </c>
      <c r="I288" s="13">
        <v>0.39300000000000002</v>
      </c>
      <c r="J288" s="13">
        <v>1.9650000000000001</v>
      </c>
      <c r="K288" s="13">
        <v>1.29</v>
      </c>
      <c r="L288" s="13">
        <v>0</v>
      </c>
      <c r="M288" s="13" t="s">
        <v>34</v>
      </c>
      <c r="N288" s="13">
        <v>1600</v>
      </c>
      <c r="O288" s="13" t="s">
        <v>34</v>
      </c>
      <c r="P288" s="13" t="s">
        <v>34</v>
      </c>
      <c r="Q288" s="13">
        <v>0</v>
      </c>
      <c r="R288" s="13">
        <v>2.65</v>
      </c>
      <c r="S288" s="13" t="s">
        <v>34</v>
      </c>
      <c r="T288" s="13" t="s">
        <v>49</v>
      </c>
      <c r="U288" s="13" t="s">
        <v>50</v>
      </c>
      <c r="V288" s="13" t="s">
        <v>207</v>
      </c>
      <c r="W288" s="13" t="s">
        <v>34</v>
      </c>
      <c r="X288" s="10">
        <v>3</v>
      </c>
      <c r="Y288" s="13">
        <v>1.5</v>
      </c>
      <c r="Z288" s="13" t="s">
        <v>177</v>
      </c>
      <c r="AA288" s="10">
        <v>0.40500000000000003</v>
      </c>
      <c r="AB288" s="13" t="s">
        <v>34</v>
      </c>
      <c r="AC288" s="13" t="s">
        <v>203</v>
      </c>
      <c r="AD288" s="13" t="s">
        <v>32</v>
      </c>
      <c r="AE288" s="13">
        <v>0.84240000000000004</v>
      </c>
      <c r="AF288" s="13" t="s">
        <v>210</v>
      </c>
      <c r="AG288" s="13">
        <v>2021</v>
      </c>
      <c r="AH288" s="13" t="s">
        <v>211</v>
      </c>
      <c r="AI288" s="2">
        <v>50</v>
      </c>
      <c r="AJ288" s="2">
        <v>2</v>
      </c>
      <c r="AK288" s="2">
        <v>0.5</v>
      </c>
    </row>
    <row r="289" spans="1:37" x14ac:dyDescent="0.3">
      <c r="A289" s="11">
        <v>4.3761996161228396</v>
      </c>
      <c r="B289" s="11">
        <v>1699.17012448132</v>
      </c>
      <c r="C289" s="13" t="s">
        <v>33</v>
      </c>
      <c r="D289" s="13" t="s">
        <v>35</v>
      </c>
      <c r="E289" s="13" t="s">
        <v>170</v>
      </c>
      <c r="F289" s="13">
        <v>0.2</v>
      </c>
      <c r="G289" s="13">
        <v>0.36</v>
      </c>
      <c r="H289" s="13">
        <v>0.31900000000000001</v>
      </c>
      <c r="I289" s="13">
        <v>0.39300000000000002</v>
      </c>
      <c r="J289" s="13">
        <v>1.9650000000000001</v>
      </c>
      <c r="K289" s="13">
        <v>1.29</v>
      </c>
      <c r="L289" s="13">
        <v>0</v>
      </c>
      <c r="M289" s="13" t="s">
        <v>34</v>
      </c>
      <c r="N289" s="13">
        <v>1600</v>
      </c>
      <c r="O289" s="13" t="s">
        <v>34</v>
      </c>
      <c r="P289" s="13" t="s">
        <v>34</v>
      </c>
      <c r="Q289" s="13">
        <v>0</v>
      </c>
      <c r="R289" s="13">
        <v>2.65</v>
      </c>
      <c r="S289" s="13" t="s">
        <v>34</v>
      </c>
      <c r="T289" s="13" t="s">
        <v>49</v>
      </c>
      <c r="U289" s="13" t="s">
        <v>50</v>
      </c>
      <c r="V289" s="13" t="s">
        <v>207</v>
      </c>
      <c r="W289" s="13" t="s">
        <v>34</v>
      </c>
      <c r="X289" s="10">
        <v>3</v>
      </c>
      <c r="Y289" s="13">
        <v>1.5</v>
      </c>
      <c r="Z289" s="13" t="s">
        <v>177</v>
      </c>
      <c r="AA289" s="10">
        <v>0.40500000000000003</v>
      </c>
      <c r="AB289" s="13" t="s">
        <v>34</v>
      </c>
      <c r="AC289" s="13" t="s">
        <v>203</v>
      </c>
      <c r="AD289" s="13" t="s">
        <v>32</v>
      </c>
      <c r="AE289" s="13">
        <v>0.84240000000000004</v>
      </c>
      <c r="AF289" s="13" t="s">
        <v>210</v>
      </c>
      <c r="AG289" s="13">
        <v>2021</v>
      </c>
      <c r="AH289" s="13" t="s">
        <v>211</v>
      </c>
      <c r="AI289" s="2">
        <v>50</v>
      </c>
      <c r="AJ289" s="2">
        <v>2</v>
      </c>
      <c r="AK289" s="2">
        <v>0.5</v>
      </c>
    </row>
    <row r="290" spans="1:37" x14ac:dyDescent="0.3">
      <c r="A290" s="11">
        <v>4.4222648752399198</v>
      </c>
      <c r="B290" s="11">
        <v>1742.7385892116099</v>
      </c>
      <c r="C290" s="13" t="s">
        <v>33</v>
      </c>
      <c r="D290" s="13" t="s">
        <v>35</v>
      </c>
      <c r="E290" s="13" t="s">
        <v>170</v>
      </c>
      <c r="F290" s="13">
        <v>0.2</v>
      </c>
      <c r="G290" s="13">
        <v>0.36</v>
      </c>
      <c r="H290" s="13">
        <v>0.31900000000000001</v>
      </c>
      <c r="I290" s="13">
        <v>0.39300000000000002</v>
      </c>
      <c r="J290" s="13">
        <v>1.9650000000000001</v>
      </c>
      <c r="K290" s="13">
        <v>1.29</v>
      </c>
      <c r="L290" s="13">
        <v>0</v>
      </c>
      <c r="M290" s="13" t="s">
        <v>34</v>
      </c>
      <c r="N290" s="13">
        <v>1600</v>
      </c>
      <c r="O290" s="13" t="s">
        <v>34</v>
      </c>
      <c r="P290" s="13" t="s">
        <v>34</v>
      </c>
      <c r="Q290" s="13">
        <v>0</v>
      </c>
      <c r="R290" s="13">
        <v>2.65</v>
      </c>
      <c r="S290" s="13" t="s">
        <v>34</v>
      </c>
      <c r="T290" s="13" t="s">
        <v>49</v>
      </c>
      <c r="U290" s="13" t="s">
        <v>50</v>
      </c>
      <c r="V290" s="13" t="s">
        <v>207</v>
      </c>
      <c r="W290" s="13" t="s">
        <v>34</v>
      </c>
      <c r="X290" s="10">
        <v>3</v>
      </c>
      <c r="Y290" s="13">
        <v>1.5</v>
      </c>
      <c r="Z290" s="13" t="s">
        <v>177</v>
      </c>
      <c r="AA290" s="10">
        <v>0.40500000000000003</v>
      </c>
      <c r="AB290" s="13" t="s">
        <v>34</v>
      </c>
      <c r="AC290" s="13" t="s">
        <v>203</v>
      </c>
      <c r="AD290" s="13" t="s">
        <v>32</v>
      </c>
      <c r="AE290" s="13">
        <v>0.84240000000000004</v>
      </c>
      <c r="AF290" s="13" t="s">
        <v>210</v>
      </c>
      <c r="AG290" s="13">
        <v>2021</v>
      </c>
      <c r="AH290" s="13" t="s">
        <v>211</v>
      </c>
      <c r="AI290" s="2">
        <v>50</v>
      </c>
      <c r="AJ290" s="2">
        <v>2</v>
      </c>
      <c r="AK290" s="2">
        <v>0.5</v>
      </c>
    </row>
    <row r="291" spans="1:37" x14ac:dyDescent="0.3">
      <c r="A291" s="11">
        <v>4.0652591170825296</v>
      </c>
      <c r="B291" s="11">
        <v>1731.84647302904</v>
      </c>
      <c r="C291" s="13" t="s">
        <v>33</v>
      </c>
      <c r="D291" s="13" t="s">
        <v>35</v>
      </c>
      <c r="E291" s="13" t="s">
        <v>170</v>
      </c>
      <c r="F291" s="13">
        <v>0.2</v>
      </c>
      <c r="G291" s="13">
        <v>0.36</v>
      </c>
      <c r="H291" s="13">
        <v>0.31900000000000001</v>
      </c>
      <c r="I291" s="13">
        <v>0.39300000000000002</v>
      </c>
      <c r="J291" s="13">
        <v>1.9650000000000001</v>
      </c>
      <c r="K291" s="13">
        <v>1.29</v>
      </c>
      <c r="L291" s="13">
        <v>0</v>
      </c>
      <c r="M291" s="13" t="s">
        <v>34</v>
      </c>
      <c r="N291" s="13">
        <v>1600</v>
      </c>
      <c r="O291" s="13" t="s">
        <v>34</v>
      </c>
      <c r="P291" s="13" t="s">
        <v>34</v>
      </c>
      <c r="Q291" s="13">
        <v>0</v>
      </c>
      <c r="R291" s="13">
        <v>2.65</v>
      </c>
      <c r="S291" s="13" t="s">
        <v>34</v>
      </c>
      <c r="T291" s="13" t="s">
        <v>49</v>
      </c>
      <c r="U291" s="13" t="s">
        <v>50</v>
      </c>
      <c r="V291" s="13" t="s">
        <v>207</v>
      </c>
      <c r="W291" s="13" t="s">
        <v>34</v>
      </c>
      <c r="X291" s="10">
        <v>3</v>
      </c>
      <c r="Y291" s="13">
        <v>1.5</v>
      </c>
      <c r="Z291" s="13" t="s">
        <v>177</v>
      </c>
      <c r="AA291" s="10">
        <v>0.40500000000000003</v>
      </c>
      <c r="AB291" s="13" t="s">
        <v>34</v>
      </c>
      <c r="AC291" s="13" t="s">
        <v>203</v>
      </c>
      <c r="AD291" s="13" t="s">
        <v>32</v>
      </c>
      <c r="AE291" s="13">
        <v>0.84240000000000004</v>
      </c>
      <c r="AF291" s="13" t="s">
        <v>210</v>
      </c>
      <c r="AG291" s="13">
        <v>2021</v>
      </c>
      <c r="AH291" s="13" t="s">
        <v>211</v>
      </c>
      <c r="AI291" s="2">
        <v>50</v>
      </c>
      <c r="AJ291" s="2">
        <v>2</v>
      </c>
      <c r="AK291" s="2">
        <v>0.5</v>
      </c>
    </row>
    <row r="292" spans="1:37" x14ac:dyDescent="0.3">
      <c r="A292" s="11">
        <v>4.3128598848368496</v>
      </c>
      <c r="B292" s="11">
        <v>1931.53526970954</v>
      </c>
      <c r="C292" s="13" t="s">
        <v>33</v>
      </c>
      <c r="D292" s="13" t="s">
        <v>35</v>
      </c>
      <c r="E292" s="13" t="s">
        <v>170</v>
      </c>
      <c r="F292" s="13">
        <v>0.2</v>
      </c>
      <c r="G292" s="13">
        <v>0.36</v>
      </c>
      <c r="H292" s="13">
        <v>0.31900000000000001</v>
      </c>
      <c r="I292" s="13">
        <v>0.39300000000000002</v>
      </c>
      <c r="J292" s="13">
        <v>1.9650000000000001</v>
      </c>
      <c r="K292" s="13">
        <v>1.29</v>
      </c>
      <c r="L292" s="13">
        <v>0</v>
      </c>
      <c r="M292" s="13" t="s">
        <v>34</v>
      </c>
      <c r="N292" s="13">
        <v>1600</v>
      </c>
      <c r="O292" s="13" t="s">
        <v>34</v>
      </c>
      <c r="P292" s="13" t="s">
        <v>34</v>
      </c>
      <c r="Q292" s="13">
        <v>0</v>
      </c>
      <c r="R292" s="13">
        <v>2.65</v>
      </c>
      <c r="S292" s="13" t="s">
        <v>34</v>
      </c>
      <c r="T292" s="13" t="s">
        <v>49</v>
      </c>
      <c r="U292" s="13" t="s">
        <v>50</v>
      </c>
      <c r="V292" s="13" t="s">
        <v>207</v>
      </c>
      <c r="W292" s="13" t="s">
        <v>34</v>
      </c>
      <c r="X292" s="10">
        <v>3</v>
      </c>
      <c r="Y292" s="13">
        <v>1.5</v>
      </c>
      <c r="Z292" s="13" t="s">
        <v>177</v>
      </c>
      <c r="AA292" s="10">
        <v>0.40500000000000003</v>
      </c>
      <c r="AB292" s="13" t="s">
        <v>34</v>
      </c>
      <c r="AC292" s="13" t="s">
        <v>203</v>
      </c>
      <c r="AD292" s="13" t="s">
        <v>32</v>
      </c>
      <c r="AE292" s="13">
        <v>0.84240000000000004</v>
      </c>
      <c r="AF292" s="13" t="s">
        <v>210</v>
      </c>
      <c r="AG292" s="13">
        <v>2021</v>
      </c>
      <c r="AH292" s="13" t="s">
        <v>211</v>
      </c>
      <c r="AI292" s="2">
        <v>50</v>
      </c>
      <c r="AJ292" s="2">
        <v>2</v>
      </c>
      <c r="AK292" s="2">
        <v>0.5</v>
      </c>
    </row>
    <row r="293" spans="1:37" x14ac:dyDescent="0.3">
      <c r="A293" s="11">
        <v>4.3358925143953897</v>
      </c>
      <c r="B293" s="11">
        <v>2058.6099585062202</v>
      </c>
      <c r="C293" s="13" t="s">
        <v>33</v>
      </c>
      <c r="D293" s="13" t="s">
        <v>35</v>
      </c>
      <c r="E293" s="13" t="s">
        <v>170</v>
      </c>
      <c r="F293" s="13">
        <v>0.2</v>
      </c>
      <c r="G293" s="13">
        <v>0.36</v>
      </c>
      <c r="H293" s="13">
        <v>0.31900000000000001</v>
      </c>
      <c r="I293" s="13">
        <v>0.39300000000000002</v>
      </c>
      <c r="J293" s="13">
        <v>1.9650000000000001</v>
      </c>
      <c r="K293" s="13">
        <v>1.29</v>
      </c>
      <c r="L293" s="13">
        <v>0</v>
      </c>
      <c r="M293" s="13" t="s">
        <v>34</v>
      </c>
      <c r="N293" s="13">
        <v>1600</v>
      </c>
      <c r="O293" s="13" t="s">
        <v>34</v>
      </c>
      <c r="P293" s="13" t="s">
        <v>34</v>
      </c>
      <c r="Q293" s="13">
        <v>0</v>
      </c>
      <c r="R293" s="13">
        <v>2.65</v>
      </c>
      <c r="S293" s="13" t="s">
        <v>34</v>
      </c>
      <c r="T293" s="13" t="s">
        <v>49</v>
      </c>
      <c r="U293" s="13" t="s">
        <v>50</v>
      </c>
      <c r="V293" s="13" t="s">
        <v>207</v>
      </c>
      <c r="W293" s="13" t="s">
        <v>34</v>
      </c>
      <c r="X293" s="10">
        <v>3</v>
      </c>
      <c r="Y293" s="13">
        <v>1.5</v>
      </c>
      <c r="Z293" s="13" t="s">
        <v>177</v>
      </c>
      <c r="AA293" s="10">
        <v>0.40500000000000003</v>
      </c>
      <c r="AB293" s="13" t="s">
        <v>34</v>
      </c>
      <c r="AC293" s="13" t="s">
        <v>203</v>
      </c>
      <c r="AD293" s="13" t="s">
        <v>32</v>
      </c>
      <c r="AE293" s="13">
        <v>0.84240000000000004</v>
      </c>
      <c r="AF293" s="13" t="s">
        <v>210</v>
      </c>
      <c r="AG293" s="13">
        <v>2021</v>
      </c>
      <c r="AH293" s="13" t="s">
        <v>211</v>
      </c>
      <c r="AI293" s="2">
        <v>50</v>
      </c>
      <c r="AJ293" s="2">
        <v>2</v>
      </c>
      <c r="AK293" s="2">
        <v>0.5</v>
      </c>
    </row>
    <row r="294" spans="1:37" x14ac:dyDescent="0.3">
      <c r="A294" s="11">
        <v>4.2207293666026802</v>
      </c>
      <c r="B294" s="11">
        <v>2058.6099585062202</v>
      </c>
      <c r="C294" s="13" t="s">
        <v>33</v>
      </c>
      <c r="D294" s="13" t="s">
        <v>35</v>
      </c>
      <c r="E294" s="13" t="s">
        <v>170</v>
      </c>
      <c r="F294" s="13">
        <v>0.2</v>
      </c>
      <c r="G294" s="13">
        <v>0.36</v>
      </c>
      <c r="H294" s="13">
        <v>0.31900000000000001</v>
      </c>
      <c r="I294" s="13">
        <v>0.39300000000000002</v>
      </c>
      <c r="J294" s="13">
        <v>1.9650000000000001</v>
      </c>
      <c r="K294" s="13">
        <v>1.29</v>
      </c>
      <c r="L294" s="13">
        <v>0</v>
      </c>
      <c r="M294" s="13" t="s">
        <v>34</v>
      </c>
      <c r="N294" s="13">
        <v>1600</v>
      </c>
      <c r="O294" s="13" t="s">
        <v>34</v>
      </c>
      <c r="P294" s="13" t="s">
        <v>34</v>
      </c>
      <c r="Q294" s="13">
        <v>0</v>
      </c>
      <c r="R294" s="13">
        <v>2.65</v>
      </c>
      <c r="S294" s="13" t="s">
        <v>34</v>
      </c>
      <c r="T294" s="13" t="s">
        <v>49</v>
      </c>
      <c r="U294" s="13" t="s">
        <v>50</v>
      </c>
      <c r="V294" s="13" t="s">
        <v>207</v>
      </c>
      <c r="W294" s="13" t="s">
        <v>34</v>
      </c>
      <c r="X294" s="10">
        <v>3</v>
      </c>
      <c r="Y294" s="13">
        <v>1.5</v>
      </c>
      <c r="Z294" s="13" t="s">
        <v>177</v>
      </c>
      <c r="AA294" s="10">
        <v>0.40500000000000003</v>
      </c>
      <c r="AB294" s="13" t="s">
        <v>34</v>
      </c>
      <c r="AC294" s="13" t="s">
        <v>203</v>
      </c>
      <c r="AD294" s="13" t="s">
        <v>32</v>
      </c>
      <c r="AE294" s="13">
        <v>0.84240000000000004</v>
      </c>
      <c r="AF294" s="13" t="s">
        <v>210</v>
      </c>
      <c r="AG294" s="13">
        <v>2021</v>
      </c>
      <c r="AH294" s="13" t="s">
        <v>211</v>
      </c>
      <c r="AI294" s="2">
        <v>50</v>
      </c>
      <c r="AJ294" s="2">
        <v>2</v>
      </c>
      <c r="AK294" s="2">
        <v>0.5</v>
      </c>
    </row>
    <row r="295" spans="1:37" x14ac:dyDescent="0.3">
      <c r="A295" s="11">
        <v>4.2840690978886702</v>
      </c>
      <c r="B295" s="11">
        <v>2116.70124481327</v>
      </c>
      <c r="C295" s="13" t="s">
        <v>33</v>
      </c>
      <c r="D295" s="13" t="s">
        <v>35</v>
      </c>
      <c r="E295" s="13" t="s">
        <v>170</v>
      </c>
      <c r="F295" s="13">
        <v>0.2</v>
      </c>
      <c r="G295" s="13">
        <v>0.36</v>
      </c>
      <c r="H295" s="13">
        <v>0.31900000000000001</v>
      </c>
      <c r="I295" s="13">
        <v>0.39300000000000002</v>
      </c>
      <c r="J295" s="13">
        <v>1.9650000000000001</v>
      </c>
      <c r="K295" s="13">
        <v>1.29</v>
      </c>
      <c r="L295" s="13">
        <v>0</v>
      </c>
      <c r="M295" s="13" t="s">
        <v>34</v>
      </c>
      <c r="N295" s="13">
        <v>1600</v>
      </c>
      <c r="O295" s="13" t="s">
        <v>34</v>
      </c>
      <c r="P295" s="13" t="s">
        <v>34</v>
      </c>
      <c r="Q295" s="13">
        <v>0</v>
      </c>
      <c r="R295" s="13">
        <v>2.65</v>
      </c>
      <c r="S295" s="13" t="s">
        <v>34</v>
      </c>
      <c r="T295" s="13" t="s">
        <v>49</v>
      </c>
      <c r="U295" s="13" t="s">
        <v>50</v>
      </c>
      <c r="V295" s="13" t="s">
        <v>207</v>
      </c>
      <c r="W295" s="13" t="s">
        <v>34</v>
      </c>
      <c r="X295" s="10">
        <v>3</v>
      </c>
      <c r="Y295" s="13">
        <v>1.5</v>
      </c>
      <c r="Z295" s="13" t="s">
        <v>177</v>
      </c>
      <c r="AA295" s="10">
        <v>0.40500000000000003</v>
      </c>
      <c r="AB295" s="13" t="s">
        <v>34</v>
      </c>
      <c r="AC295" s="13" t="s">
        <v>203</v>
      </c>
      <c r="AD295" s="13" t="s">
        <v>32</v>
      </c>
      <c r="AE295" s="13">
        <v>0.84240000000000004</v>
      </c>
      <c r="AF295" s="13" t="s">
        <v>210</v>
      </c>
      <c r="AG295" s="13">
        <v>2021</v>
      </c>
      <c r="AH295" s="13" t="s">
        <v>211</v>
      </c>
      <c r="AI295" s="2">
        <v>50</v>
      </c>
      <c r="AJ295" s="2">
        <v>2</v>
      </c>
      <c r="AK295" s="2">
        <v>0.5</v>
      </c>
    </row>
    <row r="296" spans="1:37" x14ac:dyDescent="0.3">
      <c r="A296" s="11">
        <v>4.5489443378118999</v>
      </c>
      <c r="B296" s="11">
        <v>2610.4771784232298</v>
      </c>
      <c r="C296" s="13" t="s">
        <v>33</v>
      </c>
      <c r="D296" s="13" t="s">
        <v>35</v>
      </c>
      <c r="E296" s="13" t="s">
        <v>170</v>
      </c>
      <c r="F296" s="13">
        <v>0.2</v>
      </c>
      <c r="G296" s="13">
        <v>0.36</v>
      </c>
      <c r="H296" s="13">
        <v>0.31900000000000001</v>
      </c>
      <c r="I296" s="13">
        <v>0.39300000000000002</v>
      </c>
      <c r="J296" s="13">
        <v>1.9650000000000001</v>
      </c>
      <c r="K296" s="13">
        <v>1.29</v>
      </c>
      <c r="L296" s="13">
        <v>0</v>
      </c>
      <c r="M296" s="13" t="s">
        <v>34</v>
      </c>
      <c r="N296" s="13">
        <v>1600</v>
      </c>
      <c r="O296" s="13" t="s">
        <v>34</v>
      </c>
      <c r="P296" s="13" t="s">
        <v>34</v>
      </c>
      <c r="Q296" s="13">
        <v>0</v>
      </c>
      <c r="R296" s="13">
        <v>2.65</v>
      </c>
      <c r="S296" s="13" t="s">
        <v>34</v>
      </c>
      <c r="T296" s="13" t="s">
        <v>49</v>
      </c>
      <c r="U296" s="13" t="s">
        <v>50</v>
      </c>
      <c r="V296" s="13" t="s">
        <v>207</v>
      </c>
      <c r="W296" s="13" t="s">
        <v>34</v>
      </c>
      <c r="X296" s="10">
        <v>3</v>
      </c>
      <c r="Y296" s="13">
        <v>1.5</v>
      </c>
      <c r="Z296" s="13" t="s">
        <v>177</v>
      </c>
      <c r="AA296" s="10">
        <v>0.40500000000000003</v>
      </c>
      <c r="AB296" s="13" t="s">
        <v>34</v>
      </c>
      <c r="AC296" s="13" t="s">
        <v>203</v>
      </c>
      <c r="AD296" s="13" t="s">
        <v>32</v>
      </c>
      <c r="AE296" s="13">
        <v>0.84240000000000004</v>
      </c>
      <c r="AF296" s="13" t="s">
        <v>210</v>
      </c>
      <c r="AG296" s="13">
        <v>2021</v>
      </c>
      <c r="AH296" s="13" t="s">
        <v>211</v>
      </c>
      <c r="AI296" s="2">
        <v>50</v>
      </c>
      <c r="AJ296" s="2">
        <v>2</v>
      </c>
      <c r="AK296" s="2">
        <v>0.5</v>
      </c>
    </row>
    <row r="297" spans="1:37" x14ac:dyDescent="0.3">
      <c r="A297" s="11">
        <v>5.5911708253358903</v>
      </c>
      <c r="B297" s="11">
        <v>2984.4398340248899</v>
      </c>
      <c r="C297" s="13" t="s">
        <v>33</v>
      </c>
      <c r="D297" s="13" t="s">
        <v>35</v>
      </c>
      <c r="E297" s="13" t="s">
        <v>170</v>
      </c>
      <c r="F297" s="13">
        <v>0.2</v>
      </c>
      <c r="G297" s="13">
        <v>0.36</v>
      </c>
      <c r="H297" s="13">
        <v>0.31900000000000001</v>
      </c>
      <c r="I297" s="13">
        <v>0.39300000000000002</v>
      </c>
      <c r="J297" s="13">
        <v>1.9650000000000001</v>
      </c>
      <c r="K297" s="13">
        <v>1.29</v>
      </c>
      <c r="L297" s="13">
        <v>0</v>
      </c>
      <c r="M297" s="13" t="s">
        <v>34</v>
      </c>
      <c r="N297" s="13">
        <v>1600</v>
      </c>
      <c r="O297" s="13" t="s">
        <v>34</v>
      </c>
      <c r="P297" s="13" t="s">
        <v>34</v>
      </c>
      <c r="Q297" s="13">
        <v>0</v>
      </c>
      <c r="R297" s="13">
        <v>2.65</v>
      </c>
      <c r="S297" s="13" t="s">
        <v>34</v>
      </c>
      <c r="T297" s="13" t="s">
        <v>49</v>
      </c>
      <c r="U297" s="13" t="s">
        <v>50</v>
      </c>
      <c r="V297" s="13" t="s">
        <v>207</v>
      </c>
      <c r="W297" s="13" t="s">
        <v>34</v>
      </c>
      <c r="X297" s="10">
        <v>3</v>
      </c>
      <c r="Y297" s="13">
        <v>1.5</v>
      </c>
      <c r="Z297" s="13" t="s">
        <v>177</v>
      </c>
      <c r="AA297" s="10">
        <v>0.40500000000000003</v>
      </c>
      <c r="AB297" s="13" t="s">
        <v>34</v>
      </c>
      <c r="AC297" s="13" t="s">
        <v>203</v>
      </c>
      <c r="AD297" s="13" t="s">
        <v>32</v>
      </c>
      <c r="AE297" s="13">
        <v>0.84240000000000004</v>
      </c>
      <c r="AF297" s="13" t="s">
        <v>210</v>
      </c>
      <c r="AG297" s="13">
        <v>2021</v>
      </c>
      <c r="AH297" s="13" t="s">
        <v>211</v>
      </c>
      <c r="AI297" s="2">
        <v>50</v>
      </c>
      <c r="AJ297" s="2">
        <v>2</v>
      </c>
      <c r="AK297" s="2">
        <v>0.5</v>
      </c>
    </row>
    <row r="298" spans="1:37" x14ac:dyDescent="0.3">
      <c r="A298" s="11">
        <v>4.3243761996161201</v>
      </c>
      <c r="B298" s="11">
        <v>1412.3443983402401</v>
      </c>
      <c r="C298" s="13" t="s">
        <v>33</v>
      </c>
      <c r="D298" s="13" t="s">
        <v>35</v>
      </c>
      <c r="E298" s="13" t="s">
        <v>170</v>
      </c>
      <c r="F298" s="13">
        <v>0.2</v>
      </c>
      <c r="G298" s="13">
        <v>0.36</v>
      </c>
      <c r="H298" s="13">
        <v>0.31900000000000001</v>
      </c>
      <c r="I298" s="13">
        <v>0.39300000000000002</v>
      </c>
      <c r="J298" s="13">
        <v>1.9650000000000001</v>
      </c>
      <c r="K298" s="13">
        <v>1.29</v>
      </c>
      <c r="L298" s="13">
        <v>0</v>
      </c>
      <c r="M298" s="13" t="s">
        <v>34</v>
      </c>
      <c r="N298" s="13">
        <v>1600</v>
      </c>
      <c r="O298" s="13" t="s">
        <v>34</v>
      </c>
      <c r="P298" s="13" t="s">
        <v>34</v>
      </c>
      <c r="Q298" s="13">
        <v>0</v>
      </c>
      <c r="R298" s="13">
        <v>2.65</v>
      </c>
      <c r="S298" s="13" t="s">
        <v>34</v>
      </c>
      <c r="T298" s="13" t="s">
        <v>49</v>
      </c>
      <c r="U298" s="13" t="s">
        <v>50</v>
      </c>
      <c r="V298" s="13" t="s">
        <v>207</v>
      </c>
      <c r="W298" s="13" t="s">
        <v>34</v>
      </c>
      <c r="X298" s="10">
        <v>3</v>
      </c>
      <c r="Y298" s="13">
        <v>1.5</v>
      </c>
      <c r="Z298" s="13" t="s">
        <v>177</v>
      </c>
      <c r="AA298" s="10">
        <v>0.40500000000000003</v>
      </c>
      <c r="AB298" s="13" t="s">
        <v>34</v>
      </c>
      <c r="AC298" s="13" t="s">
        <v>203</v>
      </c>
      <c r="AD298" s="13" t="s">
        <v>32</v>
      </c>
      <c r="AE298" s="13">
        <v>0.84240000000000004</v>
      </c>
      <c r="AF298" s="13" t="s">
        <v>210</v>
      </c>
      <c r="AG298" s="13">
        <v>2021</v>
      </c>
      <c r="AH298" s="13" t="s">
        <v>211</v>
      </c>
      <c r="AI298" s="2">
        <v>50</v>
      </c>
      <c r="AJ298" s="2">
        <v>2</v>
      </c>
      <c r="AK298" s="2">
        <v>0.5</v>
      </c>
    </row>
    <row r="299" spans="1:37" x14ac:dyDescent="0.3">
      <c r="A299" s="11">
        <v>4.3761996161228396</v>
      </c>
      <c r="B299" s="11">
        <v>1593.8796680497901</v>
      </c>
      <c r="C299" s="13" t="s">
        <v>33</v>
      </c>
      <c r="D299" s="13" t="s">
        <v>35</v>
      </c>
      <c r="E299" s="13" t="s">
        <v>170</v>
      </c>
      <c r="F299" s="13">
        <v>0.2</v>
      </c>
      <c r="G299" s="13">
        <v>0.36</v>
      </c>
      <c r="H299" s="13">
        <v>0.31900000000000001</v>
      </c>
      <c r="I299" s="13">
        <v>0.39300000000000002</v>
      </c>
      <c r="J299" s="13">
        <v>1.9650000000000001</v>
      </c>
      <c r="K299" s="13">
        <v>1.29</v>
      </c>
      <c r="L299" s="13">
        <v>0</v>
      </c>
      <c r="M299" s="13" t="s">
        <v>34</v>
      </c>
      <c r="N299" s="13">
        <v>1600</v>
      </c>
      <c r="O299" s="13" t="s">
        <v>34</v>
      </c>
      <c r="P299" s="13" t="s">
        <v>34</v>
      </c>
      <c r="Q299" s="13">
        <v>0</v>
      </c>
      <c r="R299" s="13">
        <v>2.65</v>
      </c>
      <c r="S299" s="13" t="s">
        <v>34</v>
      </c>
      <c r="T299" s="13" t="s">
        <v>49</v>
      </c>
      <c r="U299" s="13" t="s">
        <v>50</v>
      </c>
      <c r="V299" s="13" t="s">
        <v>207</v>
      </c>
      <c r="W299" s="13" t="s">
        <v>34</v>
      </c>
      <c r="X299" s="10">
        <v>3</v>
      </c>
      <c r="Y299" s="13">
        <v>1.5</v>
      </c>
      <c r="Z299" s="13" t="s">
        <v>177</v>
      </c>
      <c r="AA299" s="10">
        <v>0.40500000000000003</v>
      </c>
      <c r="AB299" s="13" t="s">
        <v>34</v>
      </c>
      <c r="AC299" s="13" t="s">
        <v>203</v>
      </c>
      <c r="AD299" s="13" t="s">
        <v>32</v>
      </c>
      <c r="AE299" s="13">
        <v>0.84240000000000004</v>
      </c>
      <c r="AF299" s="13" t="s">
        <v>210</v>
      </c>
      <c r="AG299" s="13">
        <v>2021</v>
      </c>
      <c r="AH299" s="13" t="s">
        <v>211</v>
      </c>
      <c r="AI299" s="2">
        <v>50</v>
      </c>
      <c r="AJ299" s="2">
        <v>2</v>
      </c>
      <c r="AK299" s="2">
        <v>0.5</v>
      </c>
    </row>
    <row r="300" spans="1:37" x14ac:dyDescent="0.3">
      <c r="A300" s="11">
        <v>4.4798464491362697</v>
      </c>
      <c r="B300" s="11">
        <v>1604.77178423236</v>
      </c>
      <c r="C300" s="13" t="s">
        <v>33</v>
      </c>
      <c r="D300" s="13" t="s">
        <v>35</v>
      </c>
      <c r="E300" s="13" t="s">
        <v>170</v>
      </c>
      <c r="F300" s="13">
        <v>0.2</v>
      </c>
      <c r="G300" s="13">
        <v>0.36</v>
      </c>
      <c r="H300" s="13">
        <v>0.31900000000000001</v>
      </c>
      <c r="I300" s="13">
        <v>0.39300000000000002</v>
      </c>
      <c r="J300" s="13">
        <v>1.9650000000000001</v>
      </c>
      <c r="K300" s="13">
        <v>1.29</v>
      </c>
      <c r="L300" s="13">
        <v>0</v>
      </c>
      <c r="M300" s="13" t="s">
        <v>34</v>
      </c>
      <c r="N300" s="13">
        <v>1600</v>
      </c>
      <c r="O300" s="13" t="s">
        <v>34</v>
      </c>
      <c r="P300" s="13" t="s">
        <v>34</v>
      </c>
      <c r="Q300" s="13">
        <v>0</v>
      </c>
      <c r="R300" s="13">
        <v>2.65</v>
      </c>
      <c r="S300" s="13" t="s">
        <v>34</v>
      </c>
      <c r="T300" s="13" t="s">
        <v>49</v>
      </c>
      <c r="U300" s="13" t="s">
        <v>50</v>
      </c>
      <c r="V300" s="13" t="s">
        <v>207</v>
      </c>
      <c r="W300" s="13" t="s">
        <v>34</v>
      </c>
      <c r="X300" s="10">
        <v>3</v>
      </c>
      <c r="Y300" s="13">
        <v>1.5</v>
      </c>
      <c r="Z300" s="13" t="s">
        <v>177</v>
      </c>
      <c r="AA300" s="10">
        <v>0.40500000000000003</v>
      </c>
      <c r="AB300" s="13" t="s">
        <v>34</v>
      </c>
      <c r="AC300" s="13" t="s">
        <v>203</v>
      </c>
      <c r="AD300" s="13" t="s">
        <v>32</v>
      </c>
      <c r="AE300" s="13">
        <v>0.84240000000000004</v>
      </c>
      <c r="AF300" s="13" t="s">
        <v>210</v>
      </c>
      <c r="AG300" s="13">
        <v>2021</v>
      </c>
      <c r="AH300" s="13" t="s">
        <v>211</v>
      </c>
      <c r="AI300" s="2">
        <v>50</v>
      </c>
      <c r="AJ300" s="2">
        <v>2</v>
      </c>
      <c r="AK300" s="2">
        <v>0.5</v>
      </c>
    </row>
    <row r="301" spans="1:37" x14ac:dyDescent="0.3">
      <c r="A301" s="11">
        <v>3.42034548944337</v>
      </c>
      <c r="B301" s="11">
        <v>806.016597510373</v>
      </c>
      <c r="C301" s="13" t="s">
        <v>33</v>
      </c>
      <c r="D301" s="13" t="s">
        <v>35</v>
      </c>
      <c r="E301" s="13" t="s">
        <v>170</v>
      </c>
      <c r="F301" s="13">
        <v>0.2</v>
      </c>
      <c r="G301" s="13">
        <v>0.36</v>
      </c>
      <c r="H301" s="13">
        <v>0.31900000000000001</v>
      </c>
      <c r="I301" s="13">
        <v>0.39300000000000002</v>
      </c>
      <c r="J301" s="13">
        <v>1.9650000000000001</v>
      </c>
      <c r="K301" s="13">
        <v>1.29</v>
      </c>
      <c r="L301" s="13">
        <v>0</v>
      </c>
      <c r="M301" s="13" t="s">
        <v>34</v>
      </c>
      <c r="N301" s="13">
        <v>1600</v>
      </c>
      <c r="O301" s="13" t="s">
        <v>34</v>
      </c>
      <c r="P301" s="13" t="s">
        <v>34</v>
      </c>
      <c r="Q301" s="13">
        <v>0</v>
      </c>
      <c r="R301" s="13">
        <v>2.65</v>
      </c>
      <c r="S301" s="13" t="s">
        <v>34</v>
      </c>
      <c r="T301" s="13" t="s">
        <v>49</v>
      </c>
      <c r="U301" s="13" t="s">
        <v>50</v>
      </c>
      <c r="V301" s="13" t="s">
        <v>207</v>
      </c>
      <c r="W301" s="13" t="s">
        <v>34</v>
      </c>
      <c r="X301" s="10">
        <v>3</v>
      </c>
      <c r="Y301" s="13">
        <v>1.5</v>
      </c>
      <c r="Z301" s="13" t="s">
        <v>177</v>
      </c>
      <c r="AA301" s="10">
        <v>0.40500000000000003</v>
      </c>
      <c r="AB301" s="13" t="s">
        <v>34</v>
      </c>
      <c r="AC301" s="13" t="s">
        <v>203</v>
      </c>
      <c r="AD301" s="13" t="s">
        <v>32</v>
      </c>
      <c r="AE301" s="13">
        <v>0.84240000000000004</v>
      </c>
      <c r="AF301" s="13" t="s">
        <v>210</v>
      </c>
      <c r="AG301" s="13">
        <v>2021</v>
      </c>
      <c r="AH301" s="13" t="s">
        <v>211</v>
      </c>
      <c r="AI301" s="2">
        <v>50</v>
      </c>
      <c r="AJ301" s="2">
        <v>2</v>
      </c>
      <c r="AK301" s="2">
        <v>0.5</v>
      </c>
    </row>
    <row r="302" spans="1:37" x14ac:dyDescent="0.3">
      <c r="A302" s="11">
        <v>3.3224568138195698</v>
      </c>
      <c r="B302" s="11">
        <v>824.170124481328</v>
      </c>
      <c r="C302" s="13" t="s">
        <v>33</v>
      </c>
      <c r="D302" s="13" t="s">
        <v>35</v>
      </c>
      <c r="E302" s="13" t="s">
        <v>170</v>
      </c>
      <c r="F302" s="13">
        <v>0.2</v>
      </c>
      <c r="G302" s="13">
        <v>0.36</v>
      </c>
      <c r="H302" s="13">
        <v>0.31900000000000001</v>
      </c>
      <c r="I302" s="13">
        <v>0.39300000000000002</v>
      </c>
      <c r="J302" s="13">
        <v>1.9650000000000001</v>
      </c>
      <c r="K302" s="13">
        <v>1.29</v>
      </c>
      <c r="L302" s="13">
        <v>0</v>
      </c>
      <c r="M302" s="13" t="s">
        <v>34</v>
      </c>
      <c r="N302" s="13">
        <v>1600</v>
      </c>
      <c r="O302" s="13" t="s">
        <v>34</v>
      </c>
      <c r="P302" s="13" t="s">
        <v>34</v>
      </c>
      <c r="Q302" s="13">
        <v>0</v>
      </c>
      <c r="R302" s="13">
        <v>2.65</v>
      </c>
      <c r="S302" s="13" t="s">
        <v>34</v>
      </c>
      <c r="T302" s="13" t="s">
        <v>49</v>
      </c>
      <c r="U302" s="13" t="s">
        <v>50</v>
      </c>
      <c r="V302" s="13" t="s">
        <v>207</v>
      </c>
      <c r="W302" s="13" t="s">
        <v>34</v>
      </c>
      <c r="X302" s="10">
        <v>3</v>
      </c>
      <c r="Y302" s="13">
        <v>1.5</v>
      </c>
      <c r="Z302" s="13" t="s">
        <v>177</v>
      </c>
      <c r="AA302" s="10">
        <v>0.40500000000000003</v>
      </c>
      <c r="AB302" s="13" t="s">
        <v>34</v>
      </c>
      <c r="AC302" s="13" t="s">
        <v>203</v>
      </c>
      <c r="AD302" s="13" t="s">
        <v>32</v>
      </c>
      <c r="AE302" s="13">
        <v>0.84240000000000004</v>
      </c>
      <c r="AF302" s="13" t="s">
        <v>210</v>
      </c>
      <c r="AG302" s="13">
        <v>2021</v>
      </c>
      <c r="AH302" s="13" t="s">
        <v>211</v>
      </c>
      <c r="AI302" s="2">
        <v>50</v>
      </c>
      <c r="AJ302" s="2">
        <v>2</v>
      </c>
      <c r="AK302" s="2">
        <v>0.5</v>
      </c>
    </row>
    <row r="303" spans="1:37" s="15" customFormat="1" ht="16.2" thickBot="1" x14ac:dyDescent="0.35">
      <c r="A303" s="17">
        <v>2.3608445297504699</v>
      </c>
      <c r="B303" s="17">
        <v>377.59336099584999</v>
      </c>
      <c r="C303" s="18" t="s">
        <v>33</v>
      </c>
      <c r="D303" s="18" t="s">
        <v>35</v>
      </c>
      <c r="E303" s="18" t="s">
        <v>170</v>
      </c>
      <c r="F303" s="18">
        <v>0.2</v>
      </c>
      <c r="G303" s="18">
        <v>0.36</v>
      </c>
      <c r="H303" s="18">
        <v>0.31900000000000001</v>
      </c>
      <c r="I303" s="18">
        <v>0.39300000000000002</v>
      </c>
      <c r="J303" s="18">
        <v>1.9650000000000001</v>
      </c>
      <c r="K303" s="18">
        <v>1.29</v>
      </c>
      <c r="L303" s="18">
        <v>0</v>
      </c>
      <c r="M303" s="18" t="s">
        <v>34</v>
      </c>
      <c r="N303" s="18">
        <v>1600</v>
      </c>
      <c r="O303" s="18" t="s">
        <v>34</v>
      </c>
      <c r="P303" s="18" t="s">
        <v>34</v>
      </c>
      <c r="Q303" s="18">
        <v>0</v>
      </c>
      <c r="R303" s="18">
        <v>2.65</v>
      </c>
      <c r="S303" s="18" t="s">
        <v>34</v>
      </c>
      <c r="T303" s="18" t="s">
        <v>49</v>
      </c>
      <c r="U303" s="18" t="s">
        <v>50</v>
      </c>
      <c r="V303" s="18" t="s">
        <v>207</v>
      </c>
      <c r="W303" s="18" t="s">
        <v>34</v>
      </c>
      <c r="X303" s="14">
        <v>3</v>
      </c>
      <c r="Y303" s="18">
        <v>1.5</v>
      </c>
      <c r="Z303" s="18" t="s">
        <v>177</v>
      </c>
      <c r="AA303" s="14">
        <v>0.40500000000000003</v>
      </c>
      <c r="AB303" s="18" t="s">
        <v>34</v>
      </c>
      <c r="AC303" s="18" t="s">
        <v>203</v>
      </c>
      <c r="AD303" s="18" t="s">
        <v>32</v>
      </c>
      <c r="AE303" s="18">
        <v>0.84240000000000004</v>
      </c>
      <c r="AF303" s="18" t="s">
        <v>210</v>
      </c>
      <c r="AG303" s="18">
        <v>2021</v>
      </c>
      <c r="AH303" s="18" t="s">
        <v>211</v>
      </c>
      <c r="AI303" s="62">
        <v>50</v>
      </c>
      <c r="AJ303" s="34">
        <v>2</v>
      </c>
      <c r="AK303" s="34">
        <v>0.5</v>
      </c>
    </row>
    <row r="304" spans="1:37" x14ac:dyDescent="0.3">
      <c r="A304" s="12">
        <v>1.5486891385767714</v>
      </c>
      <c r="B304" s="12">
        <v>745.88014981273398</v>
      </c>
      <c r="C304" s="13" t="s">
        <v>33</v>
      </c>
      <c r="D304" s="13" t="s">
        <v>212</v>
      </c>
      <c r="E304" s="13" t="s">
        <v>170</v>
      </c>
      <c r="F304" s="13">
        <v>0.6</v>
      </c>
      <c r="G304" s="13">
        <v>0.7</v>
      </c>
      <c r="H304" s="13" t="s">
        <v>34</v>
      </c>
      <c r="I304" s="13" t="s">
        <v>34</v>
      </c>
      <c r="J304" s="13" t="s">
        <v>34</v>
      </c>
      <c r="K304" s="13" t="s">
        <v>34</v>
      </c>
      <c r="L304" s="13">
        <v>0</v>
      </c>
      <c r="M304" s="13">
        <v>78</v>
      </c>
      <c r="N304" s="13" t="s">
        <v>34</v>
      </c>
      <c r="O304" s="13">
        <v>0.74</v>
      </c>
      <c r="P304" s="13">
        <v>0.5</v>
      </c>
      <c r="Q304" s="13">
        <v>20.86</v>
      </c>
      <c r="R304" s="13">
        <v>2.65</v>
      </c>
      <c r="S304" s="13" t="s">
        <v>34</v>
      </c>
      <c r="T304" s="13" t="s">
        <v>49</v>
      </c>
      <c r="U304" s="13" t="s">
        <v>204</v>
      </c>
      <c r="V304" s="13" t="s">
        <v>162</v>
      </c>
      <c r="W304" s="13" t="s">
        <v>34</v>
      </c>
      <c r="X304" s="13">
        <v>1</v>
      </c>
      <c r="Y304" s="13">
        <v>1.5</v>
      </c>
      <c r="Z304" s="13" t="s">
        <v>217</v>
      </c>
      <c r="AA304" s="13">
        <v>0.39</v>
      </c>
      <c r="AB304" s="13">
        <v>7.7</v>
      </c>
      <c r="AC304" s="13" t="s">
        <v>203</v>
      </c>
      <c r="AD304" s="13" t="s">
        <v>32</v>
      </c>
      <c r="AE304" s="13">
        <v>5.8000000000000003E-2</v>
      </c>
      <c r="AF304" s="13" t="s">
        <v>221</v>
      </c>
      <c r="AG304" s="13">
        <v>2020</v>
      </c>
      <c r="AH304" s="13" t="s">
        <v>222</v>
      </c>
      <c r="AI304" s="2">
        <v>51</v>
      </c>
      <c r="AJ304" s="2">
        <v>2</v>
      </c>
      <c r="AK304" s="2">
        <v>1.2450000000000001</v>
      </c>
    </row>
    <row r="305" spans="1:37" x14ac:dyDescent="0.3">
      <c r="A305" s="11">
        <v>1.5805243445692856</v>
      </c>
      <c r="B305" s="11">
        <v>630.52434456928802</v>
      </c>
      <c r="C305" s="13" t="s">
        <v>33</v>
      </c>
      <c r="D305" s="13" t="s">
        <v>213</v>
      </c>
      <c r="E305" s="13" t="s">
        <v>170</v>
      </c>
      <c r="F305" s="13">
        <v>0.6</v>
      </c>
      <c r="G305" s="13">
        <v>0.7</v>
      </c>
      <c r="H305" s="13" t="s">
        <v>34</v>
      </c>
      <c r="I305" s="13" t="s">
        <v>34</v>
      </c>
      <c r="J305" s="13" t="s">
        <v>34</v>
      </c>
      <c r="K305" s="13" t="s">
        <v>34</v>
      </c>
      <c r="L305" s="13">
        <v>0</v>
      </c>
      <c r="M305" s="13">
        <v>78</v>
      </c>
      <c r="N305" s="13" t="s">
        <v>34</v>
      </c>
      <c r="O305" s="13">
        <v>0.74</v>
      </c>
      <c r="P305" s="13">
        <v>0.5</v>
      </c>
      <c r="Q305" s="13">
        <v>20.86</v>
      </c>
      <c r="R305" s="13">
        <v>2.65</v>
      </c>
      <c r="S305" s="13" t="s">
        <v>34</v>
      </c>
      <c r="T305" s="13" t="s">
        <v>49</v>
      </c>
      <c r="U305" s="10" t="s">
        <v>204</v>
      </c>
      <c r="V305" s="13" t="s">
        <v>162</v>
      </c>
      <c r="W305" s="13" t="s">
        <v>34</v>
      </c>
      <c r="X305" s="13">
        <v>1</v>
      </c>
      <c r="Y305" s="13">
        <v>1.5</v>
      </c>
      <c r="Z305" s="10" t="s">
        <v>218</v>
      </c>
      <c r="AA305" s="13">
        <v>0.39</v>
      </c>
      <c r="AB305" s="13">
        <v>7.7</v>
      </c>
      <c r="AC305" s="13" t="s">
        <v>203</v>
      </c>
      <c r="AD305" s="13" t="s">
        <v>32</v>
      </c>
      <c r="AE305" s="13">
        <v>5.8000000000000003E-2</v>
      </c>
      <c r="AF305" s="13" t="s">
        <v>221</v>
      </c>
      <c r="AG305" s="13">
        <v>2020</v>
      </c>
      <c r="AH305" s="13" t="s">
        <v>222</v>
      </c>
      <c r="AI305" s="2">
        <v>51</v>
      </c>
      <c r="AJ305" s="2">
        <v>2</v>
      </c>
      <c r="AK305" s="2">
        <v>1.2450000000000001</v>
      </c>
    </row>
    <row r="306" spans="1:37" x14ac:dyDescent="0.3">
      <c r="A306" s="11">
        <v>1.7172284644194715</v>
      </c>
      <c r="B306" s="11">
        <v>996.25468164793995</v>
      </c>
      <c r="C306" s="13" t="s">
        <v>33</v>
      </c>
      <c r="D306" s="13" t="s">
        <v>214</v>
      </c>
      <c r="E306" s="13" t="s">
        <v>170</v>
      </c>
      <c r="F306" s="13">
        <v>0.6</v>
      </c>
      <c r="G306" s="13">
        <v>0.7</v>
      </c>
      <c r="H306" s="13" t="s">
        <v>34</v>
      </c>
      <c r="I306" s="13" t="s">
        <v>34</v>
      </c>
      <c r="J306" s="13" t="s">
        <v>34</v>
      </c>
      <c r="K306" s="13" t="s">
        <v>34</v>
      </c>
      <c r="L306" s="13">
        <v>0</v>
      </c>
      <c r="M306" s="13">
        <v>78</v>
      </c>
      <c r="N306" s="13" t="s">
        <v>34</v>
      </c>
      <c r="O306" s="13">
        <v>0.74</v>
      </c>
      <c r="P306" s="13">
        <v>0.5</v>
      </c>
      <c r="Q306" s="13">
        <v>20.86</v>
      </c>
      <c r="R306" s="13">
        <v>2.65</v>
      </c>
      <c r="S306" s="13" t="s">
        <v>34</v>
      </c>
      <c r="T306" s="13" t="s">
        <v>49</v>
      </c>
      <c r="U306" s="10" t="s">
        <v>50</v>
      </c>
      <c r="V306" s="13" t="s">
        <v>162</v>
      </c>
      <c r="W306" s="13" t="s">
        <v>34</v>
      </c>
      <c r="X306" s="13">
        <v>1</v>
      </c>
      <c r="Y306" s="13">
        <v>1.5</v>
      </c>
      <c r="Z306" s="10" t="s">
        <v>51</v>
      </c>
      <c r="AA306" s="13">
        <v>0.39</v>
      </c>
      <c r="AB306" s="13">
        <v>7.7</v>
      </c>
      <c r="AC306" s="13" t="s">
        <v>203</v>
      </c>
      <c r="AD306" s="13" t="s">
        <v>32</v>
      </c>
      <c r="AE306" s="13">
        <v>5.8000000000000003E-2</v>
      </c>
      <c r="AF306" s="13" t="s">
        <v>221</v>
      </c>
      <c r="AG306" s="13">
        <v>2020</v>
      </c>
      <c r="AH306" s="13" t="s">
        <v>222</v>
      </c>
      <c r="AI306" s="2">
        <v>51</v>
      </c>
      <c r="AJ306" s="2">
        <v>2</v>
      </c>
      <c r="AK306" s="2">
        <v>1.2450000000000001</v>
      </c>
    </row>
    <row r="307" spans="1:37" x14ac:dyDescent="0.3">
      <c r="A307" s="11">
        <v>1.7172284644194715</v>
      </c>
      <c r="B307" s="11">
        <v>188.76404494381899</v>
      </c>
      <c r="C307" s="13" t="s">
        <v>33</v>
      </c>
      <c r="D307" s="13" t="s">
        <v>215</v>
      </c>
      <c r="E307" s="13" t="s">
        <v>170</v>
      </c>
      <c r="F307" s="13">
        <v>0.6</v>
      </c>
      <c r="G307" s="13">
        <v>0.7</v>
      </c>
      <c r="H307" s="13" t="s">
        <v>34</v>
      </c>
      <c r="I307" s="13" t="s">
        <v>34</v>
      </c>
      <c r="J307" s="13" t="s">
        <v>34</v>
      </c>
      <c r="K307" s="13" t="s">
        <v>34</v>
      </c>
      <c r="L307" s="13">
        <v>0</v>
      </c>
      <c r="M307" s="13">
        <v>78</v>
      </c>
      <c r="N307" s="13" t="s">
        <v>34</v>
      </c>
      <c r="O307" s="13">
        <v>0.74</v>
      </c>
      <c r="P307" s="13">
        <v>0.5</v>
      </c>
      <c r="Q307" s="13">
        <v>20.86</v>
      </c>
      <c r="R307" s="13">
        <v>2.65</v>
      </c>
      <c r="S307" s="13" t="s">
        <v>34</v>
      </c>
      <c r="T307" s="13" t="s">
        <v>49</v>
      </c>
      <c r="U307" s="10" t="s">
        <v>50</v>
      </c>
      <c r="V307" s="13" t="s">
        <v>162</v>
      </c>
      <c r="W307" s="13" t="s">
        <v>34</v>
      </c>
      <c r="X307" s="13">
        <v>1</v>
      </c>
      <c r="Y307" s="13">
        <v>1.5</v>
      </c>
      <c r="Z307" s="10" t="s">
        <v>219</v>
      </c>
      <c r="AA307" s="13">
        <v>0.39</v>
      </c>
      <c r="AB307" s="13">
        <v>7.7</v>
      </c>
      <c r="AC307" s="13" t="s">
        <v>203</v>
      </c>
      <c r="AD307" s="13" t="s">
        <v>32</v>
      </c>
      <c r="AE307" s="13">
        <v>5.8000000000000003E-2</v>
      </c>
      <c r="AF307" s="13" t="s">
        <v>221</v>
      </c>
      <c r="AG307" s="13">
        <v>2020</v>
      </c>
      <c r="AH307" s="13" t="s">
        <v>222</v>
      </c>
      <c r="AI307" s="2">
        <v>51</v>
      </c>
      <c r="AJ307" s="2">
        <v>2</v>
      </c>
      <c r="AK307" s="2">
        <v>1.2450000000000001</v>
      </c>
    </row>
    <row r="308" spans="1:37" s="15" customFormat="1" ht="16.2" thickBot="1" x14ac:dyDescent="0.35">
      <c r="A308" s="17">
        <v>1.6591760299625429</v>
      </c>
      <c r="B308" s="17">
        <v>294.94382022471802</v>
      </c>
      <c r="C308" s="18" t="s">
        <v>33</v>
      </c>
      <c r="D308" s="18" t="s">
        <v>216</v>
      </c>
      <c r="E308" s="18" t="s">
        <v>170</v>
      </c>
      <c r="F308" s="18">
        <v>0.6</v>
      </c>
      <c r="G308" s="18">
        <v>0.7</v>
      </c>
      <c r="H308" s="18" t="s">
        <v>34</v>
      </c>
      <c r="I308" s="18" t="s">
        <v>34</v>
      </c>
      <c r="J308" s="18" t="s">
        <v>34</v>
      </c>
      <c r="K308" s="18" t="s">
        <v>34</v>
      </c>
      <c r="L308" s="18">
        <v>0</v>
      </c>
      <c r="M308" s="18">
        <v>78</v>
      </c>
      <c r="N308" s="18" t="s">
        <v>34</v>
      </c>
      <c r="O308" s="18">
        <v>0.74</v>
      </c>
      <c r="P308" s="18">
        <v>0.5</v>
      </c>
      <c r="Q308" s="18">
        <v>20.86</v>
      </c>
      <c r="R308" s="18">
        <v>2.65</v>
      </c>
      <c r="S308" s="18" t="s">
        <v>34</v>
      </c>
      <c r="T308" s="18" t="s">
        <v>49</v>
      </c>
      <c r="U308" s="14" t="s">
        <v>50</v>
      </c>
      <c r="V308" s="18" t="s">
        <v>162</v>
      </c>
      <c r="W308" s="18" t="s">
        <v>34</v>
      </c>
      <c r="X308" s="18">
        <v>1</v>
      </c>
      <c r="Y308" s="18">
        <v>1.5</v>
      </c>
      <c r="Z308" s="14" t="s">
        <v>220</v>
      </c>
      <c r="AA308" s="18">
        <v>0.39</v>
      </c>
      <c r="AB308" s="18">
        <v>7.7</v>
      </c>
      <c r="AC308" s="18" t="s">
        <v>203</v>
      </c>
      <c r="AD308" s="18" t="s">
        <v>32</v>
      </c>
      <c r="AE308" s="18">
        <v>5.8000000000000003E-2</v>
      </c>
      <c r="AF308" s="18" t="s">
        <v>221</v>
      </c>
      <c r="AG308" s="18">
        <v>2020</v>
      </c>
      <c r="AH308" s="18" t="s">
        <v>222</v>
      </c>
      <c r="AI308" s="60">
        <v>51</v>
      </c>
      <c r="AJ308" s="59">
        <v>2</v>
      </c>
      <c r="AK308" s="59">
        <v>1.2450000000000001</v>
      </c>
    </row>
    <row r="309" spans="1:37" x14ac:dyDescent="0.3">
      <c r="A309" s="12">
        <v>10.442307692307599</v>
      </c>
      <c r="B309" s="12">
        <v>376.168224299065</v>
      </c>
      <c r="C309" s="13" t="s">
        <v>33</v>
      </c>
      <c r="D309" s="13" t="s">
        <v>35</v>
      </c>
      <c r="E309" s="13" t="s">
        <v>170</v>
      </c>
      <c r="F309" s="13">
        <v>0.14000000000000001</v>
      </c>
      <c r="G309" s="13">
        <v>0.3</v>
      </c>
      <c r="H309" s="13">
        <v>0.22700000000000001</v>
      </c>
      <c r="I309" s="13">
        <v>0.316</v>
      </c>
      <c r="J309" s="13">
        <v>2.25</v>
      </c>
      <c r="K309" s="13">
        <v>1.1599999999999999</v>
      </c>
      <c r="L309" s="13">
        <v>0</v>
      </c>
      <c r="M309" s="13">
        <v>50</v>
      </c>
      <c r="N309" s="13" t="s">
        <v>34</v>
      </c>
      <c r="O309" s="13">
        <v>0.79900000000000004</v>
      </c>
      <c r="P309" s="13">
        <v>0.47399999999999998</v>
      </c>
      <c r="Q309" s="13">
        <v>25.734000000000002</v>
      </c>
      <c r="R309" s="13">
        <v>2.645</v>
      </c>
      <c r="S309" s="13" t="s">
        <v>34</v>
      </c>
      <c r="T309" s="13" t="s">
        <v>49</v>
      </c>
      <c r="U309" s="13" t="s">
        <v>50</v>
      </c>
      <c r="V309" s="13" t="s">
        <v>38</v>
      </c>
      <c r="W309" s="13">
        <v>2</v>
      </c>
      <c r="X309" s="13">
        <v>1</v>
      </c>
      <c r="Y309" s="13">
        <v>1</v>
      </c>
      <c r="Z309" s="13" t="s">
        <v>223</v>
      </c>
      <c r="AA309" s="13">
        <v>1.3355999999999999</v>
      </c>
      <c r="AB309" s="13" t="s">
        <v>34</v>
      </c>
      <c r="AC309" s="13" t="s">
        <v>40</v>
      </c>
      <c r="AD309" s="13" t="s">
        <v>32</v>
      </c>
      <c r="AE309" s="13">
        <v>0.71009999999999995</v>
      </c>
      <c r="AF309" s="13" t="s">
        <v>224</v>
      </c>
      <c r="AG309" s="13">
        <v>2015</v>
      </c>
      <c r="AH309" s="13" t="s">
        <v>225</v>
      </c>
      <c r="AI309" s="60">
        <v>35</v>
      </c>
      <c r="AJ309" s="59">
        <v>70</v>
      </c>
      <c r="AK309" s="59" t="s">
        <v>34</v>
      </c>
    </row>
    <row r="310" spans="1:37" x14ac:dyDescent="0.3">
      <c r="A310" s="11">
        <v>11.0625</v>
      </c>
      <c r="B310" s="11">
        <v>388.629283489096</v>
      </c>
      <c r="C310" s="13" t="s">
        <v>33</v>
      </c>
      <c r="D310" s="13" t="s">
        <v>35</v>
      </c>
      <c r="E310" s="13" t="s">
        <v>170</v>
      </c>
      <c r="F310" s="13">
        <v>0.14000000000000001</v>
      </c>
      <c r="G310" s="13">
        <v>0.3</v>
      </c>
      <c r="H310" s="13">
        <v>0.22700000000000001</v>
      </c>
      <c r="I310" s="13">
        <v>0.316</v>
      </c>
      <c r="J310" s="13">
        <v>2.25</v>
      </c>
      <c r="K310" s="13">
        <v>1.1599999999999999</v>
      </c>
      <c r="L310" s="13">
        <v>0</v>
      </c>
      <c r="M310" s="13">
        <v>50</v>
      </c>
      <c r="N310" s="13" t="s">
        <v>34</v>
      </c>
      <c r="O310" s="13">
        <v>0.79900000000000004</v>
      </c>
      <c r="P310" s="13">
        <v>0.47399999999999998</v>
      </c>
      <c r="Q310" s="13">
        <v>25.734000000000002</v>
      </c>
      <c r="R310" s="13">
        <v>2.645</v>
      </c>
      <c r="S310" s="13" t="s">
        <v>34</v>
      </c>
      <c r="T310" s="13" t="s">
        <v>49</v>
      </c>
      <c r="U310" s="13" t="s">
        <v>50</v>
      </c>
      <c r="V310" s="13" t="s">
        <v>38</v>
      </c>
      <c r="W310" s="13">
        <v>2</v>
      </c>
      <c r="X310" s="13">
        <v>1</v>
      </c>
      <c r="Y310" s="13">
        <v>1</v>
      </c>
      <c r="Z310" s="13" t="s">
        <v>223</v>
      </c>
      <c r="AA310" s="13">
        <v>1.3355999999999999</v>
      </c>
      <c r="AB310" s="13" t="s">
        <v>34</v>
      </c>
      <c r="AC310" s="13" t="s">
        <v>40</v>
      </c>
      <c r="AD310" s="13" t="s">
        <v>32</v>
      </c>
      <c r="AE310" s="13">
        <v>0.71009999999999995</v>
      </c>
      <c r="AF310" s="13" t="s">
        <v>224</v>
      </c>
      <c r="AG310" s="13">
        <v>2015</v>
      </c>
      <c r="AH310" s="13" t="s">
        <v>225</v>
      </c>
      <c r="AI310" s="57">
        <v>35</v>
      </c>
      <c r="AJ310" s="2">
        <v>70</v>
      </c>
      <c r="AK310" s="2" t="s">
        <v>34</v>
      </c>
    </row>
    <row r="311" spans="1:37" s="15" customFormat="1" ht="16.2" thickBot="1" x14ac:dyDescent="0.35">
      <c r="A311" s="17">
        <v>12.374999999999901</v>
      </c>
      <c r="B311" s="17">
        <v>331.77570093457899</v>
      </c>
      <c r="C311" s="18" t="s">
        <v>33</v>
      </c>
      <c r="D311" s="18" t="s">
        <v>35</v>
      </c>
      <c r="E311" s="18" t="s">
        <v>170</v>
      </c>
      <c r="F311" s="18">
        <v>0.14000000000000001</v>
      </c>
      <c r="G311" s="18">
        <v>0.3</v>
      </c>
      <c r="H311" s="18">
        <v>0.22700000000000001</v>
      </c>
      <c r="I311" s="18">
        <v>0.316</v>
      </c>
      <c r="J311" s="18">
        <v>2.25</v>
      </c>
      <c r="K311" s="18">
        <v>1.1599999999999999</v>
      </c>
      <c r="L311" s="18">
        <v>0</v>
      </c>
      <c r="M311" s="18">
        <v>50</v>
      </c>
      <c r="N311" s="18" t="s">
        <v>34</v>
      </c>
      <c r="O311" s="18">
        <v>0.79900000000000004</v>
      </c>
      <c r="P311" s="18">
        <v>0.47399999999999998</v>
      </c>
      <c r="Q311" s="18">
        <v>25.734000000000002</v>
      </c>
      <c r="R311" s="18">
        <v>2.645</v>
      </c>
      <c r="S311" s="18" t="s">
        <v>34</v>
      </c>
      <c r="T311" s="18" t="s">
        <v>49</v>
      </c>
      <c r="U311" s="18" t="s">
        <v>50</v>
      </c>
      <c r="V311" s="18" t="s">
        <v>38</v>
      </c>
      <c r="W311" s="18">
        <v>2</v>
      </c>
      <c r="X311" s="18">
        <v>1</v>
      </c>
      <c r="Y311" s="18">
        <v>1</v>
      </c>
      <c r="Z311" s="18" t="s">
        <v>223</v>
      </c>
      <c r="AA311" s="18">
        <v>1.3355999999999999</v>
      </c>
      <c r="AB311" s="18" t="s">
        <v>34</v>
      </c>
      <c r="AC311" s="18" t="s">
        <v>40</v>
      </c>
      <c r="AD311" s="18" t="s">
        <v>32</v>
      </c>
      <c r="AE311" s="18">
        <v>0.71009999999999995</v>
      </c>
      <c r="AF311" s="18" t="s">
        <v>224</v>
      </c>
      <c r="AG311" s="18">
        <v>2015</v>
      </c>
      <c r="AH311" s="18" t="s">
        <v>225</v>
      </c>
      <c r="AI311" s="61">
        <v>35</v>
      </c>
      <c r="AJ311" s="15">
        <v>70</v>
      </c>
      <c r="AK311" s="15" t="s">
        <v>34</v>
      </c>
    </row>
    <row r="312" spans="1:37" x14ac:dyDescent="0.3">
      <c r="A312" s="12">
        <v>0.7</v>
      </c>
      <c r="B312" s="12">
        <v>902</v>
      </c>
      <c r="C312" s="13" t="s">
        <v>33</v>
      </c>
      <c r="D312" s="13" t="s">
        <v>226</v>
      </c>
      <c r="E312" s="13" t="s">
        <v>170</v>
      </c>
      <c r="F312" s="13" t="s">
        <v>34</v>
      </c>
      <c r="G312" s="13">
        <v>0.72</v>
      </c>
      <c r="H312" s="13" t="s">
        <v>34</v>
      </c>
      <c r="I312" s="13" t="s">
        <v>34</v>
      </c>
      <c r="J312" s="13" t="s">
        <v>34</v>
      </c>
      <c r="K312" s="13" t="s">
        <v>34</v>
      </c>
      <c r="L312" s="13" t="s">
        <v>34</v>
      </c>
      <c r="M312" s="13">
        <v>82</v>
      </c>
      <c r="N312" s="13" t="s">
        <v>34</v>
      </c>
      <c r="O312" s="13">
        <v>0.73</v>
      </c>
      <c r="P312" s="13">
        <v>0.48</v>
      </c>
      <c r="Q312" s="13">
        <v>20.78</v>
      </c>
      <c r="R312" s="13" t="s">
        <v>34</v>
      </c>
      <c r="S312" s="13" t="s">
        <v>34</v>
      </c>
      <c r="T312" s="13" t="s">
        <v>49</v>
      </c>
      <c r="U312" s="13" t="s">
        <v>50</v>
      </c>
      <c r="V312" s="13" t="s">
        <v>162</v>
      </c>
      <c r="W312" s="13" t="s">
        <v>34</v>
      </c>
      <c r="X312" s="13">
        <v>1</v>
      </c>
      <c r="Y312" s="13">
        <v>1.5</v>
      </c>
      <c r="Z312" s="13" t="s">
        <v>204</v>
      </c>
      <c r="AA312" s="13" t="s">
        <v>34</v>
      </c>
      <c r="AB312" s="13" t="s">
        <v>34</v>
      </c>
      <c r="AC312" s="13" t="s">
        <v>40</v>
      </c>
      <c r="AD312" s="13" t="s">
        <v>32</v>
      </c>
      <c r="AE312" s="13">
        <v>0.86</v>
      </c>
      <c r="AF312" s="13" t="s">
        <v>228</v>
      </c>
      <c r="AG312" s="13">
        <v>2018</v>
      </c>
      <c r="AH312" s="13" t="s">
        <v>229</v>
      </c>
      <c r="AI312" s="60">
        <v>51</v>
      </c>
      <c r="AJ312" s="59">
        <v>2</v>
      </c>
      <c r="AK312" s="59">
        <v>1.2450000000000001</v>
      </c>
    </row>
    <row r="313" spans="1:37" x14ac:dyDescent="0.3">
      <c r="A313" s="11">
        <v>0.7</v>
      </c>
      <c r="B313" s="11">
        <v>627</v>
      </c>
      <c r="C313" s="13" t="s">
        <v>33</v>
      </c>
      <c r="D313" s="13" t="s">
        <v>226</v>
      </c>
      <c r="E313" s="13" t="s">
        <v>170</v>
      </c>
      <c r="F313" s="13" t="s">
        <v>34</v>
      </c>
      <c r="G313" s="10">
        <v>0.72</v>
      </c>
      <c r="H313" s="13" t="s">
        <v>34</v>
      </c>
      <c r="I313" s="13" t="s">
        <v>34</v>
      </c>
      <c r="J313" s="13" t="s">
        <v>34</v>
      </c>
      <c r="K313" s="13" t="s">
        <v>34</v>
      </c>
      <c r="L313" s="13" t="s">
        <v>34</v>
      </c>
      <c r="M313" s="10">
        <v>81</v>
      </c>
      <c r="N313" s="13" t="s">
        <v>34</v>
      </c>
      <c r="O313" s="13">
        <v>0.73</v>
      </c>
      <c r="P313" s="13">
        <v>0.48</v>
      </c>
      <c r="Q313" s="13">
        <v>20.78</v>
      </c>
      <c r="R313" s="13" t="s">
        <v>34</v>
      </c>
      <c r="S313" s="13" t="s">
        <v>34</v>
      </c>
      <c r="T313" s="13" t="s">
        <v>49</v>
      </c>
      <c r="U313" s="13" t="s">
        <v>50</v>
      </c>
      <c r="V313" s="13" t="s">
        <v>162</v>
      </c>
      <c r="W313" s="13" t="s">
        <v>34</v>
      </c>
      <c r="X313" s="13">
        <v>1</v>
      </c>
      <c r="Y313" s="13">
        <v>1.5</v>
      </c>
      <c r="Z313" s="13" t="s">
        <v>204</v>
      </c>
      <c r="AA313" s="13" t="s">
        <v>34</v>
      </c>
      <c r="AB313" s="13" t="s">
        <v>34</v>
      </c>
      <c r="AC313" s="13" t="s">
        <v>40</v>
      </c>
      <c r="AD313" s="13" t="s">
        <v>32</v>
      </c>
      <c r="AE313" s="13">
        <v>0.86</v>
      </c>
      <c r="AF313" s="13" t="s">
        <v>228</v>
      </c>
      <c r="AG313" s="13">
        <v>2018</v>
      </c>
      <c r="AH313" s="13" t="s">
        <v>229</v>
      </c>
      <c r="AI313" s="60">
        <v>51</v>
      </c>
      <c r="AJ313" s="59">
        <v>2</v>
      </c>
      <c r="AK313" s="59">
        <v>1.2450000000000001</v>
      </c>
    </row>
    <row r="314" spans="1:37" x14ac:dyDescent="0.3">
      <c r="A314" s="11">
        <v>1.4</v>
      </c>
      <c r="B314" s="11">
        <v>221</v>
      </c>
      <c r="C314" s="13" t="s">
        <v>33</v>
      </c>
      <c r="D314" s="13" t="s">
        <v>227</v>
      </c>
      <c r="E314" s="13" t="s">
        <v>170</v>
      </c>
      <c r="F314" s="13" t="s">
        <v>34</v>
      </c>
      <c r="G314" s="10">
        <v>0.18</v>
      </c>
      <c r="H314" s="13" t="s">
        <v>34</v>
      </c>
      <c r="I314" s="13" t="s">
        <v>34</v>
      </c>
      <c r="J314" s="13" t="s">
        <v>34</v>
      </c>
      <c r="K314" s="13" t="s">
        <v>34</v>
      </c>
      <c r="L314" s="13" t="s">
        <v>34</v>
      </c>
      <c r="M314" s="10">
        <v>76</v>
      </c>
      <c r="N314" s="13" t="s">
        <v>34</v>
      </c>
      <c r="O314" s="10">
        <v>0.68</v>
      </c>
      <c r="P314" s="10">
        <v>0.44</v>
      </c>
      <c r="Q314" s="10">
        <v>18.68</v>
      </c>
      <c r="R314" s="13" t="s">
        <v>34</v>
      </c>
      <c r="S314" s="13" t="s">
        <v>34</v>
      </c>
      <c r="T314" s="13" t="s">
        <v>49</v>
      </c>
      <c r="U314" s="13" t="s">
        <v>50</v>
      </c>
      <c r="V314" s="13" t="s">
        <v>162</v>
      </c>
      <c r="W314" s="13" t="s">
        <v>34</v>
      </c>
      <c r="X314" s="13">
        <v>1</v>
      </c>
      <c r="Y314" s="13">
        <v>1.5</v>
      </c>
      <c r="Z314" s="13" t="s">
        <v>204</v>
      </c>
      <c r="AA314" s="13" t="s">
        <v>34</v>
      </c>
      <c r="AB314" s="13" t="s">
        <v>34</v>
      </c>
      <c r="AC314" s="13" t="s">
        <v>40</v>
      </c>
      <c r="AD314" s="13" t="s">
        <v>32</v>
      </c>
      <c r="AE314" s="13">
        <v>0.86</v>
      </c>
      <c r="AF314" s="13" t="s">
        <v>228</v>
      </c>
      <c r="AG314" s="13">
        <v>2018</v>
      </c>
      <c r="AH314" s="13" t="s">
        <v>229</v>
      </c>
      <c r="AI314" s="60">
        <v>51</v>
      </c>
      <c r="AJ314" s="59">
        <v>2</v>
      </c>
      <c r="AK314" s="59">
        <v>1.2450000000000001</v>
      </c>
    </row>
    <row r="315" spans="1:37" s="15" customFormat="1" ht="16.2" thickBot="1" x14ac:dyDescent="0.35">
      <c r="A315" s="17">
        <v>1</v>
      </c>
      <c r="B315" s="17">
        <v>386</v>
      </c>
      <c r="C315" s="18" t="s">
        <v>33</v>
      </c>
      <c r="D315" s="18" t="s">
        <v>227</v>
      </c>
      <c r="E315" s="18" t="s">
        <v>170</v>
      </c>
      <c r="F315" s="18" t="s">
        <v>34</v>
      </c>
      <c r="G315" s="14">
        <v>0.18</v>
      </c>
      <c r="H315" s="18" t="s">
        <v>34</v>
      </c>
      <c r="I315" s="18" t="s">
        <v>34</v>
      </c>
      <c r="J315" s="18" t="s">
        <v>34</v>
      </c>
      <c r="K315" s="18" t="s">
        <v>34</v>
      </c>
      <c r="L315" s="18" t="s">
        <v>34</v>
      </c>
      <c r="M315" s="14">
        <v>78</v>
      </c>
      <c r="N315" s="18" t="s">
        <v>34</v>
      </c>
      <c r="O315" s="14">
        <v>0.68</v>
      </c>
      <c r="P315" s="14">
        <v>0.44</v>
      </c>
      <c r="Q315" s="14">
        <v>18.68</v>
      </c>
      <c r="R315" s="18" t="s">
        <v>34</v>
      </c>
      <c r="S315" s="18" t="s">
        <v>34</v>
      </c>
      <c r="T315" s="18" t="s">
        <v>49</v>
      </c>
      <c r="U315" s="18" t="s">
        <v>50</v>
      </c>
      <c r="V315" s="18" t="s">
        <v>162</v>
      </c>
      <c r="W315" s="18" t="s">
        <v>34</v>
      </c>
      <c r="X315" s="18">
        <v>1</v>
      </c>
      <c r="Y315" s="18">
        <v>1.5</v>
      </c>
      <c r="Z315" s="18" t="s">
        <v>204</v>
      </c>
      <c r="AA315" s="18" t="s">
        <v>34</v>
      </c>
      <c r="AB315" s="18" t="s">
        <v>34</v>
      </c>
      <c r="AC315" s="18" t="s">
        <v>40</v>
      </c>
      <c r="AD315" s="18" t="s">
        <v>32</v>
      </c>
      <c r="AE315" s="18">
        <v>0.86</v>
      </c>
      <c r="AF315" s="18" t="s">
        <v>228</v>
      </c>
      <c r="AG315" s="18">
        <v>2018</v>
      </c>
      <c r="AH315" s="18" t="s">
        <v>229</v>
      </c>
      <c r="AI315" s="62">
        <v>51</v>
      </c>
      <c r="AJ315" s="34">
        <v>2</v>
      </c>
      <c r="AK315" s="34">
        <v>1.2450000000000001</v>
      </c>
    </row>
    <row r="316" spans="1:37" x14ac:dyDescent="0.3">
      <c r="A316" s="12">
        <v>1.63</v>
      </c>
      <c r="B316" s="12">
        <v>133</v>
      </c>
      <c r="C316" s="13" t="s">
        <v>33</v>
      </c>
      <c r="D316" s="13" t="s">
        <v>226</v>
      </c>
      <c r="E316" s="13" t="s">
        <v>170</v>
      </c>
      <c r="F316" s="13" t="s">
        <v>34</v>
      </c>
      <c r="G316" s="13">
        <v>0.6</v>
      </c>
      <c r="H316" s="13" t="s">
        <v>34</v>
      </c>
      <c r="I316" s="13" t="s">
        <v>34</v>
      </c>
      <c r="J316" s="13">
        <v>1.2</v>
      </c>
      <c r="K316" s="13" t="s">
        <v>34</v>
      </c>
      <c r="L316" s="13">
        <v>0</v>
      </c>
      <c r="M316" s="13">
        <v>76</v>
      </c>
      <c r="N316" s="13">
        <v>1699.64</v>
      </c>
      <c r="O316" s="13">
        <v>0.74199999999999999</v>
      </c>
      <c r="P316" s="13">
        <v>0.502</v>
      </c>
      <c r="Q316" s="13">
        <v>0</v>
      </c>
      <c r="R316" s="13">
        <v>2.65</v>
      </c>
      <c r="S316" s="13" t="s">
        <v>34</v>
      </c>
      <c r="T316" s="13" t="s">
        <v>49</v>
      </c>
      <c r="U316" s="13" t="s">
        <v>50</v>
      </c>
      <c r="V316" s="13" t="s">
        <v>207</v>
      </c>
      <c r="W316" s="13" t="s">
        <v>34</v>
      </c>
      <c r="X316" s="13">
        <v>1</v>
      </c>
      <c r="Y316" s="13">
        <v>1.5</v>
      </c>
      <c r="Z316" s="13" t="s">
        <v>204</v>
      </c>
      <c r="AA316" s="12">
        <v>0.315</v>
      </c>
      <c r="AB316" s="13" t="s">
        <v>34</v>
      </c>
      <c r="AC316" s="13" t="s">
        <v>40</v>
      </c>
      <c r="AD316" s="13" t="s">
        <v>32</v>
      </c>
      <c r="AE316" s="13">
        <v>7.8100000000000003E-2</v>
      </c>
      <c r="AF316" s="13" t="s">
        <v>238</v>
      </c>
      <c r="AG316" s="13">
        <v>2019</v>
      </c>
      <c r="AH316" s="13" t="s">
        <v>239</v>
      </c>
      <c r="AI316" s="13">
        <v>51</v>
      </c>
      <c r="AJ316" s="13">
        <v>2</v>
      </c>
      <c r="AK316" s="13">
        <v>1.2450000000000001</v>
      </c>
    </row>
    <row r="317" spans="1:37" x14ac:dyDescent="0.3">
      <c r="A317" s="11">
        <v>0.98</v>
      </c>
      <c r="B317" s="11">
        <v>158</v>
      </c>
      <c r="C317" s="13" t="s">
        <v>33</v>
      </c>
      <c r="D317" s="13" t="s">
        <v>230</v>
      </c>
      <c r="E317" s="13" t="s">
        <v>170</v>
      </c>
      <c r="F317" s="13" t="s">
        <v>34</v>
      </c>
      <c r="G317" s="13">
        <v>0.6</v>
      </c>
      <c r="H317" s="13" t="s">
        <v>34</v>
      </c>
      <c r="I317" s="13" t="s">
        <v>34</v>
      </c>
      <c r="J317" s="13">
        <v>1.2</v>
      </c>
      <c r="K317" s="13" t="s">
        <v>34</v>
      </c>
      <c r="L317" s="13">
        <v>0</v>
      </c>
      <c r="M317" s="13">
        <v>76</v>
      </c>
      <c r="N317" s="13">
        <v>1699.64</v>
      </c>
      <c r="O317" s="13">
        <v>0.74199999999999999</v>
      </c>
      <c r="P317" s="13">
        <v>0.502</v>
      </c>
      <c r="Q317" s="13">
        <v>0</v>
      </c>
      <c r="R317" s="13">
        <v>2.65</v>
      </c>
      <c r="S317" s="13" t="s">
        <v>34</v>
      </c>
      <c r="T317" s="13" t="s">
        <v>49</v>
      </c>
      <c r="U317" s="13" t="s">
        <v>50</v>
      </c>
      <c r="V317" s="13" t="s">
        <v>207</v>
      </c>
      <c r="W317" s="13" t="s">
        <v>34</v>
      </c>
      <c r="X317" s="10">
        <v>1</v>
      </c>
      <c r="Y317" s="10">
        <v>1.5</v>
      </c>
      <c r="Z317" s="13" t="s">
        <v>204</v>
      </c>
      <c r="AA317" s="11">
        <v>0.315</v>
      </c>
      <c r="AB317" s="13" t="s">
        <v>34</v>
      </c>
      <c r="AC317" s="13" t="s">
        <v>40</v>
      </c>
      <c r="AD317" s="13" t="s">
        <v>32</v>
      </c>
      <c r="AE317" s="13">
        <v>7.8100000000000003E-2</v>
      </c>
      <c r="AF317" s="13" t="s">
        <v>238</v>
      </c>
      <c r="AG317" s="13">
        <v>2019</v>
      </c>
      <c r="AH317" s="13" t="s">
        <v>239</v>
      </c>
      <c r="AI317" s="10">
        <v>51</v>
      </c>
      <c r="AJ317" s="10">
        <v>2</v>
      </c>
      <c r="AK317" s="10">
        <v>1.2450000000000001</v>
      </c>
    </row>
    <row r="318" spans="1:37" x14ac:dyDescent="0.3">
      <c r="A318" s="11">
        <v>0.99</v>
      </c>
      <c r="B318" s="11">
        <v>124</v>
      </c>
      <c r="C318" s="13" t="s">
        <v>33</v>
      </c>
      <c r="D318" s="13" t="s">
        <v>231</v>
      </c>
      <c r="E318" s="13" t="s">
        <v>170</v>
      </c>
      <c r="F318" s="13" t="s">
        <v>34</v>
      </c>
      <c r="G318" s="13">
        <v>0.6</v>
      </c>
      <c r="H318" s="13" t="s">
        <v>34</v>
      </c>
      <c r="I318" s="13" t="s">
        <v>34</v>
      </c>
      <c r="J318" s="13">
        <v>1.2</v>
      </c>
      <c r="K318" s="13" t="s">
        <v>34</v>
      </c>
      <c r="L318" s="13">
        <v>0</v>
      </c>
      <c r="M318" s="13">
        <v>76</v>
      </c>
      <c r="N318" s="13">
        <v>1699.64</v>
      </c>
      <c r="O318" s="13">
        <v>0.74199999999999999</v>
      </c>
      <c r="P318" s="13">
        <v>0.502</v>
      </c>
      <c r="Q318" s="13">
        <v>0</v>
      </c>
      <c r="R318" s="13">
        <v>2.65</v>
      </c>
      <c r="S318" s="13" t="s">
        <v>34</v>
      </c>
      <c r="T318" s="13" t="s">
        <v>49</v>
      </c>
      <c r="U318" s="13" t="s">
        <v>50</v>
      </c>
      <c r="V318" s="13" t="s">
        <v>207</v>
      </c>
      <c r="W318" s="13" t="s">
        <v>34</v>
      </c>
      <c r="X318" s="10">
        <v>1</v>
      </c>
      <c r="Y318" s="10">
        <v>1.5</v>
      </c>
      <c r="Z318" s="13" t="s">
        <v>204</v>
      </c>
      <c r="AA318" s="11">
        <v>0.315</v>
      </c>
      <c r="AB318" s="13" t="s">
        <v>34</v>
      </c>
      <c r="AC318" s="13" t="s">
        <v>40</v>
      </c>
      <c r="AD318" s="13" t="s">
        <v>32</v>
      </c>
      <c r="AE318" s="13">
        <v>7.8100000000000003E-2</v>
      </c>
      <c r="AF318" s="13" t="s">
        <v>238</v>
      </c>
      <c r="AG318" s="13">
        <v>2019</v>
      </c>
      <c r="AH318" s="13" t="s">
        <v>239</v>
      </c>
      <c r="AI318" s="10">
        <v>51</v>
      </c>
      <c r="AJ318" s="10">
        <v>2</v>
      </c>
      <c r="AK318" s="10">
        <v>1.2450000000000001</v>
      </c>
    </row>
    <row r="319" spans="1:37" x14ac:dyDescent="0.3">
      <c r="A319" s="11">
        <v>0.82</v>
      </c>
      <c r="B319" s="11">
        <v>1817</v>
      </c>
      <c r="C319" s="13" t="s">
        <v>33</v>
      </c>
      <c r="D319" s="13" t="s">
        <v>232</v>
      </c>
      <c r="E319" s="13" t="s">
        <v>170</v>
      </c>
      <c r="F319" s="13" t="s">
        <v>34</v>
      </c>
      <c r="G319" s="13">
        <v>0.6</v>
      </c>
      <c r="H319" s="13" t="s">
        <v>34</v>
      </c>
      <c r="I319" s="13" t="s">
        <v>34</v>
      </c>
      <c r="J319" s="13">
        <v>1.2</v>
      </c>
      <c r="K319" s="13" t="s">
        <v>34</v>
      </c>
      <c r="L319" s="13">
        <v>0</v>
      </c>
      <c r="M319" s="13">
        <v>76</v>
      </c>
      <c r="N319" s="13">
        <v>1699.64</v>
      </c>
      <c r="O319" s="13">
        <v>0.74199999999999999</v>
      </c>
      <c r="P319" s="13">
        <v>0.502</v>
      </c>
      <c r="Q319" s="13">
        <v>0</v>
      </c>
      <c r="R319" s="13">
        <v>2.65</v>
      </c>
      <c r="S319" s="13" t="s">
        <v>34</v>
      </c>
      <c r="T319" s="13" t="s">
        <v>49</v>
      </c>
      <c r="U319" s="13" t="s">
        <v>50</v>
      </c>
      <c r="V319" s="13" t="s">
        <v>207</v>
      </c>
      <c r="W319" s="13" t="s">
        <v>34</v>
      </c>
      <c r="X319" s="10">
        <v>1</v>
      </c>
      <c r="Y319" s="10">
        <v>1.5</v>
      </c>
      <c r="Z319" s="13" t="s">
        <v>204</v>
      </c>
      <c r="AA319" s="11">
        <v>0.315</v>
      </c>
      <c r="AB319" s="13" t="s">
        <v>34</v>
      </c>
      <c r="AC319" s="10" t="s">
        <v>203</v>
      </c>
      <c r="AD319" s="13" t="s">
        <v>32</v>
      </c>
      <c r="AE319" s="10">
        <v>0.71450000000000002</v>
      </c>
      <c r="AF319" s="13" t="s">
        <v>238</v>
      </c>
      <c r="AG319" s="13">
        <v>2019</v>
      </c>
      <c r="AH319" s="13" t="s">
        <v>239</v>
      </c>
      <c r="AI319" s="10">
        <v>51</v>
      </c>
      <c r="AJ319" s="10">
        <v>2</v>
      </c>
      <c r="AK319" s="10">
        <v>1.2450000000000001</v>
      </c>
    </row>
    <row r="320" spans="1:37" x14ac:dyDescent="0.3">
      <c r="A320" s="11">
        <v>0.79</v>
      </c>
      <c r="B320" s="11">
        <v>1654</v>
      </c>
      <c r="C320" s="13" t="s">
        <v>33</v>
      </c>
      <c r="D320" s="13" t="s">
        <v>233</v>
      </c>
      <c r="E320" s="13" t="s">
        <v>170</v>
      </c>
      <c r="F320" s="13" t="s">
        <v>34</v>
      </c>
      <c r="G320" s="13">
        <v>0.6</v>
      </c>
      <c r="H320" s="13" t="s">
        <v>34</v>
      </c>
      <c r="I320" s="13" t="s">
        <v>34</v>
      </c>
      <c r="J320" s="13">
        <v>1.2</v>
      </c>
      <c r="K320" s="13" t="s">
        <v>34</v>
      </c>
      <c r="L320" s="13">
        <v>0</v>
      </c>
      <c r="M320" s="13">
        <v>76</v>
      </c>
      <c r="N320" s="13">
        <v>1699.64</v>
      </c>
      <c r="O320" s="13">
        <v>0.74199999999999999</v>
      </c>
      <c r="P320" s="13">
        <v>0.502</v>
      </c>
      <c r="Q320" s="13">
        <v>0</v>
      </c>
      <c r="R320" s="13">
        <v>2.65</v>
      </c>
      <c r="S320" s="13" t="s">
        <v>34</v>
      </c>
      <c r="T320" s="13" t="s">
        <v>49</v>
      </c>
      <c r="U320" s="13" t="s">
        <v>50</v>
      </c>
      <c r="V320" s="13" t="s">
        <v>207</v>
      </c>
      <c r="W320" s="13" t="s">
        <v>34</v>
      </c>
      <c r="X320" s="10">
        <v>1</v>
      </c>
      <c r="Y320" s="10">
        <v>1.5</v>
      </c>
      <c r="Z320" s="13" t="s">
        <v>204</v>
      </c>
      <c r="AA320" s="11">
        <v>0.315</v>
      </c>
      <c r="AB320" s="13" t="s">
        <v>34</v>
      </c>
      <c r="AC320" s="10" t="s">
        <v>203</v>
      </c>
      <c r="AD320" s="13" t="s">
        <v>32</v>
      </c>
      <c r="AE320" s="10">
        <v>0.71450000000000002</v>
      </c>
      <c r="AF320" s="13" t="s">
        <v>238</v>
      </c>
      <c r="AG320" s="13">
        <v>2019</v>
      </c>
      <c r="AH320" s="13" t="s">
        <v>239</v>
      </c>
      <c r="AI320" s="10">
        <v>51</v>
      </c>
      <c r="AJ320" s="10">
        <v>2</v>
      </c>
      <c r="AK320" s="10">
        <v>1.2450000000000001</v>
      </c>
    </row>
    <row r="321" spans="1:37" x14ac:dyDescent="0.3">
      <c r="A321" s="11">
        <v>1.17</v>
      </c>
      <c r="B321" s="11">
        <v>1763</v>
      </c>
      <c r="C321" s="13" t="s">
        <v>33</v>
      </c>
      <c r="D321" s="13" t="s">
        <v>234</v>
      </c>
      <c r="E321" s="13" t="s">
        <v>170</v>
      </c>
      <c r="F321" s="13" t="s">
        <v>34</v>
      </c>
      <c r="G321" s="13">
        <v>0.6</v>
      </c>
      <c r="H321" s="13" t="s">
        <v>34</v>
      </c>
      <c r="I321" s="13" t="s">
        <v>34</v>
      </c>
      <c r="J321" s="13">
        <v>1.2</v>
      </c>
      <c r="K321" s="13" t="s">
        <v>34</v>
      </c>
      <c r="L321" s="13">
        <v>0</v>
      </c>
      <c r="M321" s="13">
        <v>76</v>
      </c>
      <c r="N321" s="13">
        <v>1699.64</v>
      </c>
      <c r="O321" s="13">
        <v>0.74199999999999999</v>
      </c>
      <c r="P321" s="13">
        <v>0.502</v>
      </c>
      <c r="Q321" s="13">
        <v>0</v>
      </c>
      <c r="R321" s="13">
        <v>2.65</v>
      </c>
      <c r="S321" s="13" t="s">
        <v>34</v>
      </c>
      <c r="T321" s="13" t="s">
        <v>49</v>
      </c>
      <c r="U321" s="13" t="s">
        <v>50</v>
      </c>
      <c r="V321" s="13" t="s">
        <v>207</v>
      </c>
      <c r="W321" s="13" t="s">
        <v>34</v>
      </c>
      <c r="X321" s="10">
        <v>1</v>
      </c>
      <c r="Y321" s="10">
        <v>1.5</v>
      </c>
      <c r="Z321" s="13" t="s">
        <v>204</v>
      </c>
      <c r="AA321" s="11">
        <v>0.315</v>
      </c>
      <c r="AB321" s="13" t="s">
        <v>34</v>
      </c>
      <c r="AC321" s="10" t="s">
        <v>203</v>
      </c>
      <c r="AD321" s="13" t="s">
        <v>32</v>
      </c>
      <c r="AE321" s="10">
        <v>0.71450000000000002</v>
      </c>
      <c r="AF321" s="13" t="s">
        <v>238</v>
      </c>
      <c r="AG321" s="13">
        <v>2019</v>
      </c>
      <c r="AH321" s="13" t="s">
        <v>239</v>
      </c>
      <c r="AI321" s="10">
        <v>51</v>
      </c>
      <c r="AJ321" s="10">
        <v>2</v>
      </c>
      <c r="AK321" s="10">
        <v>1.2450000000000001</v>
      </c>
    </row>
    <row r="322" spans="1:37" x14ac:dyDescent="0.3">
      <c r="A322" s="11">
        <v>0.56999999999999995</v>
      </c>
      <c r="B322" s="11">
        <v>1000</v>
      </c>
      <c r="C322" s="13" t="s">
        <v>33</v>
      </c>
      <c r="D322" s="13" t="s">
        <v>235</v>
      </c>
      <c r="E322" s="13" t="s">
        <v>170</v>
      </c>
      <c r="F322" s="13" t="s">
        <v>34</v>
      </c>
      <c r="G322" s="13">
        <v>0.6</v>
      </c>
      <c r="H322" s="13" t="s">
        <v>34</v>
      </c>
      <c r="I322" s="13" t="s">
        <v>34</v>
      </c>
      <c r="J322" s="13">
        <v>1.2</v>
      </c>
      <c r="K322" s="13" t="s">
        <v>34</v>
      </c>
      <c r="L322" s="13">
        <v>0</v>
      </c>
      <c r="M322" s="13">
        <v>76</v>
      </c>
      <c r="N322" s="13">
        <v>1699.64</v>
      </c>
      <c r="O322" s="13">
        <v>0.74199999999999999</v>
      </c>
      <c r="P322" s="13">
        <v>0.502</v>
      </c>
      <c r="Q322" s="13">
        <v>0</v>
      </c>
      <c r="R322" s="13">
        <v>2.65</v>
      </c>
      <c r="S322" s="13" t="s">
        <v>34</v>
      </c>
      <c r="T322" s="13" t="s">
        <v>49</v>
      </c>
      <c r="U322" s="13" t="s">
        <v>50</v>
      </c>
      <c r="V322" s="13" t="s">
        <v>207</v>
      </c>
      <c r="W322" s="13" t="s">
        <v>34</v>
      </c>
      <c r="X322" s="10">
        <v>0.37</v>
      </c>
      <c r="Y322" s="10">
        <v>1.48</v>
      </c>
      <c r="Z322" s="13" t="s">
        <v>204</v>
      </c>
      <c r="AA322" s="11">
        <v>8.9249999999999996E-2</v>
      </c>
      <c r="AB322" s="13" t="s">
        <v>34</v>
      </c>
      <c r="AC322" s="10" t="s">
        <v>203</v>
      </c>
      <c r="AD322" s="13" t="s">
        <v>32</v>
      </c>
      <c r="AE322" s="10">
        <v>0.71450000000000002</v>
      </c>
      <c r="AF322" s="13" t="s">
        <v>238</v>
      </c>
      <c r="AG322" s="13">
        <v>2019</v>
      </c>
      <c r="AH322" s="13" t="s">
        <v>239</v>
      </c>
      <c r="AI322" s="10">
        <v>51</v>
      </c>
      <c r="AJ322" s="10">
        <v>2</v>
      </c>
      <c r="AK322" s="10">
        <v>1.2450000000000001</v>
      </c>
    </row>
    <row r="323" spans="1:37" x14ac:dyDescent="0.3">
      <c r="A323" s="31">
        <v>0.71</v>
      </c>
      <c r="B323" s="31">
        <v>1396</v>
      </c>
      <c r="C323" s="32" t="s">
        <v>33</v>
      </c>
      <c r="D323" s="32" t="s">
        <v>236</v>
      </c>
      <c r="E323" s="32" t="s">
        <v>170</v>
      </c>
      <c r="F323" s="32" t="s">
        <v>34</v>
      </c>
      <c r="G323" s="32">
        <v>0.6</v>
      </c>
      <c r="H323" s="32" t="s">
        <v>34</v>
      </c>
      <c r="I323" s="32" t="s">
        <v>34</v>
      </c>
      <c r="J323" s="32">
        <v>1.2</v>
      </c>
      <c r="K323" s="32" t="s">
        <v>34</v>
      </c>
      <c r="L323" s="32">
        <v>0</v>
      </c>
      <c r="M323" s="32">
        <v>76</v>
      </c>
      <c r="N323" s="32">
        <v>1699.64</v>
      </c>
      <c r="O323" s="32">
        <v>0.74199999999999999</v>
      </c>
      <c r="P323" s="32">
        <v>0.502</v>
      </c>
      <c r="Q323" s="32">
        <v>0</v>
      </c>
      <c r="R323" s="32">
        <v>2.65</v>
      </c>
      <c r="S323" s="32" t="s">
        <v>34</v>
      </c>
      <c r="T323" s="32" t="s">
        <v>49</v>
      </c>
      <c r="U323" s="32" t="s">
        <v>50</v>
      </c>
      <c r="V323" s="32" t="s">
        <v>207</v>
      </c>
      <c r="W323" s="32" t="s">
        <v>34</v>
      </c>
      <c r="X323" s="33">
        <v>0.37</v>
      </c>
      <c r="Y323" s="33">
        <v>1.48</v>
      </c>
      <c r="Z323" s="13" t="s">
        <v>204</v>
      </c>
      <c r="AA323" s="31">
        <v>8.9249999999999996E-2</v>
      </c>
      <c r="AB323" s="32" t="s">
        <v>34</v>
      </c>
      <c r="AC323" s="33" t="s">
        <v>203</v>
      </c>
      <c r="AD323" s="32" t="s">
        <v>32</v>
      </c>
      <c r="AE323" s="33">
        <v>0.71450000000000002</v>
      </c>
      <c r="AF323" s="32" t="s">
        <v>238</v>
      </c>
      <c r="AG323" s="32">
        <v>2019</v>
      </c>
      <c r="AH323" s="32" t="s">
        <v>239</v>
      </c>
      <c r="AI323" s="10">
        <v>51</v>
      </c>
      <c r="AJ323" s="10">
        <v>2</v>
      </c>
      <c r="AK323" s="10">
        <v>1.2450000000000001</v>
      </c>
    </row>
    <row r="324" spans="1:37" s="34" customFormat="1" ht="16.2" thickBot="1" x14ac:dyDescent="0.35">
      <c r="A324" s="17">
        <v>0.49</v>
      </c>
      <c r="B324" s="17">
        <v>941</v>
      </c>
      <c r="C324" s="14" t="s">
        <v>33</v>
      </c>
      <c r="D324" s="14" t="s">
        <v>237</v>
      </c>
      <c r="E324" s="14" t="s">
        <v>170</v>
      </c>
      <c r="F324" s="14" t="s">
        <v>34</v>
      </c>
      <c r="G324" s="14">
        <v>0.6</v>
      </c>
      <c r="H324" s="14" t="s">
        <v>34</v>
      </c>
      <c r="I324" s="14" t="s">
        <v>34</v>
      </c>
      <c r="J324" s="14">
        <v>1.2</v>
      </c>
      <c r="K324" s="14" t="s">
        <v>34</v>
      </c>
      <c r="L324" s="14">
        <v>0</v>
      </c>
      <c r="M324" s="14">
        <v>76</v>
      </c>
      <c r="N324" s="14">
        <v>1699.64</v>
      </c>
      <c r="O324" s="14">
        <v>0.74199999999999999</v>
      </c>
      <c r="P324" s="14">
        <v>0.502</v>
      </c>
      <c r="Q324" s="14">
        <v>0</v>
      </c>
      <c r="R324" s="14">
        <v>2.65</v>
      </c>
      <c r="S324" s="14" t="s">
        <v>34</v>
      </c>
      <c r="T324" s="14" t="s">
        <v>49</v>
      </c>
      <c r="U324" s="14" t="s">
        <v>50</v>
      </c>
      <c r="V324" s="14" t="s">
        <v>207</v>
      </c>
      <c r="W324" s="14" t="s">
        <v>34</v>
      </c>
      <c r="X324" s="14">
        <v>0.37</v>
      </c>
      <c r="Y324" s="14">
        <v>1.48</v>
      </c>
      <c r="Z324" s="14" t="s">
        <v>204</v>
      </c>
      <c r="AA324" s="17">
        <v>8.9249999999999996E-2</v>
      </c>
      <c r="AB324" s="14" t="s">
        <v>34</v>
      </c>
      <c r="AC324" s="14" t="s">
        <v>203</v>
      </c>
      <c r="AD324" s="14" t="s">
        <v>32</v>
      </c>
      <c r="AE324" s="14">
        <v>0.71450000000000002</v>
      </c>
      <c r="AF324" s="14" t="s">
        <v>238</v>
      </c>
      <c r="AG324" s="14">
        <v>2019</v>
      </c>
      <c r="AH324" s="14" t="s">
        <v>239</v>
      </c>
      <c r="AI324" s="14">
        <v>51</v>
      </c>
      <c r="AJ324" s="14">
        <v>2</v>
      </c>
      <c r="AK324" s="14">
        <v>1.2450000000000001</v>
      </c>
    </row>
    <row r="325" spans="1:37" x14ac:dyDescent="0.3">
      <c r="A325" s="12">
        <v>1.0000000000000001E-5</v>
      </c>
      <c r="B325" s="12">
        <v>320</v>
      </c>
      <c r="C325" s="13" t="s">
        <v>240</v>
      </c>
      <c r="D325" s="13" t="s">
        <v>241</v>
      </c>
      <c r="E325" s="13" t="s">
        <v>34</v>
      </c>
      <c r="F325" s="13">
        <v>0.04</v>
      </c>
      <c r="G325" s="13">
        <v>0.17899999999999999</v>
      </c>
      <c r="H325" s="13">
        <v>0.12</v>
      </c>
      <c r="I325" s="13">
        <v>0.22</v>
      </c>
      <c r="J325" s="13">
        <v>6.06</v>
      </c>
      <c r="K325" s="13">
        <v>1.95</v>
      </c>
      <c r="L325" s="13">
        <v>16.489999999999998</v>
      </c>
      <c r="M325" s="13" t="s">
        <v>34</v>
      </c>
      <c r="N325" s="13">
        <v>1344.54</v>
      </c>
      <c r="O325" s="13" t="s">
        <v>34</v>
      </c>
      <c r="P325" s="13" t="s">
        <v>34</v>
      </c>
      <c r="Q325" s="13">
        <v>0.76</v>
      </c>
      <c r="R325" s="13">
        <v>2.67</v>
      </c>
      <c r="S325" s="13" t="s">
        <v>34</v>
      </c>
      <c r="T325" s="13" t="s">
        <v>49</v>
      </c>
      <c r="U325" s="13" t="s">
        <v>242</v>
      </c>
      <c r="V325" s="32" t="s">
        <v>207</v>
      </c>
      <c r="W325" s="13" t="s">
        <v>34</v>
      </c>
      <c r="X325" s="13">
        <v>0</v>
      </c>
      <c r="Y325" s="13">
        <v>0</v>
      </c>
      <c r="Z325" s="13" t="s">
        <v>242</v>
      </c>
      <c r="AA325" s="13">
        <v>0</v>
      </c>
      <c r="AB325" s="13" t="s">
        <v>34</v>
      </c>
      <c r="AC325" s="13" t="s">
        <v>40</v>
      </c>
      <c r="AD325" s="32" t="s">
        <v>32</v>
      </c>
      <c r="AE325" s="13">
        <v>0.21840000000000001</v>
      </c>
      <c r="AF325" s="13" t="s">
        <v>243</v>
      </c>
      <c r="AG325" s="13">
        <v>2020</v>
      </c>
      <c r="AH325" s="13" t="s">
        <v>244</v>
      </c>
      <c r="AI325" s="2">
        <v>50</v>
      </c>
      <c r="AJ325" s="2">
        <v>2</v>
      </c>
      <c r="AK325" s="2">
        <v>1</v>
      </c>
    </row>
    <row r="326" spans="1:37" x14ac:dyDescent="0.3">
      <c r="A326" s="11">
        <v>1.42</v>
      </c>
      <c r="B326" s="11">
        <v>488</v>
      </c>
      <c r="C326" s="13" t="s">
        <v>240</v>
      </c>
      <c r="D326" s="13" t="s">
        <v>241</v>
      </c>
      <c r="E326" s="13" t="s">
        <v>34</v>
      </c>
      <c r="F326" s="13">
        <v>0.04</v>
      </c>
      <c r="G326" s="13">
        <v>0.17899999999999999</v>
      </c>
      <c r="H326" s="13">
        <v>0.12</v>
      </c>
      <c r="I326" s="13">
        <v>0.22</v>
      </c>
      <c r="J326" s="13">
        <v>6.06</v>
      </c>
      <c r="K326" s="13">
        <v>1.95</v>
      </c>
      <c r="L326" s="13">
        <v>16.489999999999998</v>
      </c>
      <c r="M326" s="13" t="s">
        <v>34</v>
      </c>
      <c r="N326" s="13">
        <v>1344.54</v>
      </c>
      <c r="O326" s="13" t="s">
        <v>34</v>
      </c>
      <c r="P326" s="13" t="s">
        <v>34</v>
      </c>
      <c r="Q326" s="10">
        <v>0.81</v>
      </c>
      <c r="R326" s="13">
        <v>2.67</v>
      </c>
      <c r="S326" s="13" t="s">
        <v>34</v>
      </c>
      <c r="T326" s="13" t="s">
        <v>49</v>
      </c>
      <c r="U326" s="13" t="s">
        <v>242</v>
      </c>
      <c r="V326" s="32" t="s">
        <v>207</v>
      </c>
      <c r="W326" s="13" t="s">
        <v>34</v>
      </c>
      <c r="X326" s="10">
        <v>0.75</v>
      </c>
      <c r="Y326" s="13">
        <v>1</v>
      </c>
      <c r="Z326" s="13" t="s">
        <v>242</v>
      </c>
      <c r="AA326" s="10">
        <v>13.72</v>
      </c>
      <c r="AB326" s="13" t="s">
        <v>34</v>
      </c>
      <c r="AC326" s="13" t="s">
        <v>40</v>
      </c>
      <c r="AD326" s="32" t="s">
        <v>32</v>
      </c>
      <c r="AE326" s="13">
        <v>0.21840000000000001</v>
      </c>
      <c r="AF326" s="13" t="s">
        <v>243</v>
      </c>
      <c r="AG326" s="13">
        <v>2020</v>
      </c>
      <c r="AH326" s="13" t="s">
        <v>244</v>
      </c>
      <c r="AI326" s="60">
        <v>50</v>
      </c>
      <c r="AJ326" s="59">
        <v>2</v>
      </c>
      <c r="AK326" s="59">
        <v>1</v>
      </c>
    </row>
    <row r="327" spans="1:37" x14ac:dyDescent="0.3">
      <c r="A327" s="11">
        <v>1.47</v>
      </c>
      <c r="B327" s="11">
        <v>477</v>
      </c>
      <c r="C327" s="13" t="s">
        <v>240</v>
      </c>
      <c r="D327" s="13" t="s">
        <v>241</v>
      </c>
      <c r="E327" s="13" t="s">
        <v>34</v>
      </c>
      <c r="F327" s="13">
        <v>0.04</v>
      </c>
      <c r="G327" s="13">
        <v>0.17899999999999999</v>
      </c>
      <c r="H327" s="13">
        <v>0.12</v>
      </c>
      <c r="I327" s="13">
        <v>0.22</v>
      </c>
      <c r="J327" s="13">
        <v>6.06</v>
      </c>
      <c r="K327" s="13">
        <v>1.95</v>
      </c>
      <c r="L327" s="13">
        <v>16.489999999999998</v>
      </c>
      <c r="M327" s="13" t="s">
        <v>34</v>
      </c>
      <c r="N327" s="13">
        <v>1344.54</v>
      </c>
      <c r="O327" s="13" t="s">
        <v>34</v>
      </c>
      <c r="P327" s="13" t="s">
        <v>34</v>
      </c>
      <c r="Q327" s="10">
        <v>0.91</v>
      </c>
      <c r="R327" s="13">
        <v>2.67</v>
      </c>
      <c r="S327" s="13" t="s">
        <v>34</v>
      </c>
      <c r="T327" s="13" t="s">
        <v>49</v>
      </c>
      <c r="U327" s="13" t="s">
        <v>242</v>
      </c>
      <c r="V327" s="32" t="s">
        <v>207</v>
      </c>
      <c r="W327" s="13" t="s">
        <v>34</v>
      </c>
      <c r="X327" s="10">
        <v>0.75</v>
      </c>
      <c r="Y327" s="13">
        <v>1</v>
      </c>
      <c r="Z327" s="13" t="s">
        <v>242</v>
      </c>
      <c r="AA327" s="10">
        <v>13.72</v>
      </c>
      <c r="AB327" s="13" t="s">
        <v>34</v>
      </c>
      <c r="AC327" s="13" t="s">
        <v>40</v>
      </c>
      <c r="AD327" s="32" t="s">
        <v>32</v>
      </c>
      <c r="AE327" s="13">
        <v>0.21840000000000001</v>
      </c>
      <c r="AF327" s="13" t="s">
        <v>243</v>
      </c>
      <c r="AG327" s="13">
        <v>2020</v>
      </c>
      <c r="AH327" s="13" t="s">
        <v>244</v>
      </c>
      <c r="AI327" s="57">
        <v>50</v>
      </c>
      <c r="AJ327" s="2">
        <v>2</v>
      </c>
      <c r="AK327" s="2">
        <v>1</v>
      </c>
    </row>
    <row r="328" spans="1:37" x14ac:dyDescent="0.3">
      <c r="A328" s="11">
        <v>1.65</v>
      </c>
      <c r="B328" s="11">
        <v>564</v>
      </c>
      <c r="C328" s="13" t="s">
        <v>240</v>
      </c>
      <c r="D328" s="13" t="s">
        <v>241</v>
      </c>
      <c r="E328" s="13" t="s">
        <v>34</v>
      </c>
      <c r="F328" s="13">
        <v>0.04</v>
      </c>
      <c r="G328" s="13">
        <v>0.17899999999999999</v>
      </c>
      <c r="H328" s="13">
        <v>0.12</v>
      </c>
      <c r="I328" s="13">
        <v>0.22</v>
      </c>
      <c r="J328" s="13">
        <v>6.06</v>
      </c>
      <c r="K328" s="13">
        <v>1.95</v>
      </c>
      <c r="L328" s="13">
        <v>16.489999999999998</v>
      </c>
      <c r="M328" s="13" t="s">
        <v>34</v>
      </c>
      <c r="N328" s="13">
        <v>1344.54</v>
      </c>
      <c r="O328" s="13" t="s">
        <v>34</v>
      </c>
      <c r="P328" s="13" t="s">
        <v>34</v>
      </c>
      <c r="Q328" s="10">
        <v>0.86</v>
      </c>
      <c r="R328" s="13">
        <v>2.67</v>
      </c>
      <c r="S328" s="13" t="s">
        <v>34</v>
      </c>
      <c r="T328" s="13" t="s">
        <v>49</v>
      </c>
      <c r="U328" s="13" t="s">
        <v>242</v>
      </c>
      <c r="V328" s="32" t="s">
        <v>207</v>
      </c>
      <c r="W328" s="13" t="s">
        <v>34</v>
      </c>
      <c r="X328" s="10">
        <v>0.75</v>
      </c>
      <c r="Y328" s="13">
        <v>1</v>
      </c>
      <c r="Z328" s="13" t="s">
        <v>242</v>
      </c>
      <c r="AA328" s="10">
        <v>13.72</v>
      </c>
      <c r="AB328" s="13" t="s">
        <v>34</v>
      </c>
      <c r="AC328" s="13" t="s">
        <v>40</v>
      </c>
      <c r="AD328" s="32" t="s">
        <v>32</v>
      </c>
      <c r="AE328" s="13">
        <v>0.21840000000000001</v>
      </c>
      <c r="AF328" s="13" t="s">
        <v>243</v>
      </c>
      <c r="AG328" s="13">
        <v>2020</v>
      </c>
      <c r="AH328" s="13" t="s">
        <v>244</v>
      </c>
      <c r="AI328" s="57">
        <v>50</v>
      </c>
      <c r="AJ328" s="2">
        <v>2</v>
      </c>
      <c r="AK328" s="2">
        <v>1</v>
      </c>
    </row>
    <row r="329" spans="1:37" x14ac:dyDescent="0.3">
      <c r="A329" s="11">
        <v>1.57</v>
      </c>
      <c r="B329" s="11">
        <v>493</v>
      </c>
      <c r="C329" s="13" t="s">
        <v>240</v>
      </c>
      <c r="D329" s="13" t="s">
        <v>241</v>
      </c>
      <c r="E329" s="13" t="s">
        <v>34</v>
      </c>
      <c r="F329" s="13">
        <v>0.04</v>
      </c>
      <c r="G329" s="13">
        <v>0.17899999999999999</v>
      </c>
      <c r="H329" s="13">
        <v>0.12</v>
      </c>
      <c r="I329" s="13">
        <v>0.22</v>
      </c>
      <c r="J329" s="13">
        <v>6.06</v>
      </c>
      <c r="K329" s="13">
        <v>1.95</v>
      </c>
      <c r="L329" s="13">
        <v>16.489999999999998</v>
      </c>
      <c r="M329" s="13" t="s">
        <v>34</v>
      </c>
      <c r="N329" s="13">
        <v>1344.54</v>
      </c>
      <c r="O329" s="13" t="s">
        <v>34</v>
      </c>
      <c r="P329" s="13" t="s">
        <v>34</v>
      </c>
      <c r="Q329" s="10">
        <v>0.79</v>
      </c>
      <c r="R329" s="13">
        <v>2.67</v>
      </c>
      <c r="S329" s="13" t="s">
        <v>34</v>
      </c>
      <c r="T329" s="13" t="s">
        <v>49</v>
      </c>
      <c r="U329" s="13" t="s">
        <v>242</v>
      </c>
      <c r="V329" s="32" t="s">
        <v>207</v>
      </c>
      <c r="W329" s="13" t="s">
        <v>34</v>
      </c>
      <c r="X329" s="10">
        <v>0.75</v>
      </c>
      <c r="Y329" s="13">
        <v>1</v>
      </c>
      <c r="Z329" s="13" t="s">
        <v>242</v>
      </c>
      <c r="AA329" s="10">
        <v>13.72</v>
      </c>
      <c r="AB329" s="13" t="s">
        <v>34</v>
      </c>
      <c r="AC329" s="13" t="s">
        <v>40</v>
      </c>
      <c r="AD329" s="32" t="s">
        <v>32</v>
      </c>
      <c r="AE329" s="13">
        <v>0.21840000000000001</v>
      </c>
      <c r="AF329" s="13" t="s">
        <v>243</v>
      </c>
      <c r="AG329" s="13">
        <v>2020</v>
      </c>
      <c r="AH329" s="13" t="s">
        <v>244</v>
      </c>
      <c r="AI329" s="57">
        <v>50</v>
      </c>
      <c r="AJ329" s="2">
        <v>2</v>
      </c>
      <c r="AK329" s="2">
        <v>1</v>
      </c>
    </row>
    <row r="330" spans="1:37" x14ac:dyDescent="0.3">
      <c r="A330" s="11">
        <v>2.89</v>
      </c>
      <c r="B330" s="11">
        <v>699</v>
      </c>
      <c r="C330" s="13" t="s">
        <v>240</v>
      </c>
      <c r="D330" s="13" t="s">
        <v>241</v>
      </c>
      <c r="E330" s="13" t="s">
        <v>34</v>
      </c>
      <c r="F330" s="13">
        <v>0.04</v>
      </c>
      <c r="G330" s="13">
        <v>0.17899999999999999</v>
      </c>
      <c r="H330" s="13">
        <v>0.12</v>
      </c>
      <c r="I330" s="13">
        <v>0.22</v>
      </c>
      <c r="J330" s="13">
        <v>6.06</v>
      </c>
      <c r="K330" s="13">
        <v>1.95</v>
      </c>
      <c r="L330" s="13">
        <v>16.489999999999998</v>
      </c>
      <c r="M330" s="13" t="s">
        <v>34</v>
      </c>
      <c r="N330" s="13">
        <v>1344.54</v>
      </c>
      <c r="O330" s="13" t="s">
        <v>34</v>
      </c>
      <c r="P330" s="13" t="s">
        <v>34</v>
      </c>
      <c r="Q330" s="10">
        <v>0.81</v>
      </c>
      <c r="R330" s="13">
        <v>2.67</v>
      </c>
      <c r="S330" s="13" t="s">
        <v>34</v>
      </c>
      <c r="T330" s="13" t="s">
        <v>49</v>
      </c>
      <c r="U330" s="13" t="s">
        <v>242</v>
      </c>
      <c r="V330" s="32" t="s">
        <v>207</v>
      </c>
      <c r="W330" s="13" t="s">
        <v>34</v>
      </c>
      <c r="X330" s="10">
        <v>1.5</v>
      </c>
      <c r="Y330" s="13">
        <v>1</v>
      </c>
      <c r="Z330" s="13" t="s">
        <v>242</v>
      </c>
      <c r="AA330" s="10">
        <v>13.72</v>
      </c>
      <c r="AB330" s="13" t="s">
        <v>34</v>
      </c>
      <c r="AC330" s="13" t="s">
        <v>40</v>
      </c>
      <c r="AD330" s="32" t="s">
        <v>32</v>
      </c>
      <c r="AE330" s="13">
        <v>0.21840000000000001</v>
      </c>
      <c r="AF330" s="13" t="s">
        <v>243</v>
      </c>
      <c r="AG330" s="13">
        <v>2020</v>
      </c>
      <c r="AH330" s="13" t="s">
        <v>244</v>
      </c>
      <c r="AI330" s="57">
        <v>50</v>
      </c>
      <c r="AJ330" s="2">
        <v>2</v>
      </c>
      <c r="AK330" s="2">
        <v>1</v>
      </c>
    </row>
    <row r="331" spans="1:37" x14ac:dyDescent="0.3">
      <c r="A331" s="11">
        <v>3.34</v>
      </c>
      <c r="B331" s="11">
        <v>755</v>
      </c>
      <c r="C331" s="13" t="s">
        <v>240</v>
      </c>
      <c r="D331" s="13" t="s">
        <v>241</v>
      </c>
      <c r="E331" s="13" t="s">
        <v>34</v>
      </c>
      <c r="F331" s="13">
        <v>0.04</v>
      </c>
      <c r="G331" s="13">
        <v>0.17899999999999999</v>
      </c>
      <c r="H331" s="13">
        <v>0.12</v>
      </c>
      <c r="I331" s="13">
        <v>0.22</v>
      </c>
      <c r="J331" s="13">
        <v>6.06</v>
      </c>
      <c r="K331" s="13">
        <v>1.95</v>
      </c>
      <c r="L331" s="13">
        <v>16.489999999999998</v>
      </c>
      <c r="M331" s="13" t="s">
        <v>34</v>
      </c>
      <c r="N331" s="13">
        <v>1344.54</v>
      </c>
      <c r="O331" s="13" t="s">
        <v>34</v>
      </c>
      <c r="P331" s="13" t="s">
        <v>34</v>
      </c>
      <c r="Q331" s="10">
        <v>1</v>
      </c>
      <c r="R331" s="13">
        <v>2.67</v>
      </c>
      <c r="S331" s="13" t="s">
        <v>34</v>
      </c>
      <c r="T331" s="13" t="s">
        <v>49</v>
      </c>
      <c r="U331" s="13" t="s">
        <v>242</v>
      </c>
      <c r="V331" s="32" t="s">
        <v>207</v>
      </c>
      <c r="W331" s="13" t="s">
        <v>34</v>
      </c>
      <c r="X331" s="10">
        <v>1.5</v>
      </c>
      <c r="Y331" s="13">
        <v>1</v>
      </c>
      <c r="Z331" s="13" t="s">
        <v>242</v>
      </c>
      <c r="AA331" s="10">
        <v>13.72</v>
      </c>
      <c r="AB331" s="13" t="s">
        <v>34</v>
      </c>
      <c r="AC331" s="13" t="s">
        <v>40</v>
      </c>
      <c r="AD331" s="32" t="s">
        <v>32</v>
      </c>
      <c r="AE331" s="13">
        <v>0.21840000000000001</v>
      </c>
      <c r="AF331" s="13" t="s">
        <v>243</v>
      </c>
      <c r="AG331" s="13">
        <v>2020</v>
      </c>
      <c r="AH331" s="13" t="s">
        <v>244</v>
      </c>
      <c r="AI331" s="57">
        <v>50</v>
      </c>
      <c r="AJ331" s="2">
        <v>2</v>
      </c>
      <c r="AK331" s="2">
        <v>1</v>
      </c>
    </row>
    <row r="332" spans="1:37" x14ac:dyDescent="0.3">
      <c r="A332" s="11">
        <v>3.31</v>
      </c>
      <c r="B332" s="11">
        <v>826</v>
      </c>
      <c r="C332" s="13" t="s">
        <v>240</v>
      </c>
      <c r="D332" s="13" t="s">
        <v>241</v>
      </c>
      <c r="E332" s="13" t="s">
        <v>34</v>
      </c>
      <c r="F332" s="13">
        <v>0.04</v>
      </c>
      <c r="G332" s="13">
        <v>0.17899999999999999</v>
      </c>
      <c r="H332" s="13">
        <v>0.12</v>
      </c>
      <c r="I332" s="13">
        <v>0.22</v>
      </c>
      <c r="J332" s="13">
        <v>6.06</v>
      </c>
      <c r="K332" s="13">
        <v>1.95</v>
      </c>
      <c r="L332" s="13">
        <v>16.489999999999998</v>
      </c>
      <c r="M332" s="13" t="s">
        <v>34</v>
      </c>
      <c r="N332" s="13">
        <v>1344.54</v>
      </c>
      <c r="O332" s="13" t="s">
        <v>34</v>
      </c>
      <c r="P332" s="13" t="s">
        <v>34</v>
      </c>
      <c r="Q332" s="10">
        <v>0.79</v>
      </c>
      <c r="R332" s="13">
        <v>2.67</v>
      </c>
      <c r="S332" s="13" t="s">
        <v>34</v>
      </c>
      <c r="T332" s="13" t="s">
        <v>49</v>
      </c>
      <c r="U332" s="13" t="s">
        <v>242</v>
      </c>
      <c r="V332" s="32" t="s">
        <v>207</v>
      </c>
      <c r="W332" s="13" t="s">
        <v>34</v>
      </c>
      <c r="X332" s="10">
        <v>1.5</v>
      </c>
      <c r="Y332" s="13">
        <v>1</v>
      </c>
      <c r="Z332" s="13" t="s">
        <v>242</v>
      </c>
      <c r="AA332" s="10">
        <v>13.72</v>
      </c>
      <c r="AB332" s="13" t="s">
        <v>34</v>
      </c>
      <c r="AC332" s="13" t="s">
        <v>40</v>
      </c>
      <c r="AD332" s="32" t="s">
        <v>32</v>
      </c>
      <c r="AE332" s="13">
        <v>0.21840000000000001</v>
      </c>
      <c r="AF332" s="13" t="s">
        <v>243</v>
      </c>
      <c r="AG332" s="13">
        <v>2020</v>
      </c>
      <c r="AH332" s="13" t="s">
        <v>244</v>
      </c>
      <c r="AI332" s="57">
        <v>50</v>
      </c>
      <c r="AJ332" s="2">
        <v>2</v>
      </c>
      <c r="AK332" s="2">
        <v>1</v>
      </c>
    </row>
    <row r="333" spans="1:37" x14ac:dyDescent="0.3">
      <c r="A333" s="11">
        <v>2.89</v>
      </c>
      <c r="B333" s="11">
        <v>666</v>
      </c>
      <c r="C333" s="13" t="s">
        <v>240</v>
      </c>
      <c r="D333" s="13" t="s">
        <v>241</v>
      </c>
      <c r="E333" s="13" t="s">
        <v>34</v>
      </c>
      <c r="F333" s="13">
        <v>0.04</v>
      </c>
      <c r="G333" s="13">
        <v>0.17899999999999999</v>
      </c>
      <c r="H333" s="13">
        <v>0.12</v>
      </c>
      <c r="I333" s="13">
        <v>0.22</v>
      </c>
      <c r="J333" s="13">
        <v>6.06</v>
      </c>
      <c r="K333" s="13">
        <v>1.95</v>
      </c>
      <c r="L333" s="13">
        <v>16.489999999999998</v>
      </c>
      <c r="M333" s="13" t="s">
        <v>34</v>
      </c>
      <c r="N333" s="13">
        <v>1344.54</v>
      </c>
      <c r="O333" s="13" t="s">
        <v>34</v>
      </c>
      <c r="P333" s="13" t="s">
        <v>34</v>
      </c>
      <c r="Q333" s="10">
        <v>0.86</v>
      </c>
      <c r="R333" s="13">
        <v>2.67</v>
      </c>
      <c r="S333" s="13" t="s">
        <v>34</v>
      </c>
      <c r="T333" s="13" t="s">
        <v>49</v>
      </c>
      <c r="U333" s="13" t="s">
        <v>242</v>
      </c>
      <c r="V333" s="32" t="s">
        <v>207</v>
      </c>
      <c r="W333" s="13" t="s">
        <v>34</v>
      </c>
      <c r="X333" s="10">
        <v>1.5</v>
      </c>
      <c r="Y333" s="13">
        <v>1</v>
      </c>
      <c r="Z333" s="13" t="s">
        <v>242</v>
      </c>
      <c r="AA333" s="10">
        <v>13.72</v>
      </c>
      <c r="AB333" s="13" t="s">
        <v>34</v>
      </c>
      <c r="AC333" s="13" t="s">
        <v>40</v>
      </c>
      <c r="AD333" s="32" t="s">
        <v>32</v>
      </c>
      <c r="AE333" s="13">
        <v>0.21840000000000001</v>
      </c>
      <c r="AF333" s="13" t="s">
        <v>243</v>
      </c>
      <c r="AG333" s="13">
        <v>2020</v>
      </c>
      <c r="AH333" s="13" t="s">
        <v>244</v>
      </c>
      <c r="AI333" s="57">
        <v>50</v>
      </c>
      <c r="AJ333" s="2">
        <v>2</v>
      </c>
      <c r="AK333" s="2">
        <v>1</v>
      </c>
    </row>
    <row r="334" spans="1:37" x14ac:dyDescent="0.3">
      <c r="A334" s="11">
        <v>3.02</v>
      </c>
      <c r="B334" s="11">
        <v>699</v>
      </c>
      <c r="C334" s="13" t="s">
        <v>240</v>
      </c>
      <c r="D334" s="13" t="s">
        <v>241</v>
      </c>
      <c r="E334" s="13" t="s">
        <v>34</v>
      </c>
      <c r="F334" s="13">
        <v>0.04</v>
      </c>
      <c r="G334" s="13">
        <v>0.17899999999999999</v>
      </c>
      <c r="H334" s="13">
        <v>0.12</v>
      </c>
      <c r="I334" s="13">
        <v>0.22</v>
      </c>
      <c r="J334" s="13">
        <v>6.06</v>
      </c>
      <c r="K334" s="13">
        <v>1.95</v>
      </c>
      <c r="L334" s="13">
        <v>16.489999999999998</v>
      </c>
      <c r="M334" s="13" t="s">
        <v>34</v>
      </c>
      <c r="N334" s="13">
        <v>1344.54</v>
      </c>
      <c r="O334" s="13" t="s">
        <v>34</v>
      </c>
      <c r="P334" s="13" t="s">
        <v>34</v>
      </c>
      <c r="Q334" s="10">
        <v>1.04</v>
      </c>
      <c r="R334" s="13">
        <v>2.67</v>
      </c>
      <c r="S334" s="13" t="s">
        <v>34</v>
      </c>
      <c r="T334" s="13" t="s">
        <v>49</v>
      </c>
      <c r="U334" s="13" t="s">
        <v>242</v>
      </c>
      <c r="V334" s="32" t="s">
        <v>207</v>
      </c>
      <c r="W334" s="13" t="s">
        <v>34</v>
      </c>
      <c r="X334" s="10">
        <v>1.5</v>
      </c>
      <c r="Y334" s="13">
        <v>1</v>
      </c>
      <c r="Z334" s="13" t="s">
        <v>242</v>
      </c>
      <c r="AA334" s="10">
        <v>27.446999999999999</v>
      </c>
      <c r="AB334" s="13" t="s">
        <v>34</v>
      </c>
      <c r="AC334" s="13" t="s">
        <v>40</v>
      </c>
      <c r="AD334" s="32" t="s">
        <v>32</v>
      </c>
      <c r="AE334" s="13">
        <v>0.21840000000000001</v>
      </c>
      <c r="AF334" s="13" t="s">
        <v>243</v>
      </c>
      <c r="AG334" s="13">
        <v>2020</v>
      </c>
      <c r="AH334" s="13" t="s">
        <v>244</v>
      </c>
      <c r="AI334" s="57">
        <v>50</v>
      </c>
      <c r="AJ334" s="2">
        <v>2</v>
      </c>
      <c r="AK334" s="2">
        <v>1</v>
      </c>
    </row>
    <row r="335" spans="1:37" x14ac:dyDescent="0.3">
      <c r="A335" s="11">
        <v>3.02</v>
      </c>
      <c r="B335" s="11">
        <v>751</v>
      </c>
      <c r="C335" s="13" t="s">
        <v>240</v>
      </c>
      <c r="D335" s="13" t="s">
        <v>241</v>
      </c>
      <c r="E335" s="13" t="s">
        <v>34</v>
      </c>
      <c r="F335" s="13">
        <v>0.04</v>
      </c>
      <c r="G335" s="13">
        <v>0.17899999999999999</v>
      </c>
      <c r="H335" s="13">
        <v>0.12</v>
      </c>
      <c r="I335" s="13">
        <v>0.22</v>
      </c>
      <c r="J335" s="13">
        <v>6.06</v>
      </c>
      <c r="K335" s="13">
        <v>1.95</v>
      </c>
      <c r="L335" s="13">
        <v>16.489999999999998</v>
      </c>
      <c r="M335" s="13" t="s">
        <v>34</v>
      </c>
      <c r="N335" s="13">
        <v>1344.54</v>
      </c>
      <c r="O335" s="13" t="s">
        <v>34</v>
      </c>
      <c r="P335" s="13" t="s">
        <v>34</v>
      </c>
      <c r="Q335" s="10">
        <v>0.88</v>
      </c>
      <c r="R335" s="13">
        <v>2.67</v>
      </c>
      <c r="S335" s="13" t="s">
        <v>34</v>
      </c>
      <c r="T335" s="13" t="s">
        <v>49</v>
      </c>
      <c r="U335" s="13" t="s">
        <v>242</v>
      </c>
      <c r="V335" s="32" t="s">
        <v>207</v>
      </c>
      <c r="W335" s="13" t="s">
        <v>34</v>
      </c>
      <c r="X335" s="10">
        <v>1.5</v>
      </c>
      <c r="Y335" s="13">
        <v>1</v>
      </c>
      <c r="Z335" s="13" t="s">
        <v>242</v>
      </c>
      <c r="AA335" s="10">
        <v>27.446999999999999</v>
      </c>
      <c r="AB335" s="13" t="s">
        <v>34</v>
      </c>
      <c r="AC335" s="13" t="s">
        <v>40</v>
      </c>
      <c r="AD335" s="32" t="s">
        <v>32</v>
      </c>
      <c r="AE335" s="13">
        <v>0.21840000000000001</v>
      </c>
      <c r="AF335" s="13" t="s">
        <v>243</v>
      </c>
      <c r="AG335" s="13">
        <v>2020</v>
      </c>
      <c r="AH335" s="13" t="s">
        <v>244</v>
      </c>
      <c r="AI335" s="57">
        <v>50</v>
      </c>
      <c r="AJ335" s="2">
        <v>2</v>
      </c>
      <c r="AK335" s="2">
        <v>1</v>
      </c>
    </row>
    <row r="336" spans="1:37" x14ac:dyDescent="0.3">
      <c r="A336" s="11">
        <v>2.41</v>
      </c>
      <c r="B336" s="11">
        <v>649</v>
      </c>
      <c r="C336" s="13" t="s">
        <v>240</v>
      </c>
      <c r="D336" s="13" t="s">
        <v>241</v>
      </c>
      <c r="E336" s="13" t="s">
        <v>34</v>
      </c>
      <c r="F336" s="13">
        <v>0.04</v>
      </c>
      <c r="G336" s="13">
        <v>0.17899999999999999</v>
      </c>
      <c r="H336" s="13">
        <v>0.12</v>
      </c>
      <c r="I336" s="13">
        <v>0.22</v>
      </c>
      <c r="J336" s="13">
        <v>6.06</v>
      </c>
      <c r="K336" s="13">
        <v>1.95</v>
      </c>
      <c r="L336" s="13">
        <v>16.489999999999998</v>
      </c>
      <c r="M336" s="13" t="s">
        <v>34</v>
      </c>
      <c r="N336" s="13">
        <v>1344.54</v>
      </c>
      <c r="O336" s="13" t="s">
        <v>34</v>
      </c>
      <c r="P336" s="13" t="s">
        <v>34</v>
      </c>
      <c r="Q336" s="10">
        <v>0.86</v>
      </c>
      <c r="R336" s="13">
        <v>2.67</v>
      </c>
      <c r="S336" s="13" t="s">
        <v>34</v>
      </c>
      <c r="T336" s="13" t="s">
        <v>49</v>
      </c>
      <c r="U336" s="13" t="s">
        <v>242</v>
      </c>
      <c r="V336" s="32" t="s">
        <v>207</v>
      </c>
      <c r="W336" s="13" t="s">
        <v>34</v>
      </c>
      <c r="X336" s="10">
        <v>1.5</v>
      </c>
      <c r="Y336" s="13">
        <v>1</v>
      </c>
      <c r="Z336" s="13" t="s">
        <v>242</v>
      </c>
      <c r="AA336" s="10">
        <v>27.446999999999999</v>
      </c>
      <c r="AB336" s="13" t="s">
        <v>34</v>
      </c>
      <c r="AC336" s="13" t="s">
        <v>40</v>
      </c>
      <c r="AD336" s="32" t="s">
        <v>32</v>
      </c>
      <c r="AE336" s="13">
        <v>0.21840000000000001</v>
      </c>
      <c r="AF336" s="13" t="s">
        <v>243</v>
      </c>
      <c r="AG336" s="13">
        <v>2020</v>
      </c>
      <c r="AH336" s="13" t="s">
        <v>244</v>
      </c>
      <c r="AI336" s="57">
        <v>50</v>
      </c>
      <c r="AJ336" s="2">
        <v>2</v>
      </c>
      <c r="AK336" s="2">
        <v>1</v>
      </c>
    </row>
    <row r="337" spans="1:37" x14ac:dyDescent="0.3">
      <c r="A337" s="11">
        <v>2.7</v>
      </c>
      <c r="B337" s="11">
        <v>748</v>
      </c>
      <c r="C337" s="13" t="s">
        <v>240</v>
      </c>
      <c r="D337" s="13" t="s">
        <v>241</v>
      </c>
      <c r="E337" s="13" t="s">
        <v>34</v>
      </c>
      <c r="F337" s="13">
        <v>0.04</v>
      </c>
      <c r="G337" s="13">
        <v>0.17899999999999999</v>
      </c>
      <c r="H337" s="13">
        <v>0.12</v>
      </c>
      <c r="I337" s="13">
        <v>0.22</v>
      </c>
      <c r="J337" s="13">
        <v>6.06</v>
      </c>
      <c r="K337" s="13">
        <v>1.95</v>
      </c>
      <c r="L337" s="13">
        <v>16.489999999999998</v>
      </c>
      <c r="M337" s="13" t="s">
        <v>34</v>
      </c>
      <c r="N337" s="13">
        <v>1344.54</v>
      </c>
      <c r="O337" s="13" t="s">
        <v>34</v>
      </c>
      <c r="P337" s="13" t="s">
        <v>34</v>
      </c>
      <c r="Q337" s="10">
        <v>0.97</v>
      </c>
      <c r="R337" s="13">
        <v>2.67</v>
      </c>
      <c r="S337" s="13" t="s">
        <v>34</v>
      </c>
      <c r="T337" s="13" t="s">
        <v>49</v>
      </c>
      <c r="U337" s="13" t="s">
        <v>242</v>
      </c>
      <c r="V337" s="32" t="s">
        <v>207</v>
      </c>
      <c r="W337" s="13" t="s">
        <v>34</v>
      </c>
      <c r="X337" s="10">
        <v>1.5</v>
      </c>
      <c r="Y337" s="13">
        <v>1</v>
      </c>
      <c r="Z337" s="13" t="s">
        <v>242</v>
      </c>
      <c r="AA337" s="10">
        <v>27.446999999999999</v>
      </c>
      <c r="AB337" s="13" t="s">
        <v>34</v>
      </c>
      <c r="AC337" s="13" t="s">
        <v>40</v>
      </c>
      <c r="AD337" s="32" t="s">
        <v>32</v>
      </c>
      <c r="AE337" s="13">
        <v>0.21840000000000001</v>
      </c>
      <c r="AF337" s="13" t="s">
        <v>243</v>
      </c>
      <c r="AG337" s="13">
        <v>2020</v>
      </c>
      <c r="AH337" s="13" t="s">
        <v>244</v>
      </c>
      <c r="AI337" s="57">
        <v>50</v>
      </c>
      <c r="AJ337" s="2">
        <v>2</v>
      </c>
      <c r="AK337" s="2">
        <v>1</v>
      </c>
    </row>
    <row r="338" spans="1:37" x14ac:dyDescent="0.3">
      <c r="A338" s="11">
        <v>4.87</v>
      </c>
      <c r="B338" s="11">
        <v>273</v>
      </c>
      <c r="C338" s="13" t="s">
        <v>240</v>
      </c>
      <c r="D338" s="13" t="s">
        <v>241</v>
      </c>
      <c r="E338" s="13" t="s">
        <v>34</v>
      </c>
      <c r="F338" s="13">
        <v>0.04</v>
      </c>
      <c r="G338" s="13">
        <v>0.17899999999999999</v>
      </c>
      <c r="H338" s="13">
        <v>0.12</v>
      </c>
      <c r="I338" s="13">
        <v>0.22</v>
      </c>
      <c r="J338" s="13">
        <v>6.06</v>
      </c>
      <c r="K338" s="13">
        <v>1.95</v>
      </c>
      <c r="L338" s="13">
        <v>16.489999999999998</v>
      </c>
      <c r="M338" s="13" t="s">
        <v>34</v>
      </c>
      <c r="N338" s="13">
        <v>1344.54</v>
      </c>
      <c r="O338" s="13" t="s">
        <v>34</v>
      </c>
      <c r="P338" s="13" t="s">
        <v>34</v>
      </c>
      <c r="Q338" s="10">
        <v>8.7799999999999994</v>
      </c>
      <c r="R338" s="13">
        <v>2.67</v>
      </c>
      <c r="S338" s="13" t="s">
        <v>34</v>
      </c>
      <c r="T338" s="13" t="s">
        <v>49</v>
      </c>
      <c r="U338" s="13" t="s">
        <v>242</v>
      </c>
      <c r="V338" s="32" t="s">
        <v>207</v>
      </c>
      <c r="W338" s="13" t="s">
        <v>34</v>
      </c>
      <c r="X338" s="10">
        <v>3</v>
      </c>
      <c r="Y338" s="13">
        <v>1</v>
      </c>
      <c r="Z338" s="13" t="s">
        <v>242</v>
      </c>
      <c r="AA338" s="10">
        <v>27.446999999999999</v>
      </c>
      <c r="AB338" s="13" t="s">
        <v>34</v>
      </c>
      <c r="AC338" s="13" t="s">
        <v>40</v>
      </c>
      <c r="AD338" s="32" t="s">
        <v>32</v>
      </c>
      <c r="AE338" s="13">
        <v>0.21840000000000001</v>
      </c>
      <c r="AF338" s="13" t="s">
        <v>243</v>
      </c>
      <c r="AG338" s="13">
        <v>2020</v>
      </c>
      <c r="AH338" s="13" t="s">
        <v>244</v>
      </c>
      <c r="AI338" s="57">
        <v>50</v>
      </c>
      <c r="AJ338" s="2">
        <v>2</v>
      </c>
      <c r="AK338" s="2">
        <v>1</v>
      </c>
    </row>
    <row r="339" spans="1:37" x14ac:dyDescent="0.3">
      <c r="A339" s="11">
        <v>4.84</v>
      </c>
      <c r="B339" s="11">
        <v>429</v>
      </c>
      <c r="C339" s="13" t="s">
        <v>240</v>
      </c>
      <c r="D339" s="13" t="s">
        <v>241</v>
      </c>
      <c r="E339" s="13" t="s">
        <v>34</v>
      </c>
      <c r="F339" s="13">
        <v>0.04</v>
      </c>
      <c r="G339" s="13">
        <v>0.17899999999999999</v>
      </c>
      <c r="H339" s="13">
        <v>0.12</v>
      </c>
      <c r="I339" s="13">
        <v>0.22</v>
      </c>
      <c r="J339" s="13">
        <v>6.06</v>
      </c>
      <c r="K339" s="13">
        <v>1.95</v>
      </c>
      <c r="L339" s="13">
        <v>16.489999999999998</v>
      </c>
      <c r="M339" s="13" t="s">
        <v>34</v>
      </c>
      <c r="N339" s="13">
        <v>1344.54</v>
      </c>
      <c r="O339" s="13" t="s">
        <v>34</v>
      </c>
      <c r="P339" s="13" t="s">
        <v>34</v>
      </c>
      <c r="Q339" s="10">
        <v>6.73</v>
      </c>
      <c r="R339" s="13">
        <v>2.67</v>
      </c>
      <c r="S339" s="13" t="s">
        <v>34</v>
      </c>
      <c r="T339" s="13" t="s">
        <v>49</v>
      </c>
      <c r="U339" s="13" t="s">
        <v>242</v>
      </c>
      <c r="V339" s="32" t="s">
        <v>207</v>
      </c>
      <c r="W339" s="13" t="s">
        <v>34</v>
      </c>
      <c r="X339" s="10">
        <v>3</v>
      </c>
      <c r="Y339" s="13">
        <v>1</v>
      </c>
      <c r="Z339" s="13" t="s">
        <v>242</v>
      </c>
      <c r="AA339" s="10">
        <v>27.446999999999999</v>
      </c>
      <c r="AB339" s="13" t="s">
        <v>34</v>
      </c>
      <c r="AC339" s="13" t="s">
        <v>40</v>
      </c>
      <c r="AD339" s="32" t="s">
        <v>32</v>
      </c>
      <c r="AE339" s="13">
        <v>0.21840000000000001</v>
      </c>
      <c r="AF339" s="13" t="s">
        <v>243</v>
      </c>
      <c r="AG339" s="13">
        <v>2020</v>
      </c>
      <c r="AH339" s="13" t="s">
        <v>244</v>
      </c>
      <c r="AI339" s="57">
        <v>50</v>
      </c>
      <c r="AJ339" s="2">
        <v>2</v>
      </c>
      <c r="AK339" s="2">
        <v>1</v>
      </c>
    </row>
    <row r="340" spans="1:37" x14ac:dyDescent="0.3">
      <c r="A340" s="31">
        <v>4.7699999999999996</v>
      </c>
      <c r="B340" s="31">
        <v>735</v>
      </c>
      <c r="C340" s="32" t="s">
        <v>240</v>
      </c>
      <c r="D340" s="32" t="s">
        <v>241</v>
      </c>
      <c r="E340" s="32" t="s">
        <v>34</v>
      </c>
      <c r="F340" s="32">
        <v>0.04</v>
      </c>
      <c r="G340" s="32">
        <v>0.17899999999999999</v>
      </c>
      <c r="H340" s="32">
        <v>0.12</v>
      </c>
      <c r="I340" s="32">
        <v>0.22</v>
      </c>
      <c r="J340" s="32">
        <v>6.06</v>
      </c>
      <c r="K340" s="32">
        <v>1.95</v>
      </c>
      <c r="L340" s="32">
        <v>16.489999999999998</v>
      </c>
      <c r="M340" s="32" t="s">
        <v>34</v>
      </c>
      <c r="N340" s="32">
        <v>1344.54</v>
      </c>
      <c r="O340" s="32" t="s">
        <v>34</v>
      </c>
      <c r="P340" s="32" t="s">
        <v>34</v>
      </c>
      <c r="Q340" s="33">
        <v>3.25</v>
      </c>
      <c r="R340" s="32">
        <v>2.67</v>
      </c>
      <c r="S340" s="32" t="s">
        <v>34</v>
      </c>
      <c r="T340" s="32" t="s">
        <v>49</v>
      </c>
      <c r="U340" s="32" t="s">
        <v>242</v>
      </c>
      <c r="V340" s="32" t="s">
        <v>207</v>
      </c>
      <c r="W340" s="32" t="s">
        <v>34</v>
      </c>
      <c r="X340" s="33">
        <v>3</v>
      </c>
      <c r="Y340" s="13">
        <v>1</v>
      </c>
      <c r="Z340" s="32" t="s">
        <v>242</v>
      </c>
      <c r="AA340" s="33">
        <v>27.446999999999999</v>
      </c>
      <c r="AB340" s="32" t="s">
        <v>34</v>
      </c>
      <c r="AC340" s="32" t="s">
        <v>40</v>
      </c>
      <c r="AD340" s="32" t="s">
        <v>32</v>
      </c>
      <c r="AE340" s="32">
        <v>0.21840000000000001</v>
      </c>
      <c r="AF340" s="32" t="s">
        <v>243</v>
      </c>
      <c r="AG340" s="32">
        <v>2020</v>
      </c>
      <c r="AH340" s="32" t="s">
        <v>244</v>
      </c>
      <c r="AI340" s="57">
        <v>50</v>
      </c>
      <c r="AJ340" s="2">
        <v>2</v>
      </c>
      <c r="AK340" s="2">
        <v>1</v>
      </c>
    </row>
    <row r="341" spans="1:37" s="34" customFormat="1" ht="16.2" thickBot="1" x14ac:dyDescent="0.35">
      <c r="A341" s="17">
        <v>5.13</v>
      </c>
      <c r="B341" s="17">
        <v>870</v>
      </c>
      <c r="C341" s="14" t="s">
        <v>240</v>
      </c>
      <c r="D341" s="14" t="s">
        <v>241</v>
      </c>
      <c r="E341" s="14" t="s">
        <v>34</v>
      </c>
      <c r="F341" s="14">
        <v>0.04</v>
      </c>
      <c r="G341" s="14">
        <v>0.17899999999999999</v>
      </c>
      <c r="H341" s="14">
        <v>0.12</v>
      </c>
      <c r="I341" s="14">
        <v>0.22</v>
      </c>
      <c r="J341" s="14">
        <v>6.06</v>
      </c>
      <c r="K341" s="14">
        <v>1.95</v>
      </c>
      <c r="L341" s="14">
        <v>16.489999999999998</v>
      </c>
      <c r="M341" s="14" t="s">
        <v>34</v>
      </c>
      <c r="N341" s="14">
        <v>1344.54</v>
      </c>
      <c r="O341" s="14" t="s">
        <v>34</v>
      </c>
      <c r="P341" s="14" t="s">
        <v>34</v>
      </c>
      <c r="Q341" s="14">
        <v>1.04</v>
      </c>
      <c r="R341" s="14">
        <v>2.67</v>
      </c>
      <c r="S341" s="14" t="s">
        <v>34</v>
      </c>
      <c r="T341" s="14" t="s">
        <v>49</v>
      </c>
      <c r="U341" s="14" t="s">
        <v>242</v>
      </c>
      <c r="V341" s="14" t="s">
        <v>207</v>
      </c>
      <c r="W341" s="14" t="s">
        <v>34</v>
      </c>
      <c r="X341" s="14">
        <v>3</v>
      </c>
      <c r="Y341" s="14">
        <v>1</v>
      </c>
      <c r="Z341" s="14" t="s">
        <v>242</v>
      </c>
      <c r="AA341" s="14">
        <v>27.446999999999999</v>
      </c>
      <c r="AB341" s="14" t="s">
        <v>34</v>
      </c>
      <c r="AC341" s="14" t="s">
        <v>40</v>
      </c>
      <c r="AD341" s="14" t="s">
        <v>32</v>
      </c>
      <c r="AE341" s="14">
        <v>0.21840000000000001</v>
      </c>
      <c r="AF341" s="14" t="s">
        <v>243</v>
      </c>
      <c r="AG341" s="14">
        <v>2020</v>
      </c>
      <c r="AH341" s="14" t="s">
        <v>244</v>
      </c>
      <c r="AI341" s="61">
        <v>50</v>
      </c>
      <c r="AJ341" s="15">
        <v>2</v>
      </c>
      <c r="AK341" s="15">
        <v>1</v>
      </c>
    </row>
    <row r="342" spans="1:37" x14ac:dyDescent="0.3">
      <c r="A342" s="12">
        <v>0</v>
      </c>
      <c r="B342" s="12">
        <v>30</v>
      </c>
      <c r="C342" s="13" t="s">
        <v>33</v>
      </c>
      <c r="D342" s="13" t="s">
        <v>245</v>
      </c>
      <c r="E342" s="13" t="s">
        <v>170</v>
      </c>
      <c r="F342" s="13">
        <v>0.15</v>
      </c>
      <c r="G342" s="13">
        <v>0.18</v>
      </c>
      <c r="H342" s="12">
        <v>0.16900000000000001</v>
      </c>
      <c r="I342" s="12">
        <v>0.1905</v>
      </c>
      <c r="J342" s="13">
        <v>1.27</v>
      </c>
      <c r="K342" s="13">
        <v>1.01</v>
      </c>
      <c r="L342" s="13">
        <v>0</v>
      </c>
      <c r="M342" s="13" t="s">
        <v>34</v>
      </c>
      <c r="N342" s="13">
        <v>1550</v>
      </c>
      <c r="O342" s="13">
        <v>1.171</v>
      </c>
      <c r="P342" s="13">
        <v>0.83899999999999997</v>
      </c>
      <c r="Q342" s="13">
        <v>2.78</v>
      </c>
      <c r="R342" s="13">
        <v>2.637</v>
      </c>
      <c r="S342" s="13" t="s">
        <v>34</v>
      </c>
      <c r="T342" s="13" t="s">
        <v>49</v>
      </c>
      <c r="U342" s="13" t="s">
        <v>246</v>
      </c>
      <c r="V342" s="32" t="s">
        <v>207</v>
      </c>
      <c r="W342" s="13" t="s">
        <v>34</v>
      </c>
      <c r="X342" s="13">
        <v>8.33</v>
      </c>
      <c r="Y342" s="13">
        <v>2.5</v>
      </c>
      <c r="Z342" s="13" t="s">
        <v>246</v>
      </c>
      <c r="AA342" s="13" t="s">
        <v>34</v>
      </c>
      <c r="AB342" s="13" t="s">
        <v>34</v>
      </c>
      <c r="AC342" s="13" t="s">
        <v>40</v>
      </c>
      <c r="AD342" s="32" t="s">
        <v>32</v>
      </c>
      <c r="AE342" s="13">
        <v>0.58599999999999997</v>
      </c>
      <c r="AF342" s="13" t="s">
        <v>250</v>
      </c>
      <c r="AG342" s="13">
        <v>2014</v>
      </c>
      <c r="AH342" s="13" t="s">
        <v>249</v>
      </c>
      <c r="AI342" s="13">
        <v>50</v>
      </c>
      <c r="AJ342" s="13">
        <v>2</v>
      </c>
      <c r="AK342" s="13">
        <v>1</v>
      </c>
    </row>
    <row r="343" spans="1:37" x14ac:dyDescent="0.3">
      <c r="A343" s="11">
        <v>2.34</v>
      </c>
      <c r="B343" s="11">
        <v>90</v>
      </c>
      <c r="C343" s="13" t="s">
        <v>33</v>
      </c>
      <c r="D343" s="13" t="s">
        <v>245</v>
      </c>
      <c r="E343" s="13" t="s">
        <v>170</v>
      </c>
      <c r="F343" s="13">
        <v>0.15</v>
      </c>
      <c r="G343" s="13">
        <v>0.18</v>
      </c>
      <c r="H343" s="12">
        <v>0.16900000000000001</v>
      </c>
      <c r="I343" s="12">
        <v>0.1905</v>
      </c>
      <c r="J343" s="13">
        <v>1.27</v>
      </c>
      <c r="K343" s="13">
        <v>1.01</v>
      </c>
      <c r="L343" s="13">
        <v>0</v>
      </c>
      <c r="M343" s="13" t="s">
        <v>34</v>
      </c>
      <c r="N343" s="10">
        <v>1490</v>
      </c>
      <c r="O343" s="13">
        <v>1.171</v>
      </c>
      <c r="P343" s="13">
        <v>0.83899999999999997</v>
      </c>
      <c r="Q343" s="10">
        <v>4.6500000000000004</v>
      </c>
      <c r="R343" s="13">
        <v>2.637</v>
      </c>
      <c r="S343" s="13" t="s">
        <v>34</v>
      </c>
      <c r="T343" s="13" t="s">
        <v>49</v>
      </c>
      <c r="U343" s="13" t="s">
        <v>246</v>
      </c>
      <c r="V343" s="32" t="s">
        <v>207</v>
      </c>
      <c r="W343" s="13" t="s">
        <v>34</v>
      </c>
      <c r="X343" s="10">
        <v>1.66</v>
      </c>
      <c r="Y343" s="10">
        <v>0.5</v>
      </c>
      <c r="Z343" s="13" t="s">
        <v>246</v>
      </c>
      <c r="AA343" s="13" t="s">
        <v>34</v>
      </c>
      <c r="AB343" s="13" t="s">
        <v>34</v>
      </c>
      <c r="AC343" s="13" t="s">
        <v>40</v>
      </c>
      <c r="AD343" s="32" t="s">
        <v>32</v>
      </c>
      <c r="AE343" s="13">
        <v>0.58599999999999997</v>
      </c>
      <c r="AF343" s="13" t="s">
        <v>250</v>
      </c>
      <c r="AG343" s="13">
        <v>2014</v>
      </c>
      <c r="AH343" s="13" t="s">
        <v>249</v>
      </c>
      <c r="AI343" s="10">
        <v>50</v>
      </c>
      <c r="AJ343" s="10">
        <v>2</v>
      </c>
      <c r="AK343" s="10">
        <v>1</v>
      </c>
    </row>
    <row r="344" spans="1:37" x14ac:dyDescent="0.3">
      <c r="A344" s="11">
        <v>6.37</v>
      </c>
      <c r="B344" s="11">
        <v>160</v>
      </c>
      <c r="C344" s="13" t="s">
        <v>33</v>
      </c>
      <c r="D344" s="13" t="s">
        <v>245</v>
      </c>
      <c r="E344" s="13" t="s">
        <v>170</v>
      </c>
      <c r="F344" s="13">
        <v>0.15</v>
      </c>
      <c r="G344" s="13">
        <v>0.18</v>
      </c>
      <c r="H344" s="12">
        <v>0.16900000000000001</v>
      </c>
      <c r="I344" s="12">
        <v>0.1905</v>
      </c>
      <c r="J344" s="13">
        <v>1.27</v>
      </c>
      <c r="K344" s="13">
        <v>1.01</v>
      </c>
      <c r="L344" s="13">
        <v>0</v>
      </c>
      <c r="M344" s="13" t="s">
        <v>34</v>
      </c>
      <c r="N344" s="10">
        <v>1460</v>
      </c>
      <c r="O344" s="13">
        <v>1.171</v>
      </c>
      <c r="P344" s="13">
        <v>0.83899999999999997</v>
      </c>
      <c r="Q344" s="10">
        <v>2.66</v>
      </c>
      <c r="R344" s="13">
        <v>2.637</v>
      </c>
      <c r="S344" s="13" t="s">
        <v>34</v>
      </c>
      <c r="T344" s="13" t="s">
        <v>49</v>
      </c>
      <c r="U344" s="13" t="s">
        <v>246</v>
      </c>
      <c r="V344" s="32" t="s">
        <v>207</v>
      </c>
      <c r="W344" s="13" t="s">
        <v>34</v>
      </c>
      <c r="X344" s="10">
        <v>3.33</v>
      </c>
      <c r="Y344" s="10">
        <v>1</v>
      </c>
      <c r="Z344" s="13" t="s">
        <v>246</v>
      </c>
      <c r="AA344" s="13" t="s">
        <v>34</v>
      </c>
      <c r="AB344" s="13" t="s">
        <v>34</v>
      </c>
      <c r="AC344" s="13" t="s">
        <v>40</v>
      </c>
      <c r="AD344" s="32" t="s">
        <v>32</v>
      </c>
      <c r="AE344" s="13">
        <v>0.58599999999999997</v>
      </c>
      <c r="AF344" s="13" t="s">
        <v>250</v>
      </c>
      <c r="AG344" s="13">
        <v>2014</v>
      </c>
      <c r="AH344" s="13" t="s">
        <v>249</v>
      </c>
      <c r="AI344" s="10">
        <v>50</v>
      </c>
      <c r="AJ344" s="10">
        <v>2</v>
      </c>
      <c r="AK344" s="10">
        <v>1</v>
      </c>
    </row>
    <row r="345" spans="1:37" x14ac:dyDescent="0.3">
      <c r="A345" s="11">
        <v>6.58</v>
      </c>
      <c r="B345" s="11">
        <v>317</v>
      </c>
      <c r="C345" s="13" t="s">
        <v>33</v>
      </c>
      <c r="D345" s="13" t="s">
        <v>245</v>
      </c>
      <c r="E345" s="13" t="s">
        <v>170</v>
      </c>
      <c r="F345" s="13">
        <v>0.15</v>
      </c>
      <c r="G345" s="13">
        <v>0.18</v>
      </c>
      <c r="H345" s="12">
        <v>0.16900000000000001</v>
      </c>
      <c r="I345" s="12">
        <v>0.1905</v>
      </c>
      <c r="J345" s="13">
        <v>1.27</v>
      </c>
      <c r="K345" s="13">
        <v>1.01</v>
      </c>
      <c r="L345" s="13">
        <v>0</v>
      </c>
      <c r="M345" s="13" t="s">
        <v>34</v>
      </c>
      <c r="N345" s="10">
        <v>1520</v>
      </c>
      <c r="O345" s="13">
        <v>1.171</v>
      </c>
      <c r="P345" s="13">
        <v>0.83899999999999997</v>
      </c>
      <c r="Q345" s="10">
        <v>0.65</v>
      </c>
      <c r="R345" s="13">
        <v>2.637</v>
      </c>
      <c r="S345" s="13" t="s">
        <v>34</v>
      </c>
      <c r="T345" s="13" t="s">
        <v>49</v>
      </c>
      <c r="U345" s="13" t="s">
        <v>246</v>
      </c>
      <c r="V345" s="32" t="s">
        <v>207</v>
      </c>
      <c r="W345" s="13" t="s">
        <v>34</v>
      </c>
      <c r="X345" s="10">
        <v>8.33</v>
      </c>
      <c r="Y345" s="10">
        <v>2.5</v>
      </c>
      <c r="Z345" s="13" t="s">
        <v>246</v>
      </c>
      <c r="AA345" s="13" t="s">
        <v>34</v>
      </c>
      <c r="AB345" s="13" t="s">
        <v>34</v>
      </c>
      <c r="AC345" s="13" t="s">
        <v>40</v>
      </c>
      <c r="AD345" s="32" t="s">
        <v>32</v>
      </c>
      <c r="AE345" s="13">
        <v>0.58599999999999997</v>
      </c>
      <c r="AF345" s="13" t="s">
        <v>250</v>
      </c>
      <c r="AG345" s="13">
        <v>2014</v>
      </c>
      <c r="AH345" s="13" t="s">
        <v>249</v>
      </c>
      <c r="AI345" s="10">
        <v>50</v>
      </c>
      <c r="AJ345" s="10">
        <v>2</v>
      </c>
      <c r="AK345" s="10">
        <v>1</v>
      </c>
    </row>
    <row r="346" spans="1:37" x14ac:dyDescent="0.3">
      <c r="A346" s="11">
        <v>0</v>
      </c>
      <c r="B346" s="11">
        <v>89</v>
      </c>
      <c r="C346" s="13" t="s">
        <v>33</v>
      </c>
      <c r="D346" s="13" t="s">
        <v>245</v>
      </c>
      <c r="E346" s="13" t="s">
        <v>170</v>
      </c>
      <c r="F346" s="13">
        <v>0.15</v>
      </c>
      <c r="G346" s="13">
        <v>0.18</v>
      </c>
      <c r="H346" s="12">
        <v>0.16900000000000001</v>
      </c>
      <c r="I346" s="12">
        <v>0.1905</v>
      </c>
      <c r="J346" s="13">
        <v>1.27</v>
      </c>
      <c r="K346" s="13">
        <v>1.01</v>
      </c>
      <c r="L346" s="13">
        <v>0</v>
      </c>
      <c r="M346" s="13" t="s">
        <v>34</v>
      </c>
      <c r="N346" s="10">
        <v>1560</v>
      </c>
      <c r="O346" s="13">
        <v>1.171</v>
      </c>
      <c r="P346" s="13">
        <v>0.83899999999999997</v>
      </c>
      <c r="Q346" s="10">
        <v>1.75</v>
      </c>
      <c r="R346" s="13">
        <v>2.637</v>
      </c>
      <c r="S346" s="13" t="s">
        <v>34</v>
      </c>
      <c r="T346" s="13" t="s">
        <v>49</v>
      </c>
      <c r="U346" s="13" t="s">
        <v>246</v>
      </c>
      <c r="V346" s="32" t="s">
        <v>207</v>
      </c>
      <c r="W346" s="13" t="s">
        <v>34</v>
      </c>
      <c r="X346" s="10">
        <v>8.33</v>
      </c>
      <c r="Y346" s="13">
        <v>2.5</v>
      </c>
      <c r="Z346" s="13" t="s">
        <v>246</v>
      </c>
      <c r="AA346" s="13" t="s">
        <v>34</v>
      </c>
      <c r="AB346" s="13" t="s">
        <v>34</v>
      </c>
      <c r="AC346" s="10" t="s">
        <v>247</v>
      </c>
      <c r="AD346" s="32" t="s">
        <v>32</v>
      </c>
      <c r="AE346" s="10">
        <v>0.98680000000000001</v>
      </c>
      <c r="AF346" s="13" t="s">
        <v>250</v>
      </c>
      <c r="AG346" s="13">
        <v>2014</v>
      </c>
      <c r="AH346" s="13" t="s">
        <v>249</v>
      </c>
      <c r="AI346" s="10">
        <v>50</v>
      </c>
      <c r="AJ346" s="10">
        <v>2</v>
      </c>
      <c r="AK346" s="10">
        <v>1</v>
      </c>
    </row>
    <row r="347" spans="1:37" x14ac:dyDescent="0.3">
      <c r="A347" s="11">
        <v>3.44</v>
      </c>
      <c r="B347" s="11">
        <v>129</v>
      </c>
      <c r="C347" s="13" t="s">
        <v>33</v>
      </c>
      <c r="D347" s="13" t="s">
        <v>245</v>
      </c>
      <c r="E347" s="13" t="s">
        <v>170</v>
      </c>
      <c r="F347" s="13">
        <v>0.15</v>
      </c>
      <c r="G347" s="13">
        <v>0.18</v>
      </c>
      <c r="H347" s="12">
        <v>0.16900000000000001</v>
      </c>
      <c r="I347" s="12">
        <v>0.1905</v>
      </c>
      <c r="J347" s="13">
        <v>1.27</v>
      </c>
      <c r="K347" s="13">
        <v>1.01</v>
      </c>
      <c r="L347" s="13">
        <v>0</v>
      </c>
      <c r="M347" s="13" t="s">
        <v>34</v>
      </c>
      <c r="N347" s="10">
        <v>1490</v>
      </c>
      <c r="O347" s="13">
        <v>1.171</v>
      </c>
      <c r="P347" s="13">
        <v>0.83899999999999997</v>
      </c>
      <c r="Q347" s="10">
        <v>0.27</v>
      </c>
      <c r="R347" s="13">
        <v>2.637</v>
      </c>
      <c r="S347" s="13" t="s">
        <v>34</v>
      </c>
      <c r="T347" s="13" t="s">
        <v>49</v>
      </c>
      <c r="U347" s="13" t="s">
        <v>246</v>
      </c>
      <c r="V347" s="32" t="s">
        <v>207</v>
      </c>
      <c r="W347" s="13" t="s">
        <v>34</v>
      </c>
      <c r="X347" s="10">
        <v>1.66</v>
      </c>
      <c r="Y347" s="10">
        <v>0.5</v>
      </c>
      <c r="Z347" s="13" t="s">
        <v>246</v>
      </c>
      <c r="AA347" s="13" t="s">
        <v>34</v>
      </c>
      <c r="AB347" s="13" t="s">
        <v>34</v>
      </c>
      <c r="AC347" s="10" t="s">
        <v>247</v>
      </c>
      <c r="AD347" s="32" t="s">
        <v>32</v>
      </c>
      <c r="AE347" s="10">
        <v>0.98680000000000001</v>
      </c>
      <c r="AF347" s="13" t="s">
        <v>250</v>
      </c>
      <c r="AG347" s="13">
        <v>2014</v>
      </c>
      <c r="AH347" s="13" t="s">
        <v>249</v>
      </c>
      <c r="AI347" s="10">
        <v>50</v>
      </c>
      <c r="AJ347" s="10">
        <v>2</v>
      </c>
      <c r="AK347" s="10">
        <v>1</v>
      </c>
    </row>
    <row r="348" spans="1:37" x14ac:dyDescent="0.3">
      <c r="A348" s="11">
        <v>4.0199999999999996</v>
      </c>
      <c r="B348" s="11">
        <v>197</v>
      </c>
      <c r="C348" s="13" t="s">
        <v>33</v>
      </c>
      <c r="D348" s="13" t="s">
        <v>245</v>
      </c>
      <c r="E348" s="13" t="s">
        <v>170</v>
      </c>
      <c r="F348" s="13">
        <v>0.15</v>
      </c>
      <c r="G348" s="13">
        <v>0.18</v>
      </c>
      <c r="H348" s="12">
        <v>0.16900000000000001</v>
      </c>
      <c r="I348" s="12">
        <v>0.1905</v>
      </c>
      <c r="J348" s="13">
        <v>1.27</v>
      </c>
      <c r="K348" s="13">
        <v>1.01</v>
      </c>
      <c r="L348" s="13">
        <v>0</v>
      </c>
      <c r="M348" s="13" t="s">
        <v>34</v>
      </c>
      <c r="N348" s="10">
        <v>1480</v>
      </c>
      <c r="O348" s="13">
        <v>1.171</v>
      </c>
      <c r="P348" s="13">
        <v>0.83899999999999997</v>
      </c>
      <c r="Q348" s="10">
        <v>0.28999999999999998</v>
      </c>
      <c r="R348" s="13">
        <v>2.637</v>
      </c>
      <c r="S348" s="13" t="s">
        <v>34</v>
      </c>
      <c r="T348" s="13" t="s">
        <v>49</v>
      </c>
      <c r="U348" s="13" t="s">
        <v>246</v>
      </c>
      <c r="V348" s="32" t="s">
        <v>207</v>
      </c>
      <c r="W348" s="13" t="s">
        <v>34</v>
      </c>
      <c r="X348" s="10">
        <v>3.33</v>
      </c>
      <c r="Y348" s="10">
        <v>1</v>
      </c>
      <c r="Z348" s="13" t="s">
        <v>246</v>
      </c>
      <c r="AA348" s="13" t="s">
        <v>34</v>
      </c>
      <c r="AB348" s="13" t="s">
        <v>34</v>
      </c>
      <c r="AC348" s="10" t="s">
        <v>247</v>
      </c>
      <c r="AD348" s="32" t="s">
        <v>32</v>
      </c>
      <c r="AE348" s="10">
        <v>0.98680000000000001</v>
      </c>
      <c r="AF348" s="13" t="s">
        <v>250</v>
      </c>
      <c r="AG348" s="13">
        <v>2014</v>
      </c>
      <c r="AH348" s="13" t="s">
        <v>249</v>
      </c>
      <c r="AI348" s="10">
        <v>50</v>
      </c>
      <c r="AJ348" s="10">
        <v>2</v>
      </c>
      <c r="AK348" s="10">
        <v>1</v>
      </c>
    </row>
    <row r="349" spans="1:37" x14ac:dyDescent="0.3">
      <c r="A349" s="11">
        <v>4.5199999999999996</v>
      </c>
      <c r="B349" s="11">
        <v>244</v>
      </c>
      <c r="C349" s="13" t="s">
        <v>33</v>
      </c>
      <c r="D349" s="13" t="s">
        <v>245</v>
      </c>
      <c r="E349" s="13" t="s">
        <v>170</v>
      </c>
      <c r="F349" s="13">
        <v>0.15</v>
      </c>
      <c r="G349" s="13">
        <v>0.18</v>
      </c>
      <c r="H349" s="12">
        <v>0.16900000000000001</v>
      </c>
      <c r="I349" s="12">
        <v>0.1905</v>
      </c>
      <c r="J349" s="13">
        <v>1.27</v>
      </c>
      <c r="K349" s="13">
        <v>1.01</v>
      </c>
      <c r="L349" s="13">
        <v>0</v>
      </c>
      <c r="M349" s="13" t="s">
        <v>34</v>
      </c>
      <c r="N349" s="10">
        <v>1470</v>
      </c>
      <c r="O349" s="13">
        <v>1.171</v>
      </c>
      <c r="P349" s="13">
        <v>0.83899999999999997</v>
      </c>
      <c r="Q349" s="10">
        <v>0.37</v>
      </c>
      <c r="R349" s="13">
        <v>2.637</v>
      </c>
      <c r="S349" s="13" t="s">
        <v>34</v>
      </c>
      <c r="T349" s="13" t="s">
        <v>49</v>
      </c>
      <c r="U349" s="13" t="s">
        <v>246</v>
      </c>
      <c r="V349" s="32" t="s">
        <v>207</v>
      </c>
      <c r="W349" s="13" t="s">
        <v>34</v>
      </c>
      <c r="X349" s="10">
        <v>8.33</v>
      </c>
      <c r="Y349" s="10">
        <v>2.5</v>
      </c>
      <c r="Z349" s="13" t="s">
        <v>246</v>
      </c>
      <c r="AA349" s="13" t="s">
        <v>34</v>
      </c>
      <c r="AB349" s="13" t="s">
        <v>34</v>
      </c>
      <c r="AC349" s="10" t="s">
        <v>247</v>
      </c>
      <c r="AD349" s="32" t="s">
        <v>32</v>
      </c>
      <c r="AE349" s="10">
        <v>0.98680000000000001</v>
      </c>
      <c r="AF349" s="13" t="s">
        <v>250</v>
      </c>
      <c r="AG349" s="13">
        <v>2014</v>
      </c>
      <c r="AH349" s="13" t="s">
        <v>249</v>
      </c>
      <c r="AI349" s="10">
        <v>50</v>
      </c>
      <c r="AJ349" s="10">
        <v>2</v>
      </c>
      <c r="AK349" s="10">
        <v>1</v>
      </c>
    </row>
    <row r="350" spans="1:37" x14ac:dyDescent="0.3">
      <c r="A350" s="11">
        <v>0</v>
      </c>
      <c r="B350" s="11">
        <v>68</v>
      </c>
      <c r="C350" s="13" t="s">
        <v>33</v>
      </c>
      <c r="D350" s="13" t="s">
        <v>245</v>
      </c>
      <c r="E350" s="13" t="s">
        <v>170</v>
      </c>
      <c r="F350" s="13">
        <v>0.15</v>
      </c>
      <c r="G350" s="13">
        <v>0.18</v>
      </c>
      <c r="H350" s="12">
        <v>0.16900000000000001</v>
      </c>
      <c r="I350" s="12">
        <v>0.1905</v>
      </c>
      <c r="J350" s="13">
        <v>1.27</v>
      </c>
      <c r="K350" s="13">
        <v>1.01</v>
      </c>
      <c r="L350" s="13">
        <v>0</v>
      </c>
      <c r="M350" s="13" t="s">
        <v>34</v>
      </c>
      <c r="N350" s="10">
        <v>1510</v>
      </c>
      <c r="O350" s="13">
        <v>1.171</v>
      </c>
      <c r="P350" s="13">
        <v>0.83899999999999997</v>
      </c>
      <c r="Q350" s="10">
        <v>1.86</v>
      </c>
      <c r="R350" s="13">
        <v>2.637</v>
      </c>
      <c r="S350" s="13" t="s">
        <v>34</v>
      </c>
      <c r="T350" s="13" t="s">
        <v>49</v>
      </c>
      <c r="U350" s="13" t="s">
        <v>246</v>
      </c>
      <c r="V350" s="32" t="s">
        <v>207</v>
      </c>
      <c r="W350" s="13" t="s">
        <v>34</v>
      </c>
      <c r="X350" s="10">
        <v>8.33</v>
      </c>
      <c r="Y350" s="13">
        <v>2.5</v>
      </c>
      <c r="Z350" s="13" t="s">
        <v>246</v>
      </c>
      <c r="AA350" s="13" t="s">
        <v>34</v>
      </c>
      <c r="AB350" s="13" t="s">
        <v>34</v>
      </c>
      <c r="AC350" s="10" t="s">
        <v>248</v>
      </c>
      <c r="AD350" s="32" t="s">
        <v>32</v>
      </c>
      <c r="AE350" s="10">
        <v>0.79300000000000004</v>
      </c>
      <c r="AF350" s="13" t="s">
        <v>250</v>
      </c>
      <c r="AG350" s="13">
        <v>2014</v>
      </c>
      <c r="AH350" s="13" t="s">
        <v>249</v>
      </c>
      <c r="AI350" s="10">
        <v>50</v>
      </c>
      <c r="AJ350" s="10">
        <v>2</v>
      </c>
      <c r="AK350" s="10">
        <v>1</v>
      </c>
    </row>
    <row r="351" spans="1:37" x14ac:dyDescent="0.3">
      <c r="A351" s="11">
        <v>2.91</v>
      </c>
      <c r="B351" s="11">
        <v>104</v>
      </c>
      <c r="C351" s="13" t="s">
        <v>33</v>
      </c>
      <c r="D351" s="13" t="s">
        <v>245</v>
      </c>
      <c r="E351" s="13" t="s">
        <v>170</v>
      </c>
      <c r="F351" s="13">
        <v>0.15</v>
      </c>
      <c r="G351" s="13">
        <v>0.18</v>
      </c>
      <c r="H351" s="12">
        <v>0.16900000000000001</v>
      </c>
      <c r="I351" s="12">
        <v>0.1905</v>
      </c>
      <c r="J351" s="13">
        <v>1.27</v>
      </c>
      <c r="K351" s="13">
        <v>1.01</v>
      </c>
      <c r="L351" s="13">
        <v>0</v>
      </c>
      <c r="M351" s="13" t="s">
        <v>34</v>
      </c>
      <c r="N351" s="10">
        <v>1400</v>
      </c>
      <c r="O351" s="13">
        <v>1.171</v>
      </c>
      <c r="P351" s="13">
        <v>0.83899999999999997</v>
      </c>
      <c r="Q351" s="10">
        <v>0.56999999999999995</v>
      </c>
      <c r="R351" s="13">
        <v>2.637</v>
      </c>
      <c r="S351" s="13" t="s">
        <v>34</v>
      </c>
      <c r="T351" s="13" t="s">
        <v>49</v>
      </c>
      <c r="U351" s="13" t="s">
        <v>246</v>
      </c>
      <c r="V351" s="32" t="s">
        <v>207</v>
      </c>
      <c r="W351" s="13" t="s">
        <v>34</v>
      </c>
      <c r="X351" s="10">
        <v>1.66</v>
      </c>
      <c r="Y351" s="10">
        <v>0.5</v>
      </c>
      <c r="Z351" s="13" t="s">
        <v>246</v>
      </c>
      <c r="AA351" s="13" t="s">
        <v>34</v>
      </c>
      <c r="AB351" s="13" t="s">
        <v>34</v>
      </c>
      <c r="AC351" s="10" t="s">
        <v>248</v>
      </c>
      <c r="AD351" s="32" t="s">
        <v>32</v>
      </c>
      <c r="AE351" s="10">
        <v>0.79300000000000004</v>
      </c>
      <c r="AF351" s="13" t="s">
        <v>250</v>
      </c>
      <c r="AG351" s="13">
        <v>2014</v>
      </c>
      <c r="AH351" s="13" t="s">
        <v>249</v>
      </c>
      <c r="AI351" s="10">
        <v>50</v>
      </c>
      <c r="AJ351" s="10">
        <v>2</v>
      </c>
      <c r="AK351" s="10">
        <v>1</v>
      </c>
    </row>
    <row r="352" spans="1:37" x14ac:dyDescent="0.3">
      <c r="A352" s="31">
        <v>3.5</v>
      </c>
      <c r="B352" s="31">
        <v>209</v>
      </c>
      <c r="C352" s="32" t="s">
        <v>33</v>
      </c>
      <c r="D352" s="32" t="s">
        <v>245</v>
      </c>
      <c r="E352" s="32" t="s">
        <v>170</v>
      </c>
      <c r="F352" s="32">
        <v>0.15</v>
      </c>
      <c r="G352" s="32">
        <v>0.18</v>
      </c>
      <c r="H352" s="35">
        <v>0.16900000000000001</v>
      </c>
      <c r="I352" s="35">
        <v>0.1905</v>
      </c>
      <c r="J352" s="32">
        <v>1.27</v>
      </c>
      <c r="K352" s="32">
        <v>1.01</v>
      </c>
      <c r="L352" s="32">
        <v>0</v>
      </c>
      <c r="M352" s="32" t="s">
        <v>34</v>
      </c>
      <c r="N352" s="33">
        <v>1440</v>
      </c>
      <c r="O352" s="32">
        <v>1.171</v>
      </c>
      <c r="P352" s="32">
        <v>0.83899999999999997</v>
      </c>
      <c r="Q352" s="33">
        <v>0.32</v>
      </c>
      <c r="R352" s="32">
        <v>2.637</v>
      </c>
      <c r="S352" s="32" t="s">
        <v>34</v>
      </c>
      <c r="T352" s="32" t="s">
        <v>49</v>
      </c>
      <c r="U352" s="32" t="s">
        <v>246</v>
      </c>
      <c r="V352" s="32" t="s">
        <v>207</v>
      </c>
      <c r="W352" s="32" t="s">
        <v>34</v>
      </c>
      <c r="X352" s="33">
        <v>3.33</v>
      </c>
      <c r="Y352" s="33">
        <v>1</v>
      </c>
      <c r="Z352" s="32" t="s">
        <v>246</v>
      </c>
      <c r="AA352" s="32" t="s">
        <v>34</v>
      </c>
      <c r="AB352" s="32" t="s">
        <v>34</v>
      </c>
      <c r="AC352" s="33" t="s">
        <v>248</v>
      </c>
      <c r="AD352" s="32" t="s">
        <v>32</v>
      </c>
      <c r="AE352" s="33">
        <v>0.79300000000000004</v>
      </c>
      <c r="AF352" s="32" t="s">
        <v>250</v>
      </c>
      <c r="AG352" s="32">
        <v>2014</v>
      </c>
      <c r="AH352" s="32" t="s">
        <v>249</v>
      </c>
      <c r="AI352" s="10">
        <v>50</v>
      </c>
      <c r="AJ352" s="10">
        <v>2</v>
      </c>
      <c r="AK352" s="10">
        <v>1</v>
      </c>
    </row>
    <row r="353" spans="1:37" s="34" customFormat="1" ht="16.2" thickBot="1" x14ac:dyDescent="0.35">
      <c r="A353" s="17">
        <v>4.72</v>
      </c>
      <c r="B353" s="17">
        <v>253</v>
      </c>
      <c r="C353" s="14" t="s">
        <v>33</v>
      </c>
      <c r="D353" s="14" t="s">
        <v>245</v>
      </c>
      <c r="E353" s="14" t="s">
        <v>170</v>
      </c>
      <c r="F353" s="14">
        <v>0.15</v>
      </c>
      <c r="G353" s="14">
        <v>0.18</v>
      </c>
      <c r="H353" s="17">
        <v>0.16900000000000001</v>
      </c>
      <c r="I353" s="17">
        <v>0.1905</v>
      </c>
      <c r="J353" s="14">
        <v>1.27</v>
      </c>
      <c r="K353" s="14">
        <v>1.01</v>
      </c>
      <c r="L353" s="14">
        <v>0</v>
      </c>
      <c r="M353" s="14" t="s">
        <v>34</v>
      </c>
      <c r="N353" s="14">
        <v>1480</v>
      </c>
      <c r="O353" s="14">
        <v>1.171</v>
      </c>
      <c r="P353" s="14">
        <v>0.83899999999999997</v>
      </c>
      <c r="Q353" s="14">
        <v>0.57999999999999996</v>
      </c>
      <c r="R353" s="14">
        <v>2.637</v>
      </c>
      <c r="S353" s="14" t="s">
        <v>34</v>
      </c>
      <c r="T353" s="14" t="s">
        <v>49</v>
      </c>
      <c r="U353" s="14" t="s">
        <v>246</v>
      </c>
      <c r="V353" s="14" t="s">
        <v>207</v>
      </c>
      <c r="W353" s="14" t="s">
        <v>34</v>
      </c>
      <c r="X353" s="14">
        <v>8.33</v>
      </c>
      <c r="Y353" s="14">
        <v>2.5</v>
      </c>
      <c r="Z353" s="14" t="s">
        <v>246</v>
      </c>
      <c r="AA353" s="14" t="s">
        <v>34</v>
      </c>
      <c r="AB353" s="14" t="s">
        <v>34</v>
      </c>
      <c r="AC353" s="14" t="s">
        <v>248</v>
      </c>
      <c r="AD353" s="14" t="s">
        <v>32</v>
      </c>
      <c r="AE353" s="14">
        <v>0.79300000000000004</v>
      </c>
      <c r="AF353" s="14" t="s">
        <v>250</v>
      </c>
      <c r="AG353" s="14">
        <v>2014</v>
      </c>
      <c r="AH353" s="14" t="s">
        <v>249</v>
      </c>
      <c r="AI353" s="14">
        <v>50</v>
      </c>
      <c r="AJ353" s="14">
        <v>2</v>
      </c>
      <c r="AK353" s="14">
        <v>1</v>
      </c>
    </row>
    <row r="354" spans="1:37" x14ac:dyDescent="0.3">
      <c r="A354" s="12">
        <v>1.1002570694087399</v>
      </c>
      <c r="B354" s="12">
        <v>28.972095889031301</v>
      </c>
      <c r="C354" s="13" t="s">
        <v>33</v>
      </c>
      <c r="D354" s="13" t="s">
        <v>35</v>
      </c>
      <c r="E354" s="32" t="s">
        <v>170</v>
      </c>
      <c r="F354" s="13">
        <v>0.154</v>
      </c>
      <c r="G354" s="13">
        <v>0.28799999999999998</v>
      </c>
      <c r="H354" s="13">
        <v>0.22800000000000001</v>
      </c>
      <c r="I354" s="13">
        <v>0.316</v>
      </c>
      <c r="J354" s="13">
        <v>1.55</v>
      </c>
      <c r="K354" s="13">
        <v>1.7</v>
      </c>
      <c r="L354" s="13">
        <v>0</v>
      </c>
      <c r="M354" s="13">
        <v>50</v>
      </c>
      <c r="N354" s="13">
        <v>1399.64</v>
      </c>
      <c r="O354" s="13">
        <v>0.89900000000000002</v>
      </c>
      <c r="P354" s="13">
        <v>0.54900000000000004</v>
      </c>
      <c r="Q354" s="13" t="s">
        <v>34</v>
      </c>
      <c r="R354" s="13">
        <v>2.653</v>
      </c>
      <c r="S354" s="13" t="s">
        <v>34</v>
      </c>
      <c r="T354" s="13" t="s">
        <v>49</v>
      </c>
      <c r="U354" s="13" t="s">
        <v>50</v>
      </c>
      <c r="V354" s="13" t="s">
        <v>162</v>
      </c>
      <c r="W354" s="13" t="s">
        <v>34</v>
      </c>
      <c r="X354" s="13">
        <v>0.5</v>
      </c>
      <c r="Y354" s="13">
        <v>1</v>
      </c>
      <c r="Z354" s="13" t="s">
        <v>204</v>
      </c>
      <c r="AA354" s="12">
        <v>0.94569999999999999</v>
      </c>
      <c r="AB354" s="13" t="s">
        <v>34</v>
      </c>
      <c r="AC354" s="13" t="s">
        <v>40</v>
      </c>
      <c r="AD354" s="32" t="s">
        <v>32</v>
      </c>
      <c r="AE354" s="13">
        <v>0.98050000000000004</v>
      </c>
      <c r="AF354" s="13" t="s">
        <v>251</v>
      </c>
      <c r="AG354" s="13">
        <v>2017</v>
      </c>
      <c r="AH354" s="13" t="s">
        <v>252</v>
      </c>
      <c r="AI354" s="2">
        <v>50</v>
      </c>
      <c r="AJ354" s="2">
        <v>100</v>
      </c>
      <c r="AK354" s="2" t="s">
        <v>34</v>
      </c>
    </row>
    <row r="355" spans="1:37" x14ac:dyDescent="0.3">
      <c r="A355" s="11">
        <v>2.1388174807197902</v>
      </c>
      <c r="B355" s="11">
        <v>45.705799019786298</v>
      </c>
      <c r="C355" s="13" t="s">
        <v>33</v>
      </c>
      <c r="D355" s="13" t="s">
        <v>35</v>
      </c>
      <c r="E355" s="32" t="s">
        <v>170</v>
      </c>
      <c r="F355" s="13">
        <v>0.154</v>
      </c>
      <c r="G355" s="13">
        <v>0.28799999999999998</v>
      </c>
      <c r="H355" s="13">
        <v>0.22800000000000001</v>
      </c>
      <c r="I355" s="13">
        <v>0.316</v>
      </c>
      <c r="J355" s="13">
        <v>1.55</v>
      </c>
      <c r="K355" s="13">
        <v>1.7</v>
      </c>
      <c r="L355" s="13">
        <v>0</v>
      </c>
      <c r="M355" s="13">
        <v>50</v>
      </c>
      <c r="N355" s="13">
        <v>1399.64</v>
      </c>
      <c r="O355" s="13">
        <v>0.89900000000000002</v>
      </c>
      <c r="P355" s="13">
        <v>0.54900000000000004</v>
      </c>
      <c r="Q355" s="13" t="s">
        <v>34</v>
      </c>
      <c r="R355" s="13">
        <v>2.653</v>
      </c>
      <c r="S355" s="13" t="s">
        <v>34</v>
      </c>
      <c r="T355" s="13" t="s">
        <v>49</v>
      </c>
      <c r="U355" s="13" t="s">
        <v>50</v>
      </c>
      <c r="V355" s="13" t="s">
        <v>162</v>
      </c>
      <c r="W355" s="13" t="s">
        <v>34</v>
      </c>
      <c r="X355" s="10">
        <v>0.5</v>
      </c>
      <c r="Y355" s="13">
        <v>1</v>
      </c>
      <c r="Z355" s="13" t="s">
        <v>204</v>
      </c>
      <c r="AA355" s="11">
        <v>0.94569999999999999</v>
      </c>
      <c r="AB355" s="13" t="s">
        <v>34</v>
      </c>
      <c r="AC355" s="13" t="s">
        <v>40</v>
      </c>
      <c r="AD355" s="32" t="s">
        <v>32</v>
      </c>
      <c r="AE355" s="13">
        <v>0.98050000000000004</v>
      </c>
      <c r="AF355" s="13" t="s">
        <v>251</v>
      </c>
      <c r="AG355" s="13">
        <v>2017</v>
      </c>
      <c r="AH355" s="13" t="s">
        <v>252</v>
      </c>
      <c r="AI355" s="57">
        <v>50</v>
      </c>
      <c r="AJ355" s="2">
        <v>100</v>
      </c>
      <c r="AK355" s="2" t="s">
        <v>34</v>
      </c>
    </row>
    <row r="356" spans="1:37" x14ac:dyDescent="0.3">
      <c r="A356" s="11">
        <v>3.0848329048843102</v>
      </c>
      <c r="B356" s="11">
        <v>68.392294410904597</v>
      </c>
      <c r="C356" s="13" t="s">
        <v>33</v>
      </c>
      <c r="D356" s="13" t="s">
        <v>35</v>
      </c>
      <c r="E356" s="32" t="s">
        <v>170</v>
      </c>
      <c r="F356" s="13">
        <v>0.154</v>
      </c>
      <c r="G356" s="13">
        <v>0.28799999999999998</v>
      </c>
      <c r="H356" s="13">
        <v>0.22800000000000001</v>
      </c>
      <c r="I356" s="13">
        <v>0.316</v>
      </c>
      <c r="J356" s="13">
        <v>1.55</v>
      </c>
      <c r="K356" s="13">
        <v>1.7</v>
      </c>
      <c r="L356" s="13">
        <v>0</v>
      </c>
      <c r="M356" s="13">
        <v>50</v>
      </c>
      <c r="N356" s="13">
        <v>1399.64</v>
      </c>
      <c r="O356" s="13">
        <v>0.89900000000000002</v>
      </c>
      <c r="P356" s="13">
        <v>0.54900000000000004</v>
      </c>
      <c r="Q356" s="13" t="s">
        <v>34</v>
      </c>
      <c r="R356" s="13">
        <v>2.653</v>
      </c>
      <c r="S356" s="13" t="s">
        <v>34</v>
      </c>
      <c r="T356" s="13" t="s">
        <v>49</v>
      </c>
      <c r="U356" s="13" t="s">
        <v>50</v>
      </c>
      <c r="V356" s="13" t="s">
        <v>162</v>
      </c>
      <c r="W356" s="13" t="s">
        <v>34</v>
      </c>
      <c r="X356" s="10">
        <v>0.5</v>
      </c>
      <c r="Y356" s="13">
        <v>1</v>
      </c>
      <c r="Z356" s="13" t="s">
        <v>204</v>
      </c>
      <c r="AA356" s="11">
        <v>0.94569999999999999</v>
      </c>
      <c r="AB356" s="13" t="s">
        <v>34</v>
      </c>
      <c r="AC356" s="13" t="s">
        <v>40</v>
      </c>
      <c r="AD356" s="32" t="s">
        <v>32</v>
      </c>
      <c r="AE356" s="13">
        <v>0.98050000000000004</v>
      </c>
      <c r="AF356" s="13" t="s">
        <v>251</v>
      </c>
      <c r="AG356" s="13">
        <v>2017</v>
      </c>
      <c r="AH356" s="13" t="s">
        <v>252</v>
      </c>
      <c r="AI356" s="57">
        <v>50</v>
      </c>
      <c r="AJ356" s="2">
        <v>100</v>
      </c>
      <c r="AK356" s="2" t="s">
        <v>34</v>
      </c>
    </row>
    <row r="357" spans="1:37" x14ac:dyDescent="0.3">
      <c r="A357" s="11">
        <v>4.6889460154241602</v>
      </c>
      <c r="B357" s="11">
        <v>24.723693038891</v>
      </c>
      <c r="C357" s="13" t="s">
        <v>33</v>
      </c>
      <c r="D357" s="13" t="s">
        <v>35</v>
      </c>
      <c r="E357" s="32" t="s">
        <v>170</v>
      </c>
      <c r="F357" s="13">
        <v>0.154</v>
      </c>
      <c r="G357" s="13">
        <v>0.28799999999999998</v>
      </c>
      <c r="H357" s="13">
        <v>0.22800000000000001</v>
      </c>
      <c r="I357" s="13">
        <v>0.316</v>
      </c>
      <c r="J357" s="13">
        <v>1.55</v>
      </c>
      <c r="K357" s="13">
        <v>1.7</v>
      </c>
      <c r="L357" s="13">
        <v>0</v>
      </c>
      <c r="M357" s="13">
        <v>50</v>
      </c>
      <c r="N357" s="13">
        <v>1399.64</v>
      </c>
      <c r="O357" s="13">
        <v>0.89900000000000002</v>
      </c>
      <c r="P357" s="13">
        <v>0.54900000000000004</v>
      </c>
      <c r="Q357" s="13" t="s">
        <v>34</v>
      </c>
      <c r="R357" s="13">
        <v>2.653</v>
      </c>
      <c r="S357" s="13" t="s">
        <v>34</v>
      </c>
      <c r="T357" s="13" t="s">
        <v>49</v>
      </c>
      <c r="U357" s="13" t="s">
        <v>50</v>
      </c>
      <c r="V357" s="13" t="s">
        <v>162</v>
      </c>
      <c r="W357" s="13" t="s">
        <v>34</v>
      </c>
      <c r="X357" s="10">
        <v>1</v>
      </c>
      <c r="Y357" s="13">
        <v>1</v>
      </c>
      <c r="Z357" s="13" t="s">
        <v>204</v>
      </c>
      <c r="AA357" s="11">
        <v>1.4484374999999998</v>
      </c>
      <c r="AB357" s="13" t="s">
        <v>34</v>
      </c>
      <c r="AC357" s="13" t="s">
        <v>40</v>
      </c>
      <c r="AD357" s="32" t="s">
        <v>32</v>
      </c>
      <c r="AE357" s="10">
        <v>0.99060000000000004</v>
      </c>
      <c r="AF357" s="13" t="s">
        <v>251</v>
      </c>
      <c r="AG357" s="13">
        <v>2017</v>
      </c>
      <c r="AH357" s="13" t="s">
        <v>252</v>
      </c>
      <c r="AI357" s="57">
        <v>50</v>
      </c>
      <c r="AJ357" s="2">
        <v>100</v>
      </c>
      <c r="AK357" s="2" t="s">
        <v>34</v>
      </c>
    </row>
    <row r="358" spans="1:37" x14ac:dyDescent="0.3">
      <c r="A358" s="31">
        <v>7.3007712082262204</v>
      </c>
      <c r="B358" s="31">
        <v>115.263809722554</v>
      </c>
      <c r="C358" s="32" t="s">
        <v>33</v>
      </c>
      <c r="D358" s="32" t="s">
        <v>35</v>
      </c>
      <c r="E358" s="32" t="s">
        <v>170</v>
      </c>
      <c r="F358" s="32">
        <v>0.154</v>
      </c>
      <c r="G358" s="32">
        <v>0.28799999999999998</v>
      </c>
      <c r="H358" s="32">
        <v>0.22800000000000001</v>
      </c>
      <c r="I358" s="32">
        <v>0.316</v>
      </c>
      <c r="J358" s="32">
        <v>1.55</v>
      </c>
      <c r="K358" s="32">
        <v>1.7</v>
      </c>
      <c r="L358" s="32">
        <v>0</v>
      </c>
      <c r="M358" s="32">
        <v>50</v>
      </c>
      <c r="N358" s="32">
        <v>1399.64</v>
      </c>
      <c r="O358" s="32">
        <v>0.89900000000000002</v>
      </c>
      <c r="P358" s="32">
        <v>0.54900000000000004</v>
      </c>
      <c r="Q358" s="32" t="s">
        <v>34</v>
      </c>
      <c r="R358" s="32">
        <v>2.653</v>
      </c>
      <c r="S358" s="32" t="s">
        <v>34</v>
      </c>
      <c r="T358" s="32" t="s">
        <v>49</v>
      </c>
      <c r="U358" s="32" t="s">
        <v>50</v>
      </c>
      <c r="V358" s="32" t="s">
        <v>162</v>
      </c>
      <c r="W358" s="32" t="s">
        <v>34</v>
      </c>
      <c r="X358" s="33">
        <v>1</v>
      </c>
      <c r="Y358" s="32">
        <v>1</v>
      </c>
      <c r="Z358" s="32" t="s">
        <v>204</v>
      </c>
      <c r="AA358" s="31">
        <v>1.4484374999999998</v>
      </c>
      <c r="AB358" s="32" t="s">
        <v>34</v>
      </c>
      <c r="AC358" s="32" t="s">
        <v>40</v>
      </c>
      <c r="AD358" s="32" t="s">
        <v>32</v>
      </c>
      <c r="AE358" s="33">
        <v>0.99060000000000004</v>
      </c>
      <c r="AF358" s="32" t="s">
        <v>251</v>
      </c>
      <c r="AG358" s="32">
        <v>2017</v>
      </c>
      <c r="AH358" s="32" t="s">
        <v>252</v>
      </c>
      <c r="AI358" s="57">
        <v>50</v>
      </c>
      <c r="AJ358" s="2">
        <v>100</v>
      </c>
      <c r="AK358" s="2" t="s">
        <v>34</v>
      </c>
    </row>
    <row r="359" spans="1:37" s="34" customFormat="1" ht="16.2" thickBot="1" x14ac:dyDescent="0.35">
      <c r="A359" s="17">
        <v>9.5732647814909999</v>
      </c>
      <c r="B359" s="17">
        <v>229.14731752710799</v>
      </c>
      <c r="C359" s="14" t="s">
        <v>33</v>
      </c>
      <c r="D359" s="14" t="s">
        <v>35</v>
      </c>
      <c r="E359" s="14" t="s">
        <v>170</v>
      </c>
      <c r="F359" s="14">
        <v>0.154</v>
      </c>
      <c r="G359" s="14">
        <v>0.28799999999999998</v>
      </c>
      <c r="H359" s="14">
        <v>0.22800000000000001</v>
      </c>
      <c r="I359" s="14">
        <v>0.316</v>
      </c>
      <c r="J359" s="14">
        <v>1.55</v>
      </c>
      <c r="K359" s="14">
        <v>1.7</v>
      </c>
      <c r="L359" s="14">
        <v>0</v>
      </c>
      <c r="M359" s="14">
        <v>50</v>
      </c>
      <c r="N359" s="14">
        <v>1399.64</v>
      </c>
      <c r="O359" s="14">
        <v>0.89900000000000002</v>
      </c>
      <c r="P359" s="14">
        <v>0.54900000000000004</v>
      </c>
      <c r="Q359" s="14" t="s">
        <v>34</v>
      </c>
      <c r="R359" s="14">
        <v>2.653</v>
      </c>
      <c r="S359" s="14" t="s">
        <v>34</v>
      </c>
      <c r="T359" s="14" t="s">
        <v>49</v>
      </c>
      <c r="U359" s="14" t="s">
        <v>50</v>
      </c>
      <c r="V359" s="14" t="s">
        <v>162</v>
      </c>
      <c r="W359" s="14" t="s">
        <v>34</v>
      </c>
      <c r="X359" s="14">
        <v>1</v>
      </c>
      <c r="Y359" s="14">
        <v>1</v>
      </c>
      <c r="Z359" s="14" t="s">
        <v>204</v>
      </c>
      <c r="AA359" s="17">
        <v>1.4484374999999998</v>
      </c>
      <c r="AB359" s="14" t="s">
        <v>34</v>
      </c>
      <c r="AC359" s="14" t="s">
        <v>40</v>
      </c>
      <c r="AD359" s="14" t="s">
        <v>32</v>
      </c>
      <c r="AE359" s="14">
        <v>0.99060000000000004</v>
      </c>
      <c r="AF359" s="14" t="s">
        <v>251</v>
      </c>
      <c r="AG359" s="14">
        <v>2017</v>
      </c>
      <c r="AH359" s="14" t="s">
        <v>252</v>
      </c>
      <c r="AI359" s="61">
        <v>50</v>
      </c>
      <c r="AJ359" s="15">
        <v>100</v>
      </c>
      <c r="AK359" s="15" t="s">
        <v>34</v>
      </c>
    </row>
    <row r="360" spans="1:37" x14ac:dyDescent="0.3">
      <c r="A360" s="12">
        <v>1.21</v>
      </c>
      <c r="B360" s="12">
        <v>99</v>
      </c>
      <c r="C360" s="13" t="s">
        <v>33</v>
      </c>
      <c r="D360" s="13" t="s">
        <v>226</v>
      </c>
      <c r="E360" s="13" t="s">
        <v>170</v>
      </c>
      <c r="F360" s="13">
        <v>0.65</v>
      </c>
      <c r="G360" s="13">
        <v>0.72</v>
      </c>
      <c r="H360" s="13" t="s">
        <v>34</v>
      </c>
      <c r="I360" s="13" t="s">
        <v>34</v>
      </c>
      <c r="J360" s="13" t="s">
        <v>34</v>
      </c>
      <c r="K360" s="13" t="s">
        <v>34</v>
      </c>
      <c r="L360" s="13">
        <v>0</v>
      </c>
      <c r="M360" s="13">
        <v>45</v>
      </c>
      <c r="N360" s="13">
        <v>1622</v>
      </c>
      <c r="O360" s="13">
        <v>0.74199999999999999</v>
      </c>
      <c r="P360" s="13">
        <v>0.502</v>
      </c>
      <c r="Q360" s="13">
        <v>0</v>
      </c>
      <c r="R360" s="13">
        <v>2.65</v>
      </c>
      <c r="S360" s="13" t="s">
        <v>34</v>
      </c>
      <c r="T360" s="13" t="s">
        <v>49</v>
      </c>
      <c r="U360" s="13" t="s">
        <v>50</v>
      </c>
      <c r="V360" s="32" t="s">
        <v>162</v>
      </c>
      <c r="W360" s="13">
        <v>4</v>
      </c>
      <c r="X360" s="13">
        <v>1</v>
      </c>
      <c r="Y360" s="13">
        <v>0.67</v>
      </c>
      <c r="Z360" s="13" t="s">
        <v>204</v>
      </c>
      <c r="AA360" s="13">
        <v>0.315</v>
      </c>
      <c r="AB360" s="13" t="s">
        <v>34</v>
      </c>
      <c r="AC360" s="13" t="s">
        <v>40</v>
      </c>
      <c r="AD360" s="32" t="s">
        <v>32</v>
      </c>
      <c r="AE360" s="13">
        <v>0.84509999999999996</v>
      </c>
      <c r="AF360" s="13" t="s">
        <v>238</v>
      </c>
      <c r="AG360" s="13">
        <v>2018</v>
      </c>
      <c r="AH360" s="13" t="s">
        <v>253</v>
      </c>
      <c r="AI360" s="2">
        <v>50</v>
      </c>
      <c r="AJ360" s="2">
        <v>100</v>
      </c>
      <c r="AK360" s="2">
        <v>1.27</v>
      </c>
    </row>
    <row r="361" spans="1:37" x14ac:dyDescent="0.3">
      <c r="A361" s="11">
        <v>2.17</v>
      </c>
      <c r="B361" s="11">
        <v>291</v>
      </c>
      <c r="C361" s="13" t="s">
        <v>33</v>
      </c>
      <c r="D361" s="13" t="s">
        <v>226</v>
      </c>
      <c r="E361" s="13" t="s">
        <v>170</v>
      </c>
      <c r="F361" s="10">
        <v>0.65</v>
      </c>
      <c r="G361" s="10">
        <v>0.72</v>
      </c>
      <c r="H361" s="13" t="s">
        <v>34</v>
      </c>
      <c r="I361" s="13" t="s">
        <v>34</v>
      </c>
      <c r="J361" s="13" t="s">
        <v>34</v>
      </c>
      <c r="K361" s="13" t="s">
        <v>34</v>
      </c>
      <c r="L361" s="13">
        <v>0</v>
      </c>
      <c r="M361" s="10">
        <v>45</v>
      </c>
      <c r="N361" s="13">
        <v>1622</v>
      </c>
      <c r="O361" s="10">
        <v>0.74199999999999999</v>
      </c>
      <c r="P361" s="10">
        <v>0.502</v>
      </c>
      <c r="Q361" s="13">
        <v>0</v>
      </c>
      <c r="R361" s="13">
        <v>2.65</v>
      </c>
      <c r="S361" s="13" t="s">
        <v>34</v>
      </c>
      <c r="T361" s="13" t="s">
        <v>49</v>
      </c>
      <c r="U361" s="13" t="s">
        <v>50</v>
      </c>
      <c r="V361" s="32" t="s">
        <v>162</v>
      </c>
      <c r="W361" s="10">
        <v>4</v>
      </c>
      <c r="X361" s="13">
        <v>1</v>
      </c>
      <c r="Y361" s="13">
        <v>0.67</v>
      </c>
      <c r="Z361" s="13" t="s">
        <v>204</v>
      </c>
      <c r="AA361" s="13">
        <v>0.315</v>
      </c>
      <c r="AB361" s="13" t="s">
        <v>34</v>
      </c>
      <c r="AC361" s="13" t="s">
        <v>40</v>
      </c>
      <c r="AD361" s="32" t="s">
        <v>32</v>
      </c>
      <c r="AE361" s="13">
        <v>0.84509999999999996</v>
      </c>
      <c r="AF361" s="13" t="s">
        <v>238</v>
      </c>
      <c r="AG361" s="13">
        <v>2018</v>
      </c>
      <c r="AH361" s="13" t="s">
        <v>253</v>
      </c>
      <c r="AI361" s="2">
        <v>50</v>
      </c>
      <c r="AJ361" s="2">
        <v>100</v>
      </c>
      <c r="AK361" s="2">
        <v>1.27</v>
      </c>
    </row>
    <row r="362" spans="1:37" x14ac:dyDescent="0.3">
      <c r="A362" s="31">
        <v>3.05</v>
      </c>
      <c r="B362" s="31">
        <v>430</v>
      </c>
      <c r="C362" s="32" t="s">
        <v>33</v>
      </c>
      <c r="D362" s="13" t="s">
        <v>226</v>
      </c>
      <c r="E362" s="32" t="s">
        <v>170</v>
      </c>
      <c r="F362" s="33">
        <v>0.65</v>
      </c>
      <c r="G362" s="33">
        <v>0.72</v>
      </c>
      <c r="H362" s="32" t="s">
        <v>34</v>
      </c>
      <c r="I362" s="32" t="s">
        <v>34</v>
      </c>
      <c r="J362" s="32" t="s">
        <v>34</v>
      </c>
      <c r="K362" s="32" t="s">
        <v>34</v>
      </c>
      <c r="L362" s="32">
        <v>0</v>
      </c>
      <c r="M362" s="33">
        <v>45</v>
      </c>
      <c r="N362" s="32">
        <v>1622</v>
      </c>
      <c r="O362" s="33">
        <v>0.74199999999999999</v>
      </c>
      <c r="P362" s="33">
        <v>0.502</v>
      </c>
      <c r="Q362" s="32">
        <v>0</v>
      </c>
      <c r="R362" s="32">
        <v>2.65</v>
      </c>
      <c r="S362" s="32" t="s">
        <v>34</v>
      </c>
      <c r="T362" s="32" t="s">
        <v>49</v>
      </c>
      <c r="U362" s="32" t="s">
        <v>50</v>
      </c>
      <c r="V362" s="32" t="s">
        <v>162</v>
      </c>
      <c r="W362" s="33">
        <v>4</v>
      </c>
      <c r="X362" s="32">
        <v>1</v>
      </c>
      <c r="Y362" s="32">
        <v>0.67</v>
      </c>
      <c r="Z362" s="32" t="s">
        <v>204</v>
      </c>
      <c r="AA362" s="32">
        <v>0.315</v>
      </c>
      <c r="AB362" s="32" t="s">
        <v>34</v>
      </c>
      <c r="AC362" s="32" t="s">
        <v>40</v>
      </c>
      <c r="AD362" s="32" t="s">
        <v>32</v>
      </c>
      <c r="AE362" s="32">
        <v>0.84509999999999996</v>
      </c>
      <c r="AF362" s="32" t="s">
        <v>238</v>
      </c>
      <c r="AG362" s="32">
        <v>2018</v>
      </c>
      <c r="AH362" s="32" t="s">
        <v>253</v>
      </c>
      <c r="AI362" s="2">
        <v>50</v>
      </c>
      <c r="AJ362" s="2">
        <v>100</v>
      </c>
      <c r="AK362" s="2">
        <v>1.27</v>
      </c>
    </row>
    <row r="363" spans="1:37" s="34" customFormat="1" ht="16.2" thickBot="1" x14ac:dyDescent="0.35">
      <c r="A363" s="17">
        <v>3.64</v>
      </c>
      <c r="B363" s="17">
        <v>1268</v>
      </c>
      <c r="C363" s="14" t="s">
        <v>33</v>
      </c>
      <c r="D363" s="13" t="s">
        <v>226</v>
      </c>
      <c r="E363" s="14" t="s">
        <v>170</v>
      </c>
      <c r="F363" s="14">
        <v>0.65</v>
      </c>
      <c r="G363" s="14">
        <v>0.72</v>
      </c>
      <c r="H363" s="14" t="s">
        <v>34</v>
      </c>
      <c r="I363" s="14" t="s">
        <v>34</v>
      </c>
      <c r="J363" s="14" t="s">
        <v>34</v>
      </c>
      <c r="K363" s="14" t="s">
        <v>34</v>
      </c>
      <c r="L363" s="14">
        <v>0</v>
      </c>
      <c r="M363" s="14">
        <v>45</v>
      </c>
      <c r="N363" s="14">
        <v>1622</v>
      </c>
      <c r="O363" s="14">
        <v>0.74199999999999999</v>
      </c>
      <c r="P363" s="14">
        <v>0.502</v>
      </c>
      <c r="Q363" s="14">
        <v>0</v>
      </c>
      <c r="R363" s="14">
        <v>2.65</v>
      </c>
      <c r="S363" s="14" t="s">
        <v>34</v>
      </c>
      <c r="T363" s="14" t="s">
        <v>49</v>
      </c>
      <c r="U363" s="14" t="s">
        <v>50</v>
      </c>
      <c r="V363" s="14" t="s">
        <v>162</v>
      </c>
      <c r="W363" s="14">
        <v>4</v>
      </c>
      <c r="X363" s="14">
        <v>1</v>
      </c>
      <c r="Y363" s="14">
        <v>0.67</v>
      </c>
      <c r="Z363" s="14" t="s">
        <v>204</v>
      </c>
      <c r="AA363" s="14">
        <v>0.315</v>
      </c>
      <c r="AB363" s="14" t="s">
        <v>34</v>
      </c>
      <c r="AC363" s="14" t="s">
        <v>40</v>
      </c>
      <c r="AD363" s="14" t="s">
        <v>32</v>
      </c>
      <c r="AE363" s="14">
        <v>0.84509999999999996</v>
      </c>
      <c r="AF363" s="14" t="s">
        <v>238</v>
      </c>
      <c r="AG363" s="14">
        <v>2018</v>
      </c>
      <c r="AH363" s="14" t="s">
        <v>253</v>
      </c>
      <c r="AI363" s="61">
        <v>50</v>
      </c>
      <c r="AJ363" s="15">
        <v>100</v>
      </c>
      <c r="AK363" s="15">
        <v>1.27</v>
      </c>
    </row>
    <row r="364" spans="1:37" x14ac:dyDescent="0.3">
      <c r="A364" s="12">
        <v>2.23</v>
      </c>
      <c r="B364" s="12">
        <v>600</v>
      </c>
      <c r="C364" s="13" t="s">
        <v>33</v>
      </c>
      <c r="D364" s="13" t="s">
        <v>35</v>
      </c>
      <c r="E364" s="13" t="s">
        <v>170</v>
      </c>
      <c r="F364" s="13">
        <v>0.57999999999999996</v>
      </c>
      <c r="G364" s="13">
        <v>0.72</v>
      </c>
      <c r="H364" s="13" t="s">
        <v>34</v>
      </c>
      <c r="I364" s="13" t="s">
        <v>34</v>
      </c>
      <c r="J364" s="13" t="s">
        <v>34</v>
      </c>
      <c r="K364" s="13" t="s">
        <v>34</v>
      </c>
      <c r="L364" s="13">
        <v>0</v>
      </c>
      <c r="M364" s="13">
        <f>IF(O364="NA","NA",63.04)</f>
        <v>63.04</v>
      </c>
      <c r="N364" s="13" t="s">
        <v>34</v>
      </c>
      <c r="O364" s="13">
        <f>IF(C364="SP",0.74,"NA")</f>
        <v>0.74</v>
      </c>
      <c r="P364" s="13">
        <f>IF(C364="SP",0.51,"NA")</f>
        <v>0.51</v>
      </c>
      <c r="Q364" s="13">
        <v>0</v>
      </c>
      <c r="R364" s="13">
        <f>IF(C364="SP",2.65, "NA")</f>
        <v>2.65</v>
      </c>
      <c r="S364" s="36">
        <v>1.01E-3</v>
      </c>
      <c r="T364" s="13" t="s">
        <v>49</v>
      </c>
      <c r="U364" s="13" t="s">
        <v>199</v>
      </c>
      <c r="V364" s="13" t="s">
        <v>162</v>
      </c>
      <c r="W364" s="13">
        <v>8</v>
      </c>
      <c r="X364" s="13">
        <v>0.3</v>
      </c>
      <c r="Y364" s="13">
        <v>1</v>
      </c>
      <c r="Z364" s="13" t="s">
        <v>200</v>
      </c>
      <c r="AA364" s="13">
        <v>0.27</v>
      </c>
      <c r="AB364" s="13" t="s">
        <v>34</v>
      </c>
      <c r="AC364" s="13" t="s">
        <v>40</v>
      </c>
      <c r="AD364" s="13" t="s">
        <v>32</v>
      </c>
      <c r="AE364" s="13">
        <f>IF(C364="SP",0.092,IF(C364="SP-SM",0.422,0.71))</f>
        <v>9.1999999999999998E-2</v>
      </c>
      <c r="AF364" s="13" t="s">
        <v>201</v>
      </c>
      <c r="AG364" s="13">
        <v>2019</v>
      </c>
      <c r="AH364" s="13" t="s">
        <v>259</v>
      </c>
      <c r="AI364" s="2">
        <v>50</v>
      </c>
      <c r="AJ364" s="2">
        <v>100</v>
      </c>
      <c r="AK364" s="2">
        <v>2</v>
      </c>
    </row>
    <row r="365" spans="1:37" x14ac:dyDescent="0.3">
      <c r="A365" s="11">
        <v>4.0999999999999996</v>
      </c>
      <c r="B365" s="11">
        <v>394</v>
      </c>
      <c r="C365" s="10" t="s">
        <v>254</v>
      </c>
      <c r="D365" s="10" t="s">
        <v>257</v>
      </c>
      <c r="E365" s="13" t="s">
        <v>170</v>
      </c>
      <c r="F365" s="10">
        <v>0.06</v>
      </c>
      <c r="G365" s="10">
        <v>0.7</v>
      </c>
      <c r="H365" s="13" t="s">
        <v>34</v>
      </c>
      <c r="I365" s="13" t="s">
        <v>34</v>
      </c>
      <c r="J365" s="13" t="s">
        <v>34</v>
      </c>
      <c r="K365" s="13" t="s">
        <v>34</v>
      </c>
      <c r="L365" s="10">
        <v>10</v>
      </c>
      <c r="M365" s="13" t="str">
        <f t="shared" ref="M365:M381" si="5">IF(O365="NA","NA",63.04)</f>
        <v>NA</v>
      </c>
      <c r="N365" s="13" t="s">
        <v>34</v>
      </c>
      <c r="O365" s="13" t="str">
        <f t="shared" ref="O365:O381" si="6">IF(C365="SP",0.74,"NA")</f>
        <v>NA</v>
      </c>
      <c r="P365" s="13" t="str">
        <f t="shared" ref="P365:P381" si="7">IF(C365="SP",0.51,"NA")</f>
        <v>NA</v>
      </c>
      <c r="Q365" s="13">
        <v>0</v>
      </c>
      <c r="R365" s="13" t="str">
        <f t="shared" ref="R365:R375" si="8">IF(C365="SP",2.65, "NA")</f>
        <v>NA</v>
      </c>
      <c r="S365" s="36">
        <v>6.4100000000000008E-4</v>
      </c>
      <c r="T365" s="13" t="s">
        <v>49</v>
      </c>
      <c r="U365" s="13" t="s">
        <v>199</v>
      </c>
      <c r="V365" s="13" t="s">
        <v>162</v>
      </c>
      <c r="W365" s="10">
        <v>8</v>
      </c>
      <c r="X365" s="13">
        <v>0.3</v>
      </c>
      <c r="Y365" s="13">
        <v>1</v>
      </c>
      <c r="Z365" s="13" t="s">
        <v>200</v>
      </c>
      <c r="AA365" s="13">
        <v>0.27</v>
      </c>
      <c r="AB365" s="13" t="s">
        <v>34</v>
      </c>
      <c r="AC365" s="13" t="s">
        <v>40</v>
      </c>
      <c r="AD365" s="13" t="s">
        <v>32</v>
      </c>
      <c r="AE365" s="13">
        <f t="shared" ref="AE365:AE375" si="9">IF(C365="SP",0.092,IF(C365="SP-SM",0.422,0.71))</f>
        <v>0.42199999999999999</v>
      </c>
      <c r="AF365" s="13" t="s">
        <v>201</v>
      </c>
      <c r="AG365" s="13">
        <v>2019</v>
      </c>
      <c r="AH365" s="13" t="s">
        <v>259</v>
      </c>
      <c r="AI365" s="2">
        <v>50</v>
      </c>
      <c r="AJ365" s="2">
        <v>100</v>
      </c>
      <c r="AK365" s="2">
        <v>2</v>
      </c>
    </row>
    <row r="366" spans="1:37" x14ac:dyDescent="0.3">
      <c r="A366" s="11">
        <v>5.47</v>
      </c>
      <c r="B366" s="11">
        <v>231</v>
      </c>
      <c r="C366" s="10" t="s">
        <v>255</v>
      </c>
      <c r="D366" s="10" t="s">
        <v>258</v>
      </c>
      <c r="E366" s="13" t="s">
        <v>170</v>
      </c>
      <c r="F366" s="10">
        <v>2.8000000000000001E-2</v>
      </c>
      <c r="G366" s="10">
        <v>0.67</v>
      </c>
      <c r="H366" s="13" t="s">
        <v>34</v>
      </c>
      <c r="I366" s="13" t="s">
        <v>34</v>
      </c>
      <c r="J366" s="13" t="s">
        <v>34</v>
      </c>
      <c r="K366" s="13" t="s">
        <v>34</v>
      </c>
      <c r="L366" s="10">
        <v>20</v>
      </c>
      <c r="M366" s="13" t="str">
        <f t="shared" si="5"/>
        <v>NA</v>
      </c>
      <c r="N366" s="13" t="s">
        <v>34</v>
      </c>
      <c r="O366" s="13" t="str">
        <f t="shared" si="6"/>
        <v>NA</v>
      </c>
      <c r="P366" s="13" t="str">
        <f t="shared" si="7"/>
        <v>NA</v>
      </c>
      <c r="Q366" s="13">
        <v>0</v>
      </c>
      <c r="R366" s="13" t="str">
        <f t="shared" si="8"/>
        <v>NA</v>
      </c>
      <c r="S366" s="36">
        <v>2.5600000000000004E-4</v>
      </c>
      <c r="T366" s="13" t="s">
        <v>49</v>
      </c>
      <c r="U366" s="13" t="s">
        <v>199</v>
      </c>
      <c r="V366" s="13" t="s">
        <v>162</v>
      </c>
      <c r="W366" s="10">
        <v>8</v>
      </c>
      <c r="X366" s="13">
        <v>0.3</v>
      </c>
      <c r="Y366" s="13">
        <v>1</v>
      </c>
      <c r="Z366" s="13" t="s">
        <v>200</v>
      </c>
      <c r="AA366" s="13">
        <v>0.27</v>
      </c>
      <c r="AB366" s="13" t="s">
        <v>34</v>
      </c>
      <c r="AC366" s="13" t="s">
        <v>40</v>
      </c>
      <c r="AD366" s="13" t="s">
        <v>32</v>
      </c>
      <c r="AE366" s="13">
        <f t="shared" si="9"/>
        <v>0.71</v>
      </c>
      <c r="AF366" s="13" t="s">
        <v>201</v>
      </c>
      <c r="AG366" s="13">
        <v>2019</v>
      </c>
      <c r="AH366" s="13" t="s">
        <v>259</v>
      </c>
      <c r="AI366" s="2">
        <v>50</v>
      </c>
      <c r="AJ366" s="2">
        <v>100</v>
      </c>
      <c r="AK366" s="2">
        <v>2</v>
      </c>
    </row>
    <row r="367" spans="1:37" x14ac:dyDescent="0.3">
      <c r="A367" s="11">
        <v>5.23</v>
      </c>
      <c r="B367" s="11">
        <v>1340</v>
      </c>
      <c r="C367" s="10" t="s">
        <v>33</v>
      </c>
      <c r="D367" s="13" t="s">
        <v>35</v>
      </c>
      <c r="E367" s="13" t="s">
        <v>170</v>
      </c>
      <c r="F367" s="10">
        <v>0.57999999999999996</v>
      </c>
      <c r="G367" s="10">
        <v>0.72</v>
      </c>
      <c r="H367" s="13" t="s">
        <v>34</v>
      </c>
      <c r="I367" s="13" t="s">
        <v>34</v>
      </c>
      <c r="J367" s="13" t="s">
        <v>34</v>
      </c>
      <c r="K367" s="13" t="s">
        <v>34</v>
      </c>
      <c r="L367" s="10">
        <v>0</v>
      </c>
      <c r="M367" s="13">
        <f t="shared" si="5"/>
        <v>63.04</v>
      </c>
      <c r="N367" s="13" t="s">
        <v>34</v>
      </c>
      <c r="O367" s="13">
        <f t="shared" si="6"/>
        <v>0.74</v>
      </c>
      <c r="P367" s="13">
        <f t="shared" si="7"/>
        <v>0.51</v>
      </c>
      <c r="Q367" s="13">
        <v>0</v>
      </c>
      <c r="R367" s="13">
        <f t="shared" si="8"/>
        <v>2.65</v>
      </c>
      <c r="S367" s="36">
        <v>1.01E-3</v>
      </c>
      <c r="T367" s="13" t="s">
        <v>49</v>
      </c>
      <c r="U367" s="13" t="s">
        <v>199</v>
      </c>
      <c r="V367" s="13" t="s">
        <v>162</v>
      </c>
      <c r="W367" s="10">
        <v>12</v>
      </c>
      <c r="X367" s="13">
        <v>0.3</v>
      </c>
      <c r="Y367" s="13">
        <v>1</v>
      </c>
      <c r="Z367" s="13" t="s">
        <v>200</v>
      </c>
      <c r="AA367" s="13">
        <v>0.27</v>
      </c>
      <c r="AB367" s="13" t="s">
        <v>34</v>
      </c>
      <c r="AC367" s="13" t="s">
        <v>40</v>
      </c>
      <c r="AD367" s="13" t="s">
        <v>32</v>
      </c>
      <c r="AE367" s="13">
        <f t="shared" si="9"/>
        <v>9.1999999999999998E-2</v>
      </c>
      <c r="AF367" s="13" t="s">
        <v>201</v>
      </c>
      <c r="AG367" s="13">
        <v>2019</v>
      </c>
      <c r="AH367" s="13" t="s">
        <v>259</v>
      </c>
      <c r="AI367" s="2">
        <v>50</v>
      </c>
      <c r="AJ367" s="2">
        <v>100</v>
      </c>
      <c r="AK367" s="2">
        <v>2</v>
      </c>
    </row>
    <row r="368" spans="1:37" x14ac:dyDescent="0.3">
      <c r="A368" s="11">
        <v>11.74</v>
      </c>
      <c r="B368" s="11">
        <v>972</v>
      </c>
      <c r="C368" s="10" t="s">
        <v>254</v>
      </c>
      <c r="D368" s="10" t="s">
        <v>257</v>
      </c>
      <c r="E368" s="13" t="s">
        <v>170</v>
      </c>
      <c r="F368" s="10">
        <v>0.06</v>
      </c>
      <c r="G368" s="10">
        <v>0.7</v>
      </c>
      <c r="H368" s="13" t="s">
        <v>34</v>
      </c>
      <c r="I368" s="13" t="s">
        <v>34</v>
      </c>
      <c r="J368" s="13" t="s">
        <v>34</v>
      </c>
      <c r="K368" s="13" t="s">
        <v>34</v>
      </c>
      <c r="L368" s="10">
        <v>10</v>
      </c>
      <c r="M368" s="13" t="str">
        <f t="shared" si="5"/>
        <v>NA</v>
      </c>
      <c r="N368" s="13" t="s">
        <v>34</v>
      </c>
      <c r="O368" s="13" t="str">
        <f t="shared" si="6"/>
        <v>NA</v>
      </c>
      <c r="P368" s="13" t="str">
        <f t="shared" si="7"/>
        <v>NA</v>
      </c>
      <c r="Q368" s="13">
        <v>0</v>
      </c>
      <c r="R368" s="13" t="str">
        <f t="shared" si="8"/>
        <v>NA</v>
      </c>
      <c r="S368" s="36">
        <v>6.4100000000000008E-4</v>
      </c>
      <c r="T368" s="13" t="s">
        <v>49</v>
      </c>
      <c r="U368" s="13" t="s">
        <v>199</v>
      </c>
      <c r="V368" s="13" t="s">
        <v>162</v>
      </c>
      <c r="W368" s="10">
        <v>12</v>
      </c>
      <c r="X368" s="13">
        <v>0.3</v>
      </c>
      <c r="Y368" s="13">
        <v>1</v>
      </c>
      <c r="Z368" s="13" t="s">
        <v>200</v>
      </c>
      <c r="AA368" s="13">
        <v>0.27</v>
      </c>
      <c r="AB368" s="13" t="s">
        <v>34</v>
      </c>
      <c r="AC368" s="13" t="s">
        <v>40</v>
      </c>
      <c r="AD368" s="13" t="s">
        <v>32</v>
      </c>
      <c r="AE368" s="13">
        <f t="shared" si="9"/>
        <v>0.42199999999999999</v>
      </c>
      <c r="AF368" s="13" t="s">
        <v>201</v>
      </c>
      <c r="AG368" s="13">
        <v>2019</v>
      </c>
      <c r="AH368" s="13" t="s">
        <v>259</v>
      </c>
      <c r="AI368" s="2">
        <v>50</v>
      </c>
      <c r="AJ368" s="2">
        <v>100</v>
      </c>
      <c r="AK368" s="2">
        <v>2</v>
      </c>
    </row>
    <row r="369" spans="1:37" x14ac:dyDescent="0.3">
      <c r="A369" s="11">
        <v>12.87</v>
      </c>
      <c r="B369" s="11">
        <v>711</v>
      </c>
      <c r="C369" s="10" t="s">
        <v>255</v>
      </c>
      <c r="D369" s="10" t="s">
        <v>258</v>
      </c>
      <c r="E369" s="13" t="s">
        <v>170</v>
      </c>
      <c r="F369" s="10">
        <v>2.8000000000000001E-2</v>
      </c>
      <c r="G369" s="10">
        <v>0.67</v>
      </c>
      <c r="H369" s="13" t="s">
        <v>34</v>
      </c>
      <c r="I369" s="13" t="s">
        <v>34</v>
      </c>
      <c r="J369" s="13" t="s">
        <v>34</v>
      </c>
      <c r="K369" s="13" t="s">
        <v>34</v>
      </c>
      <c r="L369" s="10">
        <v>20</v>
      </c>
      <c r="M369" s="13" t="str">
        <f t="shared" si="5"/>
        <v>NA</v>
      </c>
      <c r="N369" s="13" t="s">
        <v>34</v>
      </c>
      <c r="O369" s="13" t="str">
        <f t="shared" si="6"/>
        <v>NA</v>
      </c>
      <c r="P369" s="13" t="str">
        <f t="shared" si="7"/>
        <v>NA</v>
      </c>
      <c r="Q369" s="13">
        <v>0</v>
      </c>
      <c r="R369" s="13" t="str">
        <f t="shared" si="8"/>
        <v>NA</v>
      </c>
      <c r="S369" s="36">
        <v>2.5600000000000004E-4</v>
      </c>
      <c r="T369" s="13" t="s">
        <v>49</v>
      </c>
      <c r="U369" s="13" t="s">
        <v>199</v>
      </c>
      <c r="V369" s="13" t="s">
        <v>162</v>
      </c>
      <c r="W369" s="10">
        <v>12</v>
      </c>
      <c r="X369" s="13">
        <v>0.3</v>
      </c>
      <c r="Y369" s="13">
        <v>1</v>
      </c>
      <c r="Z369" s="13" t="s">
        <v>200</v>
      </c>
      <c r="AA369" s="13">
        <v>0.27</v>
      </c>
      <c r="AB369" s="13" t="s">
        <v>34</v>
      </c>
      <c r="AC369" s="13" t="s">
        <v>40</v>
      </c>
      <c r="AD369" s="13" t="s">
        <v>32</v>
      </c>
      <c r="AE369" s="13">
        <f t="shared" si="9"/>
        <v>0.71</v>
      </c>
      <c r="AF369" s="13" t="s">
        <v>201</v>
      </c>
      <c r="AG369" s="13">
        <v>2019</v>
      </c>
      <c r="AH369" s="13" t="s">
        <v>259</v>
      </c>
      <c r="AI369" s="2">
        <v>50</v>
      </c>
      <c r="AJ369" s="2">
        <v>100</v>
      </c>
      <c r="AK369" s="2">
        <v>2</v>
      </c>
    </row>
    <row r="370" spans="1:37" x14ac:dyDescent="0.3">
      <c r="A370" s="11">
        <v>7.12</v>
      </c>
      <c r="B370" s="11">
        <v>1691</v>
      </c>
      <c r="C370" s="10" t="s">
        <v>33</v>
      </c>
      <c r="D370" s="10" t="s">
        <v>35</v>
      </c>
      <c r="E370" s="13" t="s">
        <v>170</v>
      </c>
      <c r="F370" s="10">
        <v>0.57999999999999996</v>
      </c>
      <c r="G370" s="10">
        <v>0.72</v>
      </c>
      <c r="H370" s="13" t="s">
        <v>34</v>
      </c>
      <c r="I370" s="13" t="s">
        <v>34</v>
      </c>
      <c r="J370" s="13" t="s">
        <v>34</v>
      </c>
      <c r="K370" s="13" t="s">
        <v>34</v>
      </c>
      <c r="L370" s="10">
        <v>0</v>
      </c>
      <c r="M370" s="13">
        <f t="shared" si="5"/>
        <v>63.04</v>
      </c>
      <c r="N370" s="13" t="s">
        <v>34</v>
      </c>
      <c r="O370" s="13">
        <f t="shared" si="6"/>
        <v>0.74</v>
      </c>
      <c r="P370" s="13">
        <f t="shared" si="7"/>
        <v>0.51</v>
      </c>
      <c r="Q370" s="13">
        <v>0</v>
      </c>
      <c r="R370" s="13">
        <f t="shared" si="8"/>
        <v>2.65</v>
      </c>
      <c r="S370" s="36">
        <v>1.01E-3</v>
      </c>
      <c r="T370" s="13" t="s">
        <v>49</v>
      </c>
      <c r="U370" s="13" t="s">
        <v>199</v>
      </c>
      <c r="V370" s="13" t="s">
        <v>162</v>
      </c>
      <c r="W370" s="10">
        <v>16</v>
      </c>
      <c r="X370" s="13">
        <v>0.3</v>
      </c>
      <c r="Y370" s="13">
        <v>1</v>
      </c>
      <c r="Z370" s="13" t="s">
        <v>200</v>
      </c>
      <c r="AA370" s="13">
        <v>0.27</v>
      </c>
      <c r="AB370" s="13" t="s">
        <v>34</v>
      </c>
      <c r="AC370" s="13" t="s">
        <v>40</v>
      </c>
      <c r="AD370" s="13" t="s">
        <v>32</v>
      </c>
      <c r="AE370" s="13">
        <f t="shared" si="9"/>
        <v>9.1999999999999998E-2</v>
      </c>
      <c r="AF370" s="13" t="s">
        <v>201</v>
      </c>
      <c r="AG370" s="13">
        <v>2019</v>
      </c>
      <c r="AH370" s="13" t="s">
        <v>259</v>
      </c>
      <c r="AI370" s="2">
        <v>50</v>
      </c>
      <c r="AJ370" s="2">
        <v>100</v>
      </c>
      <c r="AK370" s="2">
        <v>2</v>
      </c>
    </row>
    <row r="371" spans="1:37" x14ac:dyDescent="0.3">
      <c r="A371" s="11">
        <v>12.59</v>
      </c>
      <c r="B371" s="11">
        <v>1118</v>
      </c>
      <c r="C371" s="10" t="s">
        <v>254</v>
      </c>
      <c r="D371" s="10" t="s">
        <v>257</v>
      </c>
      <c r="E371" s="13" t="s">
        <v>170</v>
      </c>
      <c r="F371" s="10">
        <v>0.06</v>
      </c>
      <c r="G371" s="10">
        <v>0.7</v>
      </c>
      <c r="H371" s="13" t="s">
        <v>34</v>
      </c>
      <c r="I371" s="13" t="s">
        <v>34</v>
      </c>
      <c r="J371" s="13" t="s">
        <v>34</v>
      </c>
      <c r="K371" s="13" t="s">
        <v>34</v>
      </c>
      <c r="L371" s="10">
        <v>10</v>
      </c>
      <c r="M371" s="13" t="str">
        <f t="shared" si="5"/>
        <v>NA</v>
      </c>
      <c r="N371" s="13" t="s">
        <v>34</v>
      </c>
      <c r="O371" s="13" t="str">
        <f t="shared" si="6"/>
        <v>NA</v>
      </c>
      <c r="P371" s="13" t="str">
        <f t="shared" si="7"/>
        <v>NA</v>
      </c>
      <c r="Q371" s="13">
        <v>0</v>
      </c>
      <c r="R371" s="13" t="str">
        <f t="shared" si="8"/>
        <v>NA</v>
      </c>
      <c r="S371" s="36">
        <v>6.4100000000000008E-4</v>
      </c>
      <c r="T371" s="13" t="s">
        <v>49</v>
      </c>
      <c r="U371" s="13" t="s">
        <v>199</v>
      </c>
      <c r="V371" s="13" t="s">
        <v>162</v>
      </c>
      <c r="W371" s="10">
        <v>16</v>
      </c>
      <c r="X371" s="13">
        <v>0.3</v>
      </c>
      <c r="Y371" s="13">
        <v>1</v>
      </c>
      <c r="Z371" s="13" t="s">
        <v>200</v>
      </c>
      <c r="AA371" s="13">
        <v>0.27</v>
      </c>
      <c r="AB371" s="13" t="s">
        <v>34</v>
      </c>
      <c r="AC371" s="13" t="s">
        <v>40</v>
      </c>
      <c r="AD371" s="13" t="s">
        <v>32</v>
      </c>
      <c r="AE371" s="13">
        <f t="shared" si="9"/>
        <v>0.42199999999999999</v>
      </c>
      <c r="AF371" s="13" t="s">
        <v>201</v>
      </c>
      <c r="AG371" s="13">
        <v>2019</v>
      </c>
      <c r="AH371" s="13" t="s">
        <v>259</v>
      </c>
      <c r="AI371" s="2">
        <v>50</v>
      </c>
      <c r="AJ371" s="2">
        <v>100</v>
      </c>
      <c r="AK371" s="2">
        <v>2</v>
      </c>
    </row>
    <row r="372" spans="1:37" x14ac:dyDescent="0.3">
      <c r="A372" s="11">
        <v>13.15</v>
      </c>
      <c r="B372" s="11">
        <v>842</v>
      </c>
      <c r="C372" s="10" t="s">
        <v>255</v>
      </c>
      <c r="D372" s="13" t="s">
        <v>258</v>
      </c>
      <c r="E372" s="13" t="s">
        <v>170</v>
      </c>
      <c r="F372" s="10">
        <v>2.8000000000000001E-2</v>
      </c>
      <c r="G372" s="10">
        <v>0.67</v>
      </c>
      <c r="H372" s="13" t="s">
        <v>34</v>
      </c>
      <c r="I372" s="13" t="s">
        <v>34</v>
      </c>
      <c r="J372" s="13" t="s">
        <v>34</v>
      </c>
      <c r="K372" s="13" t="s">
        <v>34</v>
      </c>
      <c r="L372" s="10">
        <v>20</v>
      </c>
      <c r="M372" s="13" t="str">
        <f t="shared" si="5"/>
        <v>NA</v>
      </c>
      <c r="N372" s="13" t="s">
        <v>34</v>
      </c>
      <c r="O372" s="13" t="str">
        <f t="shared" si="6"/>
        <v>NA</v>
      </c>
      <c r="P372" s="13" t="str">
        <f t="shared" si="7"/>
        <v>NA</v>
      </c>
      <c r="Q372" s="13">
        <v>0</v>
      </c>
      <c r="R372" s="13" t="str">
        <f t="shared" si="8"/>
        <v>NA</v>
      </c>
      <c r="S372" s="36">
        <v>2.5600000000000004E-4</v>
      </c>
      <c r="T372" s="13" t="s">
        <v>49</v>
      </c>
      <c r="U372" s="13" t="s">
        <v>199</v>
      </c>
      <c r="V372" s="13" t="s">
        <v>162</v>
      </c>
      <c r="W372" s="10">
        <v>16</v>
      </c>
      <c r="X372" s="13">
        <v>0.3</v>
      </c>
      <c r="Y372" s="13">
        <v>1</v>
      </c>
      <c r="Z372" s="13" t="s">
        <v>200</v>
      </c>
      <c r="AA372" s="13">
        <v>0.27</v>
      </c>
      <c r="AB372" s="13" t="s">
        <v>34</v>
      </c>
      <c r="AC372" s="13" t="s">
        <v>40</v>
      </c>
      <c r="AD372" s="13" t="s">
        <v>32</v>
      </c>
      <c r="AE372" s="13">
        <f t="shared" si="9"/>
        <v>0.71</v>
      </c>
      <c r="AF372" s="13" t="s">
        <v>201</v>
      </c>
      <c r="AG372" s="13">
        <v>2019</v>
      </c>
      <c r="AH372" s="13" t="s">
        <v>259</v>
      </c>
      <c r="AI372" s="2">
        <v>50</v>
      </c>
      <c r="AJ372" s="2">
        <v>100</v>
      </c>
      <c r="AK372" s="2">
        <v>2</v>
      </c>
    </row>
    <row r="373" spans="1:37" x14ac:dyDescent="0.3">
      <c r="A373" s="11">
        <v>5.69</v>
      </c>
      <c r="B373" s="11">
        <v>742</v>
      </c>
      <c r="C373" s="10" t="s">
        <v>33</v>
      </c>
      <c r="D373" s="10" t="s">
        <v>35</v>
      </c>
      <c r="E373" s="13" t="s">
        <v>170</v>
      </c>
      <c r="F373" s="10">
        <v>0.57999999999999996</v>
      </c>
      <c r="G373" s="10">
        <v>0.72</v>
      </c>
      <c r="H373" s="13" t="s">
        <v>34</v>
      </c>
      <c r="I373" s="13" t="s">
        <v>34</v>
      </c>
      <c r="J373" s="13" t="s">
        <v>34</v>
      </c>
      <c r="K373" s="13" t="s">
        <v>34</v>
      </c>
      <c r="L373" s="10">
        <v>0</v>
      </c>
      <c r="M373" s="13">
        <f t="shared" si="5"/>
        <v>63.04</v>
      </c>
      <c r="N373" s="13" t="s">
        <v>34</v>
      </c>
      <c r="O373" s="13">
        <f t="shared" si="6"/>
        <v>0.74</v>
      </c>
      <c r="P373" s="13">
        <f t="shared" si="7"/>
        <v>0.51</v>
      </c>
      <c r="Q373" s="13">
        <v>0</v>
      </c>
      <c r="R373" s="13">
        <f t="shared" si="8"/>
        <v>2.65</v>
      </c>
      <c r="S373" s="36">
        <v>1.01E-3</v>
      </c>
      <c r="T373" s="10" t="s">
        <v>36</v>
      </c>
      <c r="U373" s="13" t="s">
        <v>37</v>
      </c>
      <c r="V373" s="13" t="s">
        <v>162</v>
      </c>
      <c r="W373" s="10">
        <v>8</v>
      </c>
      <c r="X373" s="13">
        <v>0.3</v>
      </c>
      <c r="Y373" s="13">
        <v>1</v>
      </c>
      <c r="Z373" s="13" t="s">
        <v>200</v>
      </c>
      <c r="AA373" s="13">
        <v>0.27</v>
      </c>
      <c r="AB373" s="13" t="s">
        <v>34</v>
      </c>
      <c r="AC373" s="13" t="s">
        <v>40</v>
      </c>
      <c r="AD373" s="13" t="s">
        <v>32</v>
      </c>
      <c r="AE373" s="13">
        <f t="shared" si="9"/>
        <v>9.1999999999999998E-2</v>
      </c>
      <c r="AF373" s="13" t="s">
        <v>201</v>
      </c>
      <c r="AG373" s="13">
        <v>2019</v>
      </c>
      <c r="AH373" s="13" t="s">
        <v>259</v>
      </c>
      <c r="AI373" s="2">
        <v>50</v>
      </c>
      <c r="AJ373" s="2">
        <v>100</v>
      </c>
      <c r="AK373" s="2">
        <v>2</v>
      </c>
    </row>
    <row r="374" spans="1:37" x14ac:dyDescent="0.3">
      <c r="A374" s="31">
        <v>11.04</v>
      </c>
      <c r="B374" s="31">
        <v>1662</v>
      </c>
      <c r="C374" s="33" t="s">
        <v>33</v>
      </c>
      <c r="D374" s="33" t="s">
        <v>35</v>
      </c>
      <c r="E374" s="32" t="s">
        <v>170</v>
      </c>
      <c r="F374" s="33">
        <v>0.57999999999999996</v>
      </c>
      <c r="G374" s="33">
        <v>0.72</v>
      </c>
      <c r="H374" s="32" t="s">
        <v>34</v>
      </c>
      <c r="I374" s="32" t="s">
        <v>34</v>
      </c>
      <c r="J374" s="32" t="s">
        <v>34</v>
      </c>
      <c r="K374" s="32" t="s">
        <v>34</v>
      </c>
      <c r="L374" s="33">
        <v>0</v>
      </c>
      <c r="M374" s="32">
        <f t="shared" si="5"/>
        <v>63.04</v>
      </c>
      <c r="N374" s="32" t="s">
        <v>34</v>
      </c>
      <c r="O374" s="32">
        <f t="shared" si="6"/>
        <v>0.74</v>
      </c>
      <c r="P374" s="32">
        <f t="shared" si="7"/>
        <v>0.51</v>
      </c>
      <c r="Q374" s="32">
        <v>0</v>
      </c>
      <c r="R374" s="32">
        <f t="shared" si="8"/>
        <v>2.65</v>
      </c>
      <c r="S374" s="37">
        <v>1.01E-3</v>
      </c>
      <c r="T374" s="33" t="s">
        <v>36</v>
      </c>
      <c r="U374" s="32" t="s">
        <v>37</v>
      </c>
      <c r="V374" s="32" t="s">
        <v>162</v>
      </c>
      <c r="W374" s="33">
        <v>12</v>
      </c>
      <c r="X374" s="32">
        <v>0.3</v>
      </c>
      <c r="Y374" s="32">
        <v>1</v>
      </c>
      <c r="Z374" s="32" t="s">
        <v>200</v>
      </c>
      <c r="AA374" s="32">
        <v>0.27</v>
      </c>
      <c r="AB374" s="32" t="s">
        <v>34</v>
      </c>
      <c r="AC374" s="32" t="s">
        <v>40</v>
      </c>
      <c r="AD374" s="32" t="s">
        <v>32</v>
      </c>
      <c r="AE374" s="32">
        <f t="shared" si="9"/>
        <v>9.1999999999999998E-2</v>
      </c>
      <c r="AF374" s="32" t="s">
        <v>201</v>
      </c>
      <c r="AG374" s="32">
        <v>2019</v>
      </c>
      <c r="AH374" s="32" t="s">
        <v>259</v>
      </c>
      <c r="AI374" s="2">
        <v>50</v>
      </c>
      <c r="AJ374" s="2">
        <v>100</v>
      </c>
      <c r="AK374" s="2">
        <v>2</v>
      </c>
    </row>
    <row r="375" spans="1:37" s="34" customFormat="1" ht="16.2" thickBot="1" x14ac:dyDescent="0.35">
      <c r="A375" s="17">
        <v>13.48</v>
      </c>
      <c r="B375" s="17">
        <v>1960</v>
      </c>
      <c r="C375" s="14" t="s">
        <v>33</v>
      </c>
      <c r="D375" s="14" t="s">
        <v>35</v>
      </c>
      <c r="E375" s="14" t="s">
        <v>170</v>
      </c>
      <c r="F375" s="14">
        <v>0.57999999999999996</v>
      </c>
      <c r="G375" s="14">
        <v>0.72</v>
      </c>
      <c r="H375" s="14" t="s">
        <v>34</v>
      </c>
      <c r="I375" s="14" t="s">
        <v>34</v>
      </c>
      <c r="J375" s="14" t="s">
        <v>34</v>
      </c>
      <c r="K375" s="14" t="s">
        <v>34</v>
      </c>
      <c r="L375" s="14">
        <v>0</v>
      </c>
      <c r="M375" s="14">
        <f t="shared" si="5"/>
        <v>63.04</v>
      </c>
      <c r="N375" s="14" t="s">
        <v>34</v>
      </c>
      <c r="O375" s="14">
        <f t="shared" si="6"/>
        <v>0.74</v>
      </c>
      <c r="P375" s="14">
        <f t="shared" si="7"/>
        <v>0.51</v>
      </c>
      <c r="Q375" s="14">
        <v>0</v>
      </c>
      <c r="R375" s="14">
        <f t="shared" si="8"/>
        <v>2.65</v>
      </c>
      <c r="S375" s="38">
        <v>1.01E-3</v>
      </c>
      <c r="T375" s="14" t="s">
        <v>36</v>
      </c>
      <c r="U375" s="14" t="s">
        <v>37</v>
      </c>
      <c r="V375" s="14" t="s">
        <v>162</v>
      </c>
      <c r="W375" s="14">
        <v>16</v>
      </c>
      <c r="X375" s="14">
        <v>0.3</v>
      </c>
      <c r="Y375" s="14">
        <v>1</v>
      </c>
      <c r="Z375" s="14" t="s">
        <v>200</v>
      </c>
      <c r="AA375" s="14">
        <v>0.27</v>
      </c>
      <c r="AB375" s="14" t="s">
        <v>34</v>
      </c>
      <c r="AC375" s="14" t="s">
        <v>40</v>
      </c>
      <c r="AD375" s="14" t="s">
        <v>32</v>
      </c>
      <c r="AE375" s="14">
        <f t="shared" si="9"/>
        <v>9.1999999999999998E-2</v>
      </c>
      <c r="AF375" s="14" t="s">
        <v>201</v>
      </c>
      <c r="AG375" s="14">
        <v>2019</v>
      </c>
      <c r="AH375" s="14" t="s">
        <v>259</v>
      </c>
      <c r="AI375" s="61">
        <v>50</v>
      </c>
      <c r="AJ375" s="15">
        <v>100</v>
      </c>
      <c r="AK375" s="15">
        <v>2</v>
      </c>
    </row>
    <row r="376" spans="1:37" x14ac:dyDescent="0.3">
      <c r="A376" s="12">
        <v>1.96013289036544</v>
      </c>
      <c r="B376" s="12">
        <v>138.14262023217199</v>
      </c>
      <c r="C376" s="13" t="s">
        <v>33</v>
      </c>
      <c r="D376" s="13" t="s">
        <v>35</v>
      </c>
      <c r="E376" s="13" t="s">
        <v>261</v>
      </c>
      <c r="F376" s="13">
        <v>0.14000000000000001</v>
      </c>
      <c r="G376" s="13">
        <v>0.7</v>
      </c>
      <c r="H376" s="13">
        <v>0.41899999999999998</v>
      </c>
      <c r="I376" s="12">
        <v>0.89880000000000004</v>
      </c>
      <c r="J376" s="13">
        <v>6.42</v>
      </c>
      <c r="K376" s="13">
        <v>1.4</v>
      </c>
      <c r="L376" s="13" t="s">
        <v>34</v>
      </c>
      <c r="M376" s="13">
        <f t="shared" si="5"/>
        <v>63.04</v>
      </c>
      <c r="N376" s="13">
        <v>1359.82</v>
      </c>
      <c r="O376" s="13">
        <f t="shared" si="6"/>
        <v>0.74</v>
      </c>
      <c r="P376" s="13">
        <f t="shared" si="7"/>
        <v>0.51</v>
      </c>
      <c r="Q376" s="13">
        <v>0</v>
      </c>
      <c r="R376" s="13">
        <v>2.7</v>
      </c>
      <c r="S376" s="13" t="s">
        <v>34</v>
      </c>
      <c r="T376" s="13" t="s">
        <v>49</v>
      </c>
      <c r="U376" s="13" t="s">
        <v>262</v>
      </c>
      <c r="V376" s="13" t="s">
        <v>162</v>
      </c>
      <c r="W376" s="13">
        <v>1</v>
      </c>
      <c r="X376" s="13">
        <v>1</v>
      </c>
      <c r="Y376" s="39">
        <v>1.4925373134328357</v>
      </c>
      <c r="Z376" s="13" t="s">
        <v>262</v>
      </c>
      <c r="AA376" s="12">
        <v>0.19350000000000001</v>
      </c>
      <c r="AB376" s="13">
        <v>8.6</v>
      </c>
      <c r="AC376" s="13" t="s">
        <v>40</v>
      </c>
      <c r="AD376" s="13" t="s">
        <v>32</v>
      </c>
      <c r="AE376" s="13">
        <v>0.97519999999999996</v>
      </c>
      <c r="AF376" s="13" t="s">
        <v>263</v>
      </c>
      <c r="AG376" s="13">
        <v>2020</v>
      </c>
      <c r="AH376" s="13" t="s">
        <v>264</v>
      </c>
      <c r="AI376" s="2">
        <v>50</v>
      </c>
      <c r="AJ376" s="2">
        <v>2</v>
      </c>
      <c r="AK376" s="2">
        <v>1</v>
      </c>
    </row>
    <row r="377" spans="1:37" x14ac:dyDescent="0.3">
      <c r="A377" s="11">
        <v>2.9817275747508298</v>
      </c>
      <c r="B377" s="11">
        <v>229.27031509120999</v>
      </c>
      <c r="C377" s="13" t="s">
        <v>33</v>
      </c>
      <c r="D377" s="13" t="s">
        <v>35</v>
      </c>
      <c r="E377" s="13" t="s">
        <v>261</v>
      </c>
      <c r="F377" s="13">
        <v>0.14000000000000001</v>
      </c>
      <c r="G377" s="13">
        <v>0.7</v>
      </c>
      <c r="H377" s="13">
        <v>0.41899999999999998</v>
      </c>
      <c r="I377" s="12">
        <v>0.89880000000000004</v>
      </c>
      <c r="J377" s="13">
        <v>6.42</v>
      </c>
      <c r="K377" s="13">
        <v>1.4</v>
      </c>
      <c r="L377" s="13" t="s">
        <v>34</v>
      </c>
      <c r="M377" s="13">
        <f t="shared" si="5"/>
        <v>63.04</v>
      </c>
      <c r="N377" s="13">
        <v>1359.82</v>
      </c>
      <c r="O377" s="13">
        <f t="shared" si="6"/>
        <v>0.74</v>
      </c>
      <c r="P377" s="13">
        <f t="shared" si="7"/>
        <v>0.51</v>
      </c>
      <c r="Q377" s="13">
        <v>0</v>
      </c>
      <c r="R377" s="13">
        <v>2.7</v>
      </c>
      <c r="S377" s="13" t="s">
        <v>34</v>
      </c>
      <c r="T377" s="13" t="s">
        <v>49</v>
      </c>
      <c r="U377" s="13" t="s">
        <v>262</v>
      </c>
      <c r="V377" s="13" t="s">
        <v>162</v>
      </c>
      <c r="W377" s="10">
        <v>2</v>
      </c>
      <c r="X377" s="13">
        <v>1</v>
      </c>
      <c r="Y377" s="39">
        <v>1.4925373134328357</v>
      </c>
      <c r="Z377" s="13" t="s">
        <v>262</v>
      </c>
      <c r="AA377" s="12">
        <v>0.19350000000000001</v>
      </c>
      <c r="AB377" s="13">
        <v>8.6</v>
      </c>
      <c r="AC377" s="13" t="s">
        <v>40</v>
      </c>
      <c r="AD377" s="13" t="s">
        <v>32</v>
      </c>
      <c r="AE377" s="13">
        <v>0.97519999999999996</v>
      </c>
      <c r="AF377" s="13" t="s">
        <v>263</v>
      </c>
      <c r="AG377" s="13">
        <v>2020</v>
      </c>
      <c r="AH377" s="13" t="s">
        <v>264</v>
      </c>
      <c r="AI377" s="2">
        <v>50</v>
      </c>
      <c r="AJ377" s="2">
        <v>2</v>
      </c>
      <c r="AK377" s="2">
        <v>1</v>
      </c>
    </row>
    <row r="378" spans="1:37" x14ac:dyDescent="0.3">
      <c r="A378" s="11">
        <v>3.6960132890365398</v>
      </c>
      <c r="B378" s="11">
        <v>263.51575456053001</v>
      </c>
      <c r="C378" s="13" t="s">
        <v>33</v>
      </c>
      <c r="D378" s="13" t="s">
        <v>35</v>
      </c>
      <c r="E378" s="13" t="s">
        <v>261</v>
      </c>
      <c r="F378" s="13">
        <v>0.14000000000000001</v>
      </c>
      <c r="G378" s="13">
        <v>0.7</v>
      </c>
      <c r="H378" s="13">
        <v>0.41899999999999998</v>
      </c>
      <c r="I378" s="12">
        <v>0.89880000000000004</v>
      </c>
      <c r="J378" s="13">
        <v>6.42</v>
      </c>
      <c r="K378" s="13">
        <v>1.4</v>
      </c>
      <c r="L378" s="13" t="s">
        <v>34</v>
      </c>
      <c r="M378" s="13">
        <f t="shared" si="5"/>
        <v>63.04</v>
      </c>
      <c r="N378" s="13">
        <v>1359.82</v>
      </c>
      <c r="O378" s="13">
        <f t="shared" si="6"/>
        <v>0.74</v>
      </c>
      <c r="P378" s="13">
        <f t="shared" si="7"/>
        <v>0.51</v>
      </c>
      <c r="Q378" s="13">
        <v>0</v>
      </c>
      <c r="R378" s="13">
        <v>2.7</v>
      </c>
      <c r="S378" s="13" t="s">
        <v>34</v>
      </c>
      <c r="T378" s="13" t="s">
        <v>49</v>
      </c>
      <c r="U378" s="13" t="s">
        <v>262</v>
      </c>
      <c r="V378" s="13" t="s">
        <v>162</v>
      </c>
      <c r="W378" s="10">
        <v>3</v>
      </c>
      <c r="X378" s="13">
        <v>1</v>
      </c>
      <c r="Y378" s="39">
        <v>1.4925373134328357</v>
      </c>
      <c r="Z378" s="13" t="s">
        <v>262</v>
      </c>
      <c r="AA378" s="12">
        <v>0.19350000000000001</v>
      </c>
      <c r="AB378" s="13">
        <v>8.6</v>
      </c>
      <c r="AC378" s="13" t="s">
        <v>40</v>
      </c>
      <c r="AD378" s="13" t="s">
        <v>32</v>
      </c>
      <c r="AE378" s="13">
        <v>0.97519999999999996</v>
      </c>
      <c r="AF378" s="13" t="s">
        <v>263</v>
      </c>
      <c r="AG378" s="13">
        <v>2020</v>
      </c>
      <c r="AH378" s="13" t="s">
        <v>264</v>
      </c>
      <c r="AI378" s="2">
        <v>50</v>
      </c>
      <c r="AJ378" s="2">
        <v>2</v>
      </c>
      <c r="AK378" s="2">
        <v>1</v>
      </c>
    </row>
    <row r="379" spans="1:37" x14ac:dyDescent="0.3">
      <c r="A379" s="11">
        <v>1.9684385382059799</v>
      </c>
      <c r="B379" s="11">
        <v>121.39303482587</v>
      </c>
      <c r="C379" s="13" t="s">
        <v>33</v>
      </c>
      <c r="D379" s="13" t="s">
        <v>35</v>
      </c>
      <c r="E379" s="13" t="s">
        <v>261</v>
      </c>
      <c r="F379" s="13">
        <v>0.14000000000000001</v>
      </c>
      <c r="G379" s="13">
        <v>0.7</v>
      </c>
      <c r="H379" s="13">
        <v>0.41899999999999998</v>
      </c>
      <c r="I379" s="12">
        <v>0.89880000000000004</v>
      </c>
      <c r="J379" s="13">
        <v>6.42</v>
      </c>
      <c r="K379" s="13">
        <v>1.4</v>
      </c>
      <c r="L379" s="13" t="s">
        <v>34</v>
      </c>
      <c r="M379" s="13">
        <f t="shared" si="5"/>
        <v>63.04</v>
      </c>
      <c r="N379" s="13">
        <v>1359.82</v>
      </c>
      <c r="O379" s="13">
        <f t="shared" si="6"/>
        <v>0.74</v>
      </c>
      <c r="P379" s="13">
        <f t="shared" si="7"/>
        <v>0.51</v>
      </c>
      <c r="Q379" s="13">
        <v>0</v>
      </c>
      <c r="R379" s="13">
        <v>2.7</v>
      </c>
      <c r="S379" s="13" t="s">
        <v>34</v>
      </c>
      <c r="T379" s="13" t="s">
        <v>49</v>
      </c>
      <c r="U379" s="13" t="s">
        <v>262</v>
      </c>
      <c r="V379" s="13" t="s">
        <v>162</v>
      </c>
      <c r="W379" s="10">
        <v>1</v>
      </c>
      <c r="X379" s="13">
        <v>1</v>
      </c>
      <c r="Y379" s="39">
        <v>1.4925373134328357</v>
      </c>
      <c r="Z379" s="13" t="s">
        <v>262</v>
      </c>
      <c r="AA379" s="12">
        <v>0.19350000000000001</v>
      </c>
      <c r="AB379" s="13">
        <v>8.6</v>
      </c>
      <c r="AC379" s="10" t="s">
        <v>260</v>
      </c>
      <c r="AD379" s="13" t="s">
        <v>32</v>
      </c>
      <c r="AE379" s="10">
        <v>0.90700000000000003</v>
      </c>
      <c r="AF379" s="13" t="s">
        <v>263</v>
      </c>
      <c r="AG379" s="13">
        <v>2020</v>
      </c>
      <c r="AH379" s="13" t="s">
        <v>264</v>
      </c>
      <c r="AI379" s="2">
        <v>50</v>
      </c>
      <c r="AJ379" s="2">
        <v>2</v>
      </c>
      <c r="AK379" s="2">
        <v>1</v>
      </c>
    </row>
    <row r="380" spans="1:37" x14ac:dyDescent="0.3">
      <c r="A380" s="31">
        <v>2.3671096345514901</v>
      </c>
      <c r="B380" s="31">
        <v>188.05970149253699</v>
      </c>
      <c r="C380" s="32" t="s">
        <v>33</v>
      </c>
      <c r="D380" s="32" t="s">
        <v>35</v>
      </c>
      <c r="E380" s="32" t="s">
        <v>261</v>
      </c>
      <c r="F380" s="32">
        <v>0.14000000000000001</v>
      </c>
      <c r="G380" s="32">
        <v>0.7</v>
      </c>
      <c r="H380" s="32">
        <v>0.41899999999999998</v>
      </c>
      <c r="I380" s="35">
        <v>0.89880000000000004</v>
      </c>
      <c r="J380" s="32">
        <v>6.42</v>
      </c>
      <c r="K380" s="32">
        <v>1.4</v>
      </c>
      <c r="L380" s="32" t="s">
        <v>34</v>
      </c>
      <c r="M380" s="32">
        <f t="shared" si="5"/>
        <v>63.04</v>
      </c>
      <c r="N380" s="32">
        <v>1359.82</v>
      </c>
      <c r="O380" s="32">
        <f t="shared" si="6"/>
        <v>0.74</v>
      </c>
      <c r="P380" s="32">
        <f t="shared" si="7"/>
        <v>0.51</v>
      </c>
      <c r="Q380" s="32">
        <v>0</v>
      </c>
      <c r="R380" s="32">
        <v>2.7</v>
      </c>
      <c r="S380" s="32" t="s">
        <v>34</v>
      </c>
      <c r="T380" s="32" t="s">
        <v>49</v>
      </c>
      <c r="U380" s="32" t="s">
        <v>262</v>
      </c>
      <c r="V380" s="32" t="s">
        <v>162</v>
      </c>
      <c r="W380" s="33">
        <v>2</v>
      </c>
      <c r="X380" s="32">
        <v>1</v>
      </c>
      <c r="Y380" s="40">
        <v>1.4925373134328357</v>
      </c>
      <c r="Z380" s="32" t="s">
        <v>262</v>
      </c>
      <c r="AA380" s="35">
        <v>0.19350000000000001</v>
      </c>
      <c r="AB380" s="32">
        <v>8.6</v>
      </c>
      <c r="AC380" s="33" t="s">
        <v>260</v>
      </c>
      <c r="AD380" s="32" t="s">
        <v>32</v>
      </c>
      <c r="AE380" s="33">
        <v>0.90700000000000003</v>
      </c>
      <c r="AF380" s="32" t="s">
        <v>263</v>
      </c>
      <c r="AG380" s="32">
        <v>2020</v>
      </c>
      <c r="AH380" s="32" t="s">
        <v>264</v>
      </c>
      <c r="AI380" s="2">
        <v>50</v>
      </c>
      <c r="AJ380" s="2">
        <v>2</v>
      </c>
      <c r="AK380" s="2">
        <v>1</v>
      </c>
    </row>
    <row r="381" spans="1:37" s="34" customFormat="1" ht="16.2" thickBot="1" x14ac:dyDescent="0.35">
      <c r="A381" s="17">
        <v>2.9817275747508298</v>
      </c>
      <c r="B381" s="17">
        <v>225.37313432835799</v>
      </c>
      <c r="C381" s="14" t="s">
        <v>33</v>
      </c>
      <c r="D381" s="14" t="s">
        <v>35</v>
      </c>
      <c r="E381" s="14" t="s">
        <v>261</v>
      </c>
      <c r="F381" s="14">
        <v>0.14000000000000001</v>
      </c>
      <c r="G381" s="14">
        <v>0.7</v>
      </c>
      <c r="H381" s="14">
        <v>0.41899999999999998</v>
      </c>
      <c r="I381" s="17">
        <v>0.89880000000000004</v>
      </c>
      <c r="J381" s="14">
        <v>6.42</v>
      </c>
      <c r="K381" s="14">
        <v>1.4</v>
      </c>
      <c r="L381" s="14" t="s">
        <v>34</v>
      </c>
      <c r="M381" s="14">
        <f t="shared" si="5"/>
        <v>63.04</v>
      </c>
      <c r="N381" s="14">
        <v>1359.82</v>
      </c>
      <c r="O381" s="14">
        <f t="shared" si="6"/>
        <v>0.74</v>
      </c>
      <c r="P381" s="14">
        <f t="shared" si="7"/>
        <v>0.51</v>
      </c>
      <c r="Q381" s="14">
        <v>0</v>
      </c>
      <c r="R381" s="14">
        <v>2.7</v>
      </c>
      <c r="S381" s="14" t="s">
        <v>34</v>
      </c>
      <c r="T381" s="14" t="s">
        <v>49</v>
      </c>
      <c r="U381" s="14" t="s">
        <v>262</v>
      </c>
      <c r="V381" s="14" t="s">
        <v>162</v>
      </c>
      <c r="W381" s="14">
        <v>3</v>
      </c>
      <c r="X381" s="14">
        <v>1</v>
      </c>
      <c r="Y381" s="41">
        <v>1.4925373134328357</v>
      </c>
      <c r="Z381" s="14" t="s">
        <v>262</v>
      </c>
      <c r="AA381" s="17">
        <v>0.19350000000000001</v>
      </c>
      <c r="AB381" s="14">
        <v>8.6</v>
      </c>
      <c r="AC381" s="14" t="s">
        <v>260</v>
      </c>
      <c r="AD381" s="14" t="s">
        <v>32</v>
      </c>
      <c r="AE381" s="14">
        <v>0.90700000000000003</v>
      </c>
      <c r="AF381" s="14" t="s">
        <v>263</v>
      </c>
      <c r="AG381" s="14">
        <v>2020</v>
      </c>
      <c r="AH381" s="14" t="s">
        <v>264</v>
      </c>
      <c r="AI381" s="61">
        <v>50</v>
      </c>
      <c r="AJ381" s="15">
        <v>2</v>
      </c>
      <c r="AK381" s="15">
        <v>1</v>
      </c>
    </row>
    <row r="382" spans="1:37" x14ac:dyDescent="0.3">
      <c r="A382" s="35">
        <v>2.8</v>
      </c>
      <c r="B382" s="35">
        <v>529</v>
      </c>
      <c r="C382" s="32" t="s">
        <v>33</v>
      </c>
      <c r="D382" s="32" t="s">
        <v>226</v>
      </c>
      <c r="E382" s="32" t="s">
        <v>170</v>
      </c>
      <c r="F382" s="32" t="s">
        <v>34</v>
      </c>
      <c r="G382" s="35">
        <v>0.6</v>
      </c>
      <c r="H382" s="32" t="s">
        <v>34</v>
      </c>
      <c r="I382" s="32" t="s">
        <v>34</v>
      </c>
      <c r="J382" s="32">
        <v>1.1000000000000001</v>
      </c>
      <c r="K382" s="32" t="s">
        <v>34</v>
      </c>
      <c r="L382" s="32" t="s">
        <v>34</v>
      </c>
      <c r="M382" s="32" t="s">
        <v>34</v>
      </c>
      <c r="N382" s="32">
        <v>1708.17</v>
      </c>
      <c r="O382" s="32" t="s">
        <v>34</v>
      </c>
      <c r="P382" s="32" t="s">
        <v>34</v>
      </c>
      <c r="Q382" s="32" t="s">
        <v>34</v>
      </c>
      <c r="R382" s="32" t="s">
        <v>34</v>
      </c>
      <c r="S382" s="32" t="s">
        <v>34</v>
      </c>
      <c r="T382" s="32" t="s">
        <v>49</v>
      </c>
      <c r="U382" s="32" t="s">
        <v>50</v>
      </c>
      <c r="V382" s="32" t="s">
        <v>207</v>
      </c>
      <c r="W382" s="32">
        <v>1</v>
      </c>
      <c r="X382" s="32">
        <v>1.38</v>
      </c>
      <c r="Y382" s="32">
        <v>0.87</v>
      </c>
      <c r="Z382" s="32" t="s">
        <v>204</v>
      </c>
      <c r="AA382" s="32">
        <v>2.3999999999999998E-3</v>
      </c>
      <c r="AB382" s="32">
        <v>8.75</v>
      </c>
      <c r="AC382" s="32" t="s">
        <v>203</v>
      </c>
      <c r="AD382" s="32" t="s">
        <v>34</v>
      </c>
      <c r="AE382" s="32" t="s">
        <v>34</v>
      </c>
      <c r="AF382" s="32" t="s">
        <v>266</v>
      </c>
      <c r="AG382" s="32">
        <v>2015</v>
      </c>
      <c r="AH382" s="32" t="s">
        <v>267</v>
      </c>
      <c r="AI382" s="2">
        <v>51</v>
      </c>
      <c r="AJ382" s="2">
        <v>2.98</v>
      </c>
      <c r="AK382" s="2" t="s">
        <v>34</v>
      </c>
    </row>
    <row r="383" spans="1:37" s="34" customFormat="1" ht="16.2" thickBot="1" x14ac:dyDescent="0.35">
      <c r="A383" s="17">
        <v>4.3</v>
      </c>
      <c r="B383" s="17">
        <v>391</v>
      </c>
      <c r="C383" s="14" t="s">
        <v>33</v>
      </c>
      <c r="D383" s="14" t="s">
        <v>265</v>
      </c>
      <c r="E383" s="14" t="s">
        <v>170</v>
      </c>
      <c r="F383" s="14" t="s">
        <v>34</v>
      </c>
      <c r="G383" s="17">
        <v>0.27500000000000002</v>
      </c>
      <c r="H383" s="14" t="s">
        <v>34</v>
      </c>
      <c r="I383" s="14" t="s">
        <v>34</v>
      </c>
      <c r="J383" s="14">
        <v>1.74</v>
      </c>
      <c r="K383" s="14" t="s">
        <v>34</v>
      </c>
      <c r="L383" s="14" t="s">
        <v>34</v>
      </c>
      <c r="M383" s="14" t="s">
        <v>34</v>
      </c>
      <c r="N383" s="14">
        <v>1693.88</v>
      </c>
      <c r="O383" s="14" t="s">
        <v>34</v>
      </c>
      <c r="P383" s="14" t="s">
        <v>34</v>
      </c>
      <c r="Q383" s="14" t="s">
        <v>34</v>
      </c>
      <c r="R383" s="14" t="s">
        <v>34</v>
      </c>
      <c r="S383" s="14" t="s">
        <v>34</v>
      </c>
      <c r="T383" s="14" t="s">
        <v>49</v>
      </c>
      <c r="U383" s="14" t="s">
        <v>50</v>
      </c>
      <c r="V383" s="14" t="s">
        <v>207</v>
      </c>
      <c r="W383" s="14">
        <v>1</v>
      </c>
      <c r="X383" s="14">
        <v>1.38</v>
      </c>
      <c r="Y383" s="14">
        <v>0.87</v>
      </c>
      <c r="Z383" s="14" t="s">
        <v>204</v>
      </c>
      <c r="AA383" s="14">
        <v>2.3999999999999998E-3</v>
      </c>
      <c r="AB383" s="14">
        <v>8.75</v>
      </c>
      <c r="AC383" s="14" t="s">
        <v>203</v>
      </c>
      <c r="AD383" s="14" t="s">
        <v>34</v>
      </c>
      <c r="AE383" s="14" t="s">
        <v>34</v>
      </c>
      <c r="AF383" s="14" t="s">
        <v>266</v>
      </c>
      <c r="AG383" s="18">
        <v>2015</v>
      </c>
      <c r="AH383" s="14" t="s">
        <v>267</v>
      </c>
      <c r="AI383" s="61">
        <v>51</v>
      </c>
      <c r="AJ383" s="15">
        <v>2.98</v>
      </c>
      <c r="AK383" s="15" t="s">
        <v>34</v>
      </c>
    </row>
    <row r="384" spans="1:37" x14ac:dyDescent="0.3">
      <c r="A384" s="12">
        <v>11.7</v>
      </c>
      <c r="B384" s="12">
        <v>1220</v>
      </c>
      <c r="C384" s="13" t="s">
        <v>33</v>
      </c>
      <c r="D384" s="13" t="s">
        <v>268</v>
      </c>
      <c r="E384" s="13" t="s">
        <v>170</v>
      </c>
      <c r="F384" s="13">
        <v>0.42</v>
      </c>
      <c r="G384" s="13">
        <v>0.6</v>
      </c>
      <c r="H384" s="13">
        <v>0.58099999999999996</v>
      </c>
      <c r="I384" s="13">
        <v>0.6</v>
      </c>
      <c r="J384" s="13">
        <v>1.42</v>
      </c>
      <c r="K384" s="13">
        <v>1.34</v>
      </c>
      <c r="L384" s="13">
        <v>0</v>
      </c>
      <c r="M384" s="13">
        <v>33</v>
      </c>
      <c r="N384" s="13">
        <v>1338.38</v>
      </c>
      <c r="O384" s="13">
        <v>1.1299999999999999</v>
      </c>
      <c r="P384" s="13">
        <v>0.67</v>
      </c>
      <c r="Q384" s="13">
        <v>0</v>
      </c>
      <c r="R384" s="13" t="s">
        <v>34</v>
      </c>
      <c r="S384" s="13" t="s">
        <v>34</v>
      </c>
      <c r="T384" s="13" t="s">
        <v>36</v>
      </c>
      <c r="U384" s="13" t="s">
        <v>37</v>
      </c>
      <c r="V384" s="13" t="s">
        <v>38</v>
      </c>
      <c r="W384" s="13">
        <v>4</v>
      </c>
      <c r="X384" s="13">
        <v>0.5</v>
      </c>
      <c r="Y384" s="13">
        <v>1</v>
      </c>
      <c r="Z384" s="13" t="s">
        <v>200</v>
      </c>
      <c r="AA384" s="13" t="s">
        <v>34</v>
      </c>
      <c r="AB384" s="13" t="s">
        <v>34</v>
      </c>
      <c r="AC384" s="13" t="s">
        <v>269</v>
      </c>
      <c r="AD384" s="13" t="s">
        <v>32</v>
      </c>
      <c r="AE384" s="13">
        <v>0.94720000000000004</v>
      </c>
      <c r="AF384" s="13" t="s">
        <v>271</v>
      </c>
      <c r="AG384" s="13">
        <v>2020</v>
      </c>
      <c r="AH384" s="13" t="s">
        <v>272</v>
      </c>
      <c r="AI384" s="2">
        <v>50</v>
      </c>
      <c r="AJ384" s="2">
        <v>2</v>
      </c>
      <c r="AK384" s="2" t="s">
        <v>34</v>
      </c>
    </row>
    <row r="385" spans="1:37" x14ac:dyDescent="0.3">
      <c r="A385" s="11">
        <v>5.13</v>
      </c>
      <c r="B385" s="11">
        <v>550</v>
      </c>
      <c r="C385" s="13" t="s">
        <v>33</v>
      </c>
      <c r="D385" s="13" t="s">
        <v>268</v>
      </c>
      <c r="E385" s="13" t="s">
        <v>170</v>
      </c>
      <c r="F385" s="13">
        <v>0.42</v>
      </c>
      <c r="G385" s="13">
        <v>0.6</v>
      </c>
      <c r="H385" s="13">
        <v>0.58099999999999996</v>
      </c>
      <c r="I385" s="13">
        <v>0.6</v>
      </c>
      <c r="J385" s="13">
        <v>1.42</v>
      </c>
      <c r="K385" s="13">
        <v>1.34</v>
      </c>
      <c r="L385" s="13">
        <v>0</v>
      </c>
      <c r="M385" s="13">
        <v>33</v>
      </c>
      <c r="N385" s="13">
        <v>1338.38</v>
      </c>
      <c r="O385" s="13">
        <v>1.1299999999999999</v>
      </c>
      <c r="P385" s="13">
        <v>0.67</v>
      </c>
      <c r="Q385" s="13">
        <v>0</v>
      </c>
      <c r="R385" s="13" t="s">
        <v>34</v>
      </c>
      <c r="S385" s="13" t="s">
        <v>34</v>
      </c>
      <c r="T385" s="10" t="s">
        <v>49</v>
      </c>
      <c r="U385" s="10" t="s">
        <v>50</v>
      </c>
      <c r="V385" s="10" t="s">
        <v>162</v>
      </c>
      <c r="W385" s="10">
        <v>4</v>
      </c>
      <c r="X385" s="13">
        <v>0.5</v>
      </c>
      <c r="Y385" s="13">
        <v>1</v>
      </c>
      <c r="Z385" s="10" t="s">
        <v>204</v>
      </c>
      <c r="AA385" s="10">
        <v>0.3</v>
      </c>
      <c r="AB385" s="13" t="s">
        <v>34</v>
      </c>
      <c r="AC385" s="10" t="s">
        <v>270</v>
      </c>
      <c r="AD385" s="13" t="s">
        <v>32</v>
      </c>
      <c r="AE385" s="13">
        <v>1.9472</v>
      </c>
      <c r="AF385" s="13" t="s">
        <v>271</v>
      </c>
      <c r="AG385" s="13">
        <v>2020</v>
      </c>
      <c r="AH385" s="13" t="s">
        <v>272</v>
      </c>
      <c r="AI385" s="2">
        <v>50</v>
      </c>
      <c r="AJ385" s="2">
        <v>2</v>
      </c>
      <c r="AK385" s="2" t="s">
        <v>34</v>
      </c>
    </row>
    <row r="386" spans="1:37" x14ac:dyDescent="0.3">
      <c r="A386" s="11">
        <v>14.64</v>
      </c>
      <c r="B386" s="11">
        <v>2600</v>
      </c>
      <c r="C386" s="13" t="s">
        <v>33</v>
      </c>
      <c r="D386" s="13" t="s">
        <v>268</v>
      </c>
      <c r="E386" s="13" t="s">
        <v>170</v>
      </c>
      <c r="F386" s="13">
        <v>0.42</v>
      </c>
      <c r="G386" s="13">
        <v>0.6</v>
      </c>
      <c r="H386" s="13">
        <v>0.58099999999999996</v>
      </c>
      <c r="I386" s="13">
        <v>0.6</v>
      </c>
      <c r="J386" s="13">
        <v>1.42</v>
      </c>
      <c r="K386" s="13">
        <v>1.34</v>
      </c>
      <c r="L386" s="13">
        <v>0</v>
      </c>
      <c r="M386" s="13">
        <v>33</v>
      </c>
      <c r="N386" s="13">
        <v>1338.38</v>
      </c>
      <c r="O386" s="13">
        <v>1.1299999999999999</v>
      </c>
      <c r="P386" s="13">
        <v>0.67</v>
      </c>
      <c r="Q386" s="13">
        <v>0</v>
      </c>
      <c r="R386" s="13" t="s">
        <v>34</v>
      </c>
      <c r="S386" s="13" t="s">
        <v>34</v>
      </c>
      <c r="T386" s="10" t="s">
        <v>36</v>
      </c>
      <c r="U386" s="13" t="s">
        <v>37</v>
      </c>
      <c r="V386" s="13" t="s">
        <v>38</v>
      </c>
      <c r="W386" s="10">
        <v>6</v>
      </c>
      <c r="X386" s="13">
        <v>0.5</v>
      </c>
      <c r="Y386" s="13">
        <v>1</v>
      </c>
      <c r="Z386" s="13" t="s">
        <v>200</v>
      </c>
      <c r="AA386" s="10" t="s">
        <v>34</v>
      </c>
      <c r="AB386" s="13" t="s">
        <v>34</v>
      </c>
      <c r="AC386" s="13" t="s">
        <v>269</v>
      </c>
      <c r="AD386" s="13" t="s">
        <v>32</v>
      </c>
      <c r="AE386" s="13">
        <v>2.9472</v>
      </c>
      <c r="AF386" s="13" t="s">
        <v>271</v>
      </c>
      <c r="AG386" s="13">
        <v>2020</v>
      </c>
      <c r="AH386" s="13" t="s">
        <v>272</v>
      </c>
      <c r="AI386" s="2">
        <v>50</v>
      </c>
      <c r="AJ386" s="2">
        <v>2</v>
      </c>
      <c r="AK386" s="2" t="s">
        <v>34</v>
      </c>
    </row>
    <row r="387" spans="1:37" x14ac:dyDescent="0.3">
      <c r="A387" s="11">
        <v>8.5500000000000007</v>
      </c>
      <c r="B387" s="11">
        <v>1470</v>
      </c>
      <c r="C387" s="13" t="s">
        <v>33</v>
      </c>
      <c r="D387" s="13" t="s">
        <v>268</v>
      </c>
      <c r="E387" s="13" t="s">
        <v>170</v>
      </c>
      <c r="F387" s="13">
        <v>0.42</v>
      </c>
      <c r="G387" s="13">
        <v>0.6</v>
      </c>
      <c r="H387" s="13">
        <v>0.58099999999999996</v>
      </c>
      <c r="I387" s="13">
        <v>0.6</v>
      </c>
      <c r="J387" s="13">
        <v>1.42</v>
      </c>
      <c r="K387" s="13">
        <v>1.34</v>
      </c>
      <c r="L387" s="13">
        <v>0</v>
      </c>
      <c r="M387" s="13">
        <v>33</v>
      </c>
      <c r="N387" s="13">
        <v>1338.38</v>
      </c>
      <c r="O387" s="13">
        <v>1.1299999999999999</v>
      </c>
      <c r="P387" s="13">
        <v>0.67</v>
      </c>
      <c r="Q387" s="13">
        <v>0</v>
      </c>
      <c r="R387" s="13" t="s">
        <v>34</v>
      </c>
      <c r="S387" s="13" t="s">
        <v>34</v>
      </c>
      <c r="T387" s="10" t="s">
        <v>49</v>
      </c>
      <c r="U387" s="10" t="s">
        <v>50</v>
      </c>
      <c r="V387" s="10" t="s">
        <v>162</v>
      </c>
      <c r="W387" s="10">
        <v>6</v>
      </c>
      <c r="X387" s="13">
        <v>0.5</v>
      </c>
      <c r="Y387" s="13">
        <v>1</v>
      </c>
      <c r="Z387" s="10" t="s">
        <v>204</v>
      </c>
      <c r="AA387" s="10">
        <v>0.3</v>
      </c>
      <c r="AB387" s="13" t="s">
        <v>34</v>
      </c>
      <c r="AC387" s="10" t="s">
        <v>270</v>
      </c>
      <c r="AD387" s="13" t="s">
        <v>32</v>
      </c>
      <c r="AE387" s="13">
        <v>3.9472</v>
      </c>
      <c r="AF387" s="13" t="s">
        <v>271</v>
      </c>
      <c r="AG387" s="13">
        <v>2020</v>
      </c>
      <c r="AH387" s="13" t="s">
        <v>272</v>
      </c>
      <c r="AI387" s="2">
        <v>50</v>
      </c>
      <c r="AJ387" s="2">
        <v>2</v>
      </c>
      <c r="AK387" s="2" t="s">
        <v>34</v>
      </c>
    </row>
    <row r="388" spans="1:37" x14ac:dyDescent="0.3">
      <c r="A388" s="11">
        <v>17.73</v>
      </c>
      <c r="B388" s="11">
        <v>3280</v>
      </c>
      <c r="C388" s="13" t="s">
        <v>33</v>
      </c>
      <c r="D388" s="13" t="s">
        <v>268</v>
      </c>
      <c r="E388" s="13" t="s">
        <v>170</v>
      </c>
      <c r="F388" s="13">
        <v>0.42</v>
      </c>
      <c r="G388" s="13">
        <v>0.6</v>
      </c>
      <c r="H388" s="13">
        <v>0.58099999999999996</v>
      </c>
      <c r="I388" s="13">
        <v>0.6</v>
      </c>
      <c r="J388" s="13">
        <v>1.42</v>
      </c>
      <c r="K388" s="13">
        <v>1.34</v>
      </c>
      <c r="L388" s="13">
        <v>0</v>
      </c>
      <c r="M388" s="13">
        <v>33</v>
      </c>
      <c r="N388" s="13">
        <v>1338.38</v>
      </c>
      <c r="O388" s="13">
        <v>1.1299999999999999</v>
      </c>
      <c r="P388" s="13">
        <v>0.67</v>
      </c>
      <c r="Q388" s="13">
        <v>0</v>
      </c>
      <c r="R388" s="13" t="s">
        <v>34</v>
      </c>
      <c r="S388" s="13" t="s">
        <v>34</v>
      </c>
      <c r="T388" s="10" t="s">
        <v>36</v>
      </c>
      <c r="U388" s="13" t="s">
        <v>37</v>
      </c>
      <c r="V388" s="13" t="s">
        <v>38</v>
      </c>
      <c r="W388" s="10">
        <v>8</v>
      </c>
      <c r="X388" s="13">
        <v>0.5</v>
      </c>
      <c r="Y388" s="13">
        <v>1</v>
      </c>
      <c r="Z388" s="13" t="s">
        <v>200</v>
      </c>
      <c r="AA388" s="10" t="s">
        <v>34</v>
      </c>
      <c r="AB388" s="13" t="s">
        <v>34</v>
      </c>
      <c r="AC388" s="13" t="s">
        <v>269</v>
      </c>
      <c r="AD388" s="13" t="s">
        <v>32</v>
      </c>
      <c r="AE388" s="13">
        <v>4.9471999999999996</v>
      </c>
      <c r="AF388" s="13" t="s">
        <v>271</v>
      </c>
      <c r="AG388" s="13">
        <v>2020</v>
      </c>
      <c r="AH388" s="13" t="s">
        <v>272</v>
      </c>
      <c r="AI388" s="2">
        <v>50</v>
      </c>
      <c r="AJ388" s="2">
        <v>2</v>
      </c>
      <c r="AK388" s="2" t="s">
        <v>34</v>
      </c>
    </row>
    <row r="389" spans="1:37" x14ac:dyDescent="0.3">
      <c r="A389" s="11">
        <v>11.93</v>
      </c>
      <c r="B389" s="11">
        <v>1890</v>
      </c>
      <c r="C389" s="13" t="s">
        <v>33</v>
      </c>
      <c r="D389" s="13" t="s">
        <v>268</v>
      </c>
      <c r="E389" s="13" t="s">
        <v>170</v>
      </c>
      <c r="F389" s="13">
        <v>0.42</v>
      </c>
      <c r="G389" s="13">
        <v>0.6</v>
      </c>
      <c r="H389" s="13">
        <v>0.58099999999999996</v>
      </c>
      <c r="I389" s="13">
        <v>0.6</v>
      </c>
      <c r="J389" s="13">
        <v>1.42</v>
      </c>
      <c r="K389" s="13">
        <v>1.34</v>
      </c>
      <c r="L389" s="13">
        <v>0</v>
      </c>
      <c r="M389" s="13">
        <v>33</v>
      </c>
      <c r="N389" s="13">
        <v>1338.38</v>
      </c>
      <c r="O389" s="13">
        <v>1.1299999999999999</v>
      </c>
      <c r="P389" s="13">
        <v>0.67</v>
      </c>
      <c r="Q389" s="13">
        <v>0</v>
      </c>
      <c r="R389" s="13" t="s">
        <v>34</v>
      </c>
      <c r="S389" s="13" t="s">
        <v>34</v>
      </c>
      <c r="T389" s="10" t="s">
        <v>49</v>
      </c>
      <c r="U389" s="10" t="s">
        <v>50</v>
      </c>
      <c r="V389" s="10" t="s">
        <v>162</v>
      </c>
      <c r="W389" s="10">
        <v>8</v>
      </c>
      <c r="X389" s="13">
        <v>0.5</v>
      </c>
      <c r="Y389" s="13">
        <v>1</v>
      </c>
      <c r="Z389" s="10" t="s">
        <v>204</v>
      </c>
      <c r="AA389" s="10">
        <v>0.3</v>
      </c>
      <c r="AB389" s="13" t="s">
        <v>34</v>
      </c>
      <c r="AC389" s="10" t="s">
        <v>270</v>
      </c>
      <c r="AD389" s="13" t="s">
        <v>32</v>
      </c>
      <c r="AE389" s="13">
        <v>5.9471999999999996</v>
      </c>
      <c r="AF389" s="13" t="s">
        <v>271</v>
      </c>
      <c r="AG389" s="13">
        <v>2020</v>
      </c>
      <c r="AH389" s="13" t="s">
        <v>272</v>
      </c>
      <c r="AI389" s="2">
        <v>50</v>
      </c>
      <c r="AJ389" s="2">
        <v>2</v>
      </c>
      <c r="AK389" s="2" t="s">
        <v>34</v>
      </c>
    </row>
    <row r="390" spans="1:37" x14ac:dyDescent="0.3">
      <c r="A390" s="31">
        <v>25.63</v>
      </c>
      <c r="B390" s="31">
        <v>6470</v>
      </c>
      <c r="C390" s="32" t="s">
        <v>33</v>
      </c>
      <c r="D390" s="32" t="s">
        <v>268</v>
      </c>
      <c r="E390" s="32" t="s">
        <v>170</v>
      </c>
      <c r="F390" s="32">
        <v>0.42</v>
      </c>
      <c r="G390" s="32">
        <v>0.6</v>
      </c>
      <c r="H390" s="32">
        <v>0.58099999999999996</v>
      </c>
      <c r="I390" s="32">
        <v>0.6</v>
      </c>
      <c r="J390" s="32">
        <v>1.42</v>
      </c>
      <c r="K390" s="32">
        <v>1.34</v>
      </c>
      <c r="L390" s="32">
        <v>0</v>
      </c>
      <c r="M390" s="32">
        <v>33</v>
      </c>
      <c r="N390" s="32">
        <v>1338.38</v>
      </c>
      <c r="O390" s="32">
        <v>1.1299999999999999</v>
      </c>
      <c r="P390" s="32">
        <v>0.67</v>
      </c>
      <c r="Q390" s="32">
        <v>0</v>
      </c>
      <c r="R390" s="32" t="s">
        <v>34</v>
      </c>
      <c r="S390" s="32" t="s">
        <v>34</v>
      </c>
      <c r="T390" s="33" t="s">
        <v>36</v>
      </c>
      <c r="U390" s="32" t="s">
        <v>37</v>
      </c>
      <c r="V390" s="32" t="s">
        <v>38</v>
      </c>
      <c r="W390" s="33">
        <v>10</v>
      </c>
      <c r="X390" s="32">
        <v>0.5</v>
      </c>
      <c r="Y390" s="32">
        <v>1</v>
      </c>
      <c r="Z390" s="32" t="s">
        <v>200</v>
      </c>
      <c r="AA390" s="33" t="s">
        <v>34</v>
      </c>
      <c r="AB390" s="32" t="s">
        <v>34</v>
      </c>
      <c r="AC390" s="32" t="s">
        <v>269</v>
      </c>
      <c r="AD390" s="32" t="s">
        <v>32</v>
      </c>
      <c r="AE390" s="32">
        <v>6.9471999999999996</v>
      </c>
      <c r="AF390" s="32" t="s">
        <v>271</v>
      </c>
      <c r="AG390" s="32">
        <v>2020</v>
      </c>
      <c r="AH390" s="32" t="s">
        <v>272</v>
      </c>
      <c r="AI390" s="2">
        <v>50</v>
      </c>
      <c r="AJ390" s="2">
        <v>2</v>
      </c>
      <c r="AK390" s="2" t="s">
        <v>34</v>
      </c>
    </row>
    <row r="391" spans="1:37" s="34" customFormat="1" ht="16.2" thickBot="1" x14ac:dyDescent="0.35">
      <c r="A391" s="17">
        <v>17.03</v>
      </c>
      <c r="B391" s="17">
        <v>4230</v>
      </c>
      <c r="C391" s="14" t="s">
        <v>33</v>
      </c>
      <c r="D391" s="14" t="s">
        <v>268</v>
      </c>
      <c r="E391" s="14" t="s">
        <v>170</v>
      </c>
      <c r="F391" s="14">
        <v>0.42</v>
      </c>
      <c r="G391" s="14">
        <v>0.6</v>
      </c>
      <c r="H391" s="14">
        <v>0.58099999999999996</v>
      </c>
      <c r="I391" s="14">
        <v>0.6</v>
      </c>
      <c r="J391" s="14">
        <v>1.42</v>
      </c>
      <c r="K391" s="14">
        <v>1.34</v>
      </c>
      <c r="L391" s="14">
        <v>0</v>
      </c>
      <c r="M391" s="14">
        <v>33</v>
      </c>
      <c r="N391" s="14">
        <v>1338.38</v>
      </c>
      <c r="O391" s="14">
        <v>1.1299999999999999</v>
      </c>
      <c r="P391" s="14">
        <v>0.67</v>
      </c>
      <c r="Q391" s="14">
        <v>0</v>
      </c>
      <c r="R391" s="14" t="s">
        <v>34</v>
      </c>
      <c r="S391" s="14" t="s">
        <v>34</v>
      </c>
      <c r="T391" s="14" t="s">
        <v>49</v>
      </c>
      <c r="U391" s="14" t="s">
        <v>50</v>
      </c>
      <c r="V391" s="14" t="s">
        <v>162</v>
      </c>
      <c r="W391" s="14">
        <v>10</v>
      </c>
      <c r="X391" s="14">
        <v>0.5</v>
      </c>
      <c r="Y391" s="14">
        <v>1</v>
      </c>
      <c r="Z391" s="14" t="s">
        <v>204</v>
      </c>
      <c r="AA391" s="14">
        <v>0.3</v>
      </c>
      <c r="AB391" s="14" t="s">
        <v>34</v>
      </c>
      <c r="AC391" s="14" t="s">
        <v>270</v>
      </c>
      <c r="AD391" s="14" t="s">
        <v>32</v>
      </c>
      <c r="AE391" s="14">
        <v>7.9471999999999996</v>
      </c>
      <c r="AF391" s="14" t="s">
        <v>271</v>
      </c>
      <c r="AG391" s="14">
        <v>2020</v>
      </c>
      <c r="AH391" s="14" t="s">
        <v>272</v>
      </c>
      <c r="AI391" s="61">
        <v>50</v>
      </c>
      <c r="AJ391" s="15">
        <v>2</v>
      </c>
      <c r="AK391" s="15" t="s">
        <v>34</v>
      </c>
    </row>
    <row r="392" spans="1:37" x14ac:dyDescent="0.3">
      <c r="A392" s="12">
        <v>1.2050511124473799</v>
      </c>
      <c r="B392" s="12">
        <v>18.416385059523801</v>
      </c>
      <c r="C392" s="13" t="s">
        <v>33</v>
      </c>
      <c r="D392" s="13" t="s">
        <v>273</v>
      </c>
      <c r="E392" s="13" t="s">
        <v>170</v>
      </c>
      <c r="F392" s="13">
        <v>0.15</v>
      </c>
      <c r="G392" s="13">
        <v>0.28999999999999998</v>
      </c>
      <c r="H392" s="13">
        <v>0.22900000000000001</v>
      </c>
      <c r="I392" s="13">
        <v>0.317</v>
      </c>
      <c r="J392" s="13">
        <v>2.11</v>
      </c>
      <c r="K392" s="13">
        <v>1.1000000000000001</v>
      </c>
      <c r="L392" s="13">
        <v>0</v>
      </c>
      <c r="M392" s="13">
        <v>50</v>
      </c>
      <c r="N392" s="13">
        <v>1527.88</v>
      </c>
      <c r="O392" s="13">
        <v>0.89900000000000002</v>
      </c>
      <c r="P392" s="13">
        <v>0.54900000000000004</v>
      </c>
      <c r="Q392" s="13">
        <v>27.28</v>
      </c>
      <c r="R392" s="13">
        <v>2.653</v>
      </c>
      <c r="S392" s="13" t="s">
        <v>34</v>
      </c>
      <c r="T392" s="13" t="s">
        <v>49</v>
      </c>
      <c r="U392" s="13" t="s">
        <v>50</v>
      </c>
      <c r="V392" s="13" t="s">
        <v>162</v>
      </c>
      <c r="W392" s="13">
        <v>1</v>
      </c>
      <c r="X392" s="13">
        <v>0.5</v>
      </c>
      <c r="Y392" s="13">
        <v>1.25</v>
      </c>
      <c r="Z392" s="13" t="s">
        <v>177</v>
      </c>
      <c r="AA392" s="13">
        <v>8.8499999999999995E-2</v>
      </c>
      <c r="AB392" s="13">
        <v>8</v>
      </c>
      <c r="AC392" s="13" t="s">
        <v>274</v>
      </c>
      <c r="AD392" s="32" t="s">
        <v>32</v>
      </c>
      <c r="AE392" s="13">
        <v>0.9365</v>
      </c>
      <c r="AF392" s="13" t="s">
        <v>251</v>
      </c>
      <c r="AG392" s="13">
        <v>2016</v>
      </c>
      <c r="AH392" s="13" t="s">
        <v>275</v>
      </c>
      <c r="AI392" s="2">
        <v>50</v>
      </c>
      <c r="AJ392" s="2">
        <v>2</v>
      </c>
      <c r="AK392" s="2" t="s">
        <v>34</v>
      </c>
    </row>
    <row r="393" spans="1:37" x14ac:dyDescent="0.3">
      <c r="A393" s="11">
        <v>1.19061936259771</v>
      </c>
      <c r="B393" s="11">
        <v>15.2563151389925</v>
      </c>
      <c r="C393" s="13" t="s">
        <v>33</v>
      </c>
      <c r="D393" s="13" t="s">
        <v>273</v>
      </c>
      <c r="E393" s="13" t="s">
        <v>170</v>
      </c>
      <c r="F393" s="13">
        <v>0.15</v>
      </c>
      <c r="G393" s="13">
        <v>0.28999999999999998</v>
      </c>
      <c r="H393" s="13">
        <v>0.22900000000000001</v>
      </c>
      <c r="I393" s="13">
        <v>0.317</v>
      </c>
      <c r="J393" s="13">
        <v>2.11</v>
      </c>
      <c r="K393" s="13">
        <v>1.1000000000000001</v>
      </c>
      <c r="L393" s="13">
        <v>0</v>
      </c>
      <c r="M393" s="13">
        <v>50</v>
      </c>
      <c r="N393" s="13">
        <v>1527.88</v>
      </c>
      <c r="O393" s="13">
        <v>0.89900000000000002</v>
      </c>
      <c r="P393" s="13">
        <v>0.54900000000000004</v>
      </c>
      <c r="Q393" s="13">
        <v>27.28</v>
      </c>
      <c r="R393" s="13">
        <v>2.653</v>
      </c>
      <c r="S393" s="13" t="s">
        <v>34</v>
      </c>
      <c r="T393" s="13" t="s">
        <v>49</v>
      </c>
      <c r="U393" s="13" t="s">
        <v>50</v>
      </c>
      <c r="V393" s="13" t="s">
        <v>162</v>
      </c>
      <c r="W393" s="13">
        <v>1</v>
      </c>
      <c r="X393" s="13">
        <v>0.5</v>
      </c>
      <c r="Y393" s="13">
        <v>1.25</v>
      </c>
      <c r="Z393" s="13" t="s">
        <v>177</v>
      </c>
      <c r="AA393" s="13">
        <v>8.8499999999999995E-2</v>
      </c>
      <c r="AB393" s="13">
        <v>8</v>
      </c>
      <c r="AC393" s="13" t="s">
        <v>274</v>
      </c>
      <c r="AD393" s="32" t="s">
        <v>32</v>
      </c>
      <c r="AE393" s="13">
        <v>0.9365</v>
      </c>
      <c r="AF393" s="13" t="s">
        <v>251</v>
      </c>
      <c r="AG393" s="13">
        <v>2016</v>
      </c>
      <c r="AH393" s="13" t="s">
        <v>275</v>
      </c>
      <c r="AI393" s="2">
        <v>50</v>
      </c>
      <c r="AJ393" s="2">
        <v>2</v>
      </c>
      <c r="AK393" s="2" t="s">
        <v>34</v>
      </c>
    </row>
    <row r="394" spans="1:37" x14ac:dyDescent="0.3">
      <c r="A394" s="11">
        <v>2.2297053517738998</v>
      </c>
      <c r="B394" s="11">
        <v>33.1465768372056</v>
      </c>
      <c r="C394" s="13" t="s">
        <v>33</v>
      </c>
      <c r="D394" s="13" t="s">
        <v>273</v>
      </c>
      <c r="E394" s="13" t="s">
        <v>170</v>
      </c>
      <c r="F394" s="13">
        <v>0.15</v>
      </c>
      <c r="G394" s="13">
        <v>0.28999999999999998</v>
      </c>
      <c r="H394" s="13">
        <v>0.22900000000000001</v>
      </c>
      <c r="I394" s="13">
        <v>0.317</v>
      </c>
      <c r="J394" s="13">
        <v>2.11</v>
      </c>
      <c r="K394" s="13">
        <v>1.1000000000000001</v>
      </c>
      <c r="L394" s="13">
        <v>0</v>
      </c>
      <c r="M394" s="13">
        <v>50</v>
      </c>
      <c r="N394" s="13">
        <v>1527.88</v>
      </c>
      <c r="O394" s="13">
        <v>0.89900000000000002</v>
      </c>
      <c r="P394" s="13">
        <v>0.54900000000000004</v>
      </c>
      <c r="Q394" s="13">
        <v>27.28</v>
      </c>
      <c r="R394" s="13">
        <v>2.653</v>
      </c>
      <c r="S394" s="13" t="s">
        <v>34</v>
      </c>
      <c r="T394" s="13" t="s">
        <v>49</v>
      </c>
      <c r="U394" s="13" t="s">
        <v>50</v>
      </c>
      <c r="V394" s="13" t="s">
        <v>162</v>
      </c>
      <c r="W394" s="13">
        <v>1</v>
      </c>
      <c r="X394" s="13">
        <v>0.5</v>
      </c>
      <c r="Y394" s="13">
        <v>1.25</v>
      </c>
      <c r="Z394" s="13" t="s">
        <v>177</v>
      </c>
      <c r="AA394" s="13">
        <v>8.8499999999999995E-2</v>
      </c>
      <c r="AB394" s="13">
        <v>8</v>
      </c>
      <c r="AC394" s="13" t="s">
        <v>274</v>
      </c>
      <c r="AD394" s="32" t="s">
        <v>32</v>
      </c>
      <c r="AE394" s="13">
        <v>0.9365</v>
      </c>
      <c r="AF394" s="13" t="s">
        <v>251</v>
      </c>
      <c r="AG394" s="13">
        <v>2016</v>
      </c>
      <c r="AH394" s="13" t="s">
        <v>275</v>
      </c>
      <c r="AI394" s="2">
        <v>50</v>
      </c>
      <c r="AJ394" s="2">
        <v>2</v>
      </c>
      <c r="AK394" s="2" t="s">
        <v>34</v>
      </c>
    </row>
    <row r="395" spans="1:37" x14ac:dyDescent="0.3">
      <c r="A395" s="11">
        <v>2.2080577269993902</v>
      </c>
      <c r="B395" s="11">
        <v>28.881393623758999</v>
      </c>
      <c r="C395" s="13" t="s">
        <v>33</v>
      </c>
      <c r="D395" s="13" t="s">
        <v>273</v>
      </c>
      <c r="E395" s="13" t="s">
        <v>170</v>
      </c>
      <c r="F395" s="13">
        <v>0.15</v>
      </c>
      <c r="G395" s="13">
        <v>0.28999999999999998</v>
      </c>
      <c r="H395" s="13">
        <v>0.22900000000000001</v>
      </c>
      <c r="I395" s="13">
        <v>0.317</v>
      </c>
      <c r="J395" s="13">
        <v>2.11</v>
      </c>
      <c r="K395" s="13">
        <v>1.1000000000000001</v>
      </c>
      <c r="L395" s="13">
        <v>0</v>
      </c>
      <c r="M395" s="13">
        <v>50</v>
      </c>
      <c r="N395" s="13">
        <v>1527.88</v>
      </c>
      <c r="O395" s="13">
        <v>0.89900000000000002</v>
      </c>
      <c r="P395" s="13">
        <v>0.54900000000000004</v>
      </c>
      <c r="Q395" s="13">
        <v>27.28</v>
      </c>
      <c r="R395" s="13">
        <v>2.653</v>
      </c>
      <c r="S395" s="13" t="s">
        <v>34</v>
      </c>
      <c r="T395" s="13" t="s">
        <v>49</v>
      </c>
      <c r="U395" s="13" t="s">
        <v>50</v>
      </c>
      <c r="V395" s="13" t="s">
        <v>162</v>
      </c>
      <c r="W395" s="13">
        <v>1</v>
      </c>
      <c r="X395" s="13">
        <v>0.5</v>
      </c>
      <c r="Y395" s="13">
        <v>1.25</v>
      </c>
      <c r="Z395" s="13" t="s">
        <v>177</v>
      </c>
      <c r="AA395" s="13">
        <v>8.8499999999999995E-2</v>
      </c>
      <c r="AB395" s="13">
        <v>8</v>
      </c>
      <c r="AC395" s="13" t="s">
        <v>274</v>
      </c>
      <c r="AD395" s="32" t="s">
        <v>32</v>
      </c>
      <c r="AE395" s="13">
        <v>0.9365</v>
      </c>
      <c r="AF395" s="13" t="s">
        <v>251</v>
      </c>
      <c r="AG395" s="13">
        <v>2016</v>
      </c>
      <c r="AH395" s="13" t="s">
        <v>275</v>
      </c>
      <c r="AI395" s="2">
        <v>50</v>
      </c>
      <c r="AJ395" s="2">
        <v>2</v>
      </c>
      <c r="AK395" s="2" t="s">
        <v>34</v>
      </c>
    </row>
    <row r="396" spans="1:37" x14ac:dyDescent="0.3">
      <c r="A396" s="11">
        <v>3.1389055923030602</v>
      </c>
      <c r="B396" s="11">
        <v>44.673486762516497</v>
      </c>
      <c r="C396" s="13" t="s">
        <v>33</v>
      </c>
      <c r="D396" s="13" t="s">
        <v>273</v>
      </c>
      <c r="E396" s="13" t="s">
        <v>170</v>
      </c>
      <c r="F396" s="13">
        <v>0.15</v>
      </c>
      <c r="G396" s="13">
        <v>0.28999999999999998</v>
      </c>
      <c r="H396" s="13">
        <v>0.22900000000000001</v>
      </c>
      <c r="I396" s="13">
        <v>0.317</v>
      </c>
      <c r="J396" s="13">
        <v>2.11</v>
      </c>
      <c r="K396" s="13">
        <v>1.1000000000000001</v>
      </c>
      <c r="L396" s="13">
        <v>0</v>
      </c>
      <c r="M396" s="13">
        <v>50</v>
      </c>
      <c r="N396" s="13">
        <v>1527.88</v>
      </c>
      <c r="O396" s="13">
        <v>0.89900000000000002</v>
      </c>
      <c r="P396" s="13">
        <v>0.54900000000000004</v>
      </c>
      <c r="Q396" s="13">
        <v>27.28</v>
      </c>
      <c r="R396" s="13">
        <v>2.653</v>
      </c>
      <c r="S396" s="13" t="s">
        <v>34</v>
      </c>
      <c r="T396" s="13" t="s">
        <v>49</v>
      </c>
      <c r="U396" s="13" t="s">
        <v>50</v>
      </c>
      <c r="V396" s="13" t="s">
        <v>162</v>
      </c>
      <c r="W396" s="13">
        <v>1</v>
      </c>
      <c r="X396" s="13">
        <v>0.5</v>
      </c>
      <c r="Y396" s="13">
        <v>1.25</v>
      </c>
      <c r="Z396" s="13" t="s">
        <v>177</v>
      </c>
      <c r="AA396" s="13">
        <v>8.8499999999999995E-2</v>
      </c>
      <c r="AB396" s="13">
        <v>8</v>
      </c>
      <c r="AC396" s="13" t="s">
        <v>274</v>
      </c>
      <c r="AD396" s="32" t="s">
        <v>32</v>
      </c>
      <c r="AE396" s="13">
        <v>0.9365</v>
      </c>
      <c r="AF396" s="13" t="s">
        <v>251</v>
      </c>
      <c r="AG396" s="13">
        <v>2016</v>
      </c>
      <c r="AH396" s="13" t="s">
        <v>275</v>
      </c>
      <c r="AI396" s="2">
        <v>50</v>
      </c>
      <c r="AJ396" s="2">
        <v>2</v>
      </c>
      <c r="AK396" s="2" t="s">
        <v>34</v>
      </c>
    </row>
    <row r="397" spans="1:37" x14ac:dyDescent="0.3">
      <c r="A397" s="11">
        <v>3.2760072158749201</v>
      </c>
      <c r="B397" s="11">
        <v>49.421764312422503</v>
      </c>
      <c r="C397" s="13" t="s">
        <v>33</v>
      </c>
      <c r="D397" s="13" t="s">
        <v>273</v>
      </c>
      <c r="E397" s="13" t="s">
        <v>170</v>
      </c>
      <c r="F397" s="13">
        <v>0.15</v>
      </c>
      <c r="G397" s="13">
        <v>0.28999999999999998</v>
      </c>
      <c r="H397" s="13">
        <v>0.22900000000000001</v>
      </c>
      <c r="I397" s="13">
        <v>0.317</v>
      </c>
      <c r="J397" s="13">
        <v>2.11</v>
      </c>
      <c r="K397" s="13">
        <v>1.1000000000000001</v>
      </c>
      <c r="L397" s="13">
        <v>0</v>
      </c>
      <c r="M397" s="13">
        <v>50</v>
      </c>
      <c r="N397" s="13">
        <v>1527.88</v>
      </c>
      <c r="O397" s="13">
        <v>0.89900000000000002</v>
      </c>
      <c r="P397" s="13">
        <v>0.54900000000000004</v>
      </c>
      <c r="Q397" s="13">
        <v>27.28</v>
      </c>
      <c r="R397" s="13">
        <v>2.653</v>
      </c>
      <c r="S397" s="13" t="s">
        <v>34</v>
      </c>
      <c r="T397" s="13" t="s">
        <v>49</v>
      </c>
      <c r="U397" s="13" t="s">
        <v>50</v>
      </c>
      <c r="V397" s="13" t="s">
        <v>162</v>
      </c>
      <c r="W397" s="13">
        <v>1</v>
      </c>
      <c r="X397" s="13">
        <v>0.5</v>
      </c>
      <c r="Y397" s="13">
        <v>1.25</v>
      </c>
      <c r="Z397" s="13" t="s">
        <v>177</v>
      </c>
      <c r="AA397" s="13">
        <v>8.8499999999999995E-2</v>
      </c>
      <c r="AB397" s="13">
        <v>8</v>
      </c>
      <c r="AC397" s="13" t="s">
        <v>274</v>
      </c>
      <c r="AD397" s="32" t="s">
        <v>32</v>
      </c>
      <c r="AE397" s="13">
        <v>0.9365</v>
      </c>
      <c r="AF397" s="13" t="s">
        <v>251</v>
      </c>
      <c r="AG397" s="13">
        <v>2016</v>
      </c>
      <c r="AH397" s="13" t="s">
        <v>275</v>
      </c>
      <c r="AI397" s="2">
        <v>50</v>
      </c>
      <c r="AJ397" s="2">
        <v>2</v>
      </c>
      <c r="AK397" s="2" t="s">
        <v>34</v>
      </c>
    </row>
    <row r="398" spans="1:37" x14ac:dyDescent="0.3">
      <c r="A398" s="11">
        <v>4.2573662056524304</v>
      </c>
      <c r="B398" s="11">
        <v>64.798552437267006</v>
      </c>
      <c r="C398" s="13" t="s">
        <v>33</v>
      </c>
      <c r="D398" s="13" t="s">
        <v>273</v>
      </c>
      <c r="E398" s="13" t="s">
        <v>170</v>
      </c>
      <c r="F398" s="13">
        <v>0.15</v>
      </c>
      <c r="G398" s="13">
        <v>0.28999999999999998</v>
      </c>
      <c r="H398" s="13">
        <v>0.22900000000000001</v>
      </c>
      <c r="I398" s="13">
        <v>0.317</v>
      </c>
      <c r="J398" s="13">
        <v>2.11</v>
      </c>
      <c r="K398" s="13">
        <v>1.1000000000000001</v>
      </c>
      <c r="L398" s="13">
        <v>0</v>
      </c>
      <c r="M398" s="13">
        <v>50</v>
      </c>
      <c r="N398" s="13">
        <v>1527.88</v>
      </c>
      <c r="O398" s="13">
        <v>0.89900000000000002</v>
      </c>
      <c r="P398" s="13">
        <v>0.54900000000000004</v>
      </c>
      <c r="Q398" s="13">
        <v>27.28</v>
      </c>
      <c r="R398" s="13">
        <v>2.653</v>
      </c>
      <c r="S398" s="13" t="s">
        <v>34</v>
      </c>
      <c r="T398" s="13" t="s">
        <v>49</v>
      </c>
      <c r="U398" s="13" t="s">
        <v>50</v>
      </c>
      <c r="V398" s="13" t="s">
        <v>162</v>
      </c>
      <c r="W398" s="13">
        <v>1</v>
      </c>
      <c r="X398" s="13">
        <v>0.5</v>
      </c>
      <c r="Y398" s="13">
        <v>1.25</v>
      </c>
      <c r="Z398" s="13" t="s">
        <v>177</v>
      </c>
      <c r="AA398" s="13">
        <v>8.8499999999999995E-2</v>
      </c>
      <c r="AB398" s="13">
        <v>8</v>
      </c>
      <c r="AC398" s="13" t="s">
        <v>274</v>
      </c>
      <c r="AD398" s="32" t="s">
        <v>32</v>
      </c>
      <c r="AE398" s="13">
        <v>0.9365</v>
      </c>
      <c r="AF398" s="13" t="s">
        <v>251</v>
      </c>
      <c r="AG398" s="13">
        <v>2016</v>
      </c>
      <c r="AH398" s="13" t="s">
        <v>275</v>
      </c>
      <c r="AI398" s="2">
        <v>50</v>
      </c>
      <c r="AJ398" s="2">
        <v>2</v>
      </c>
      <c r="AK398" s="2" t="s">
        <v>34</v>
      </c>
    </row>
    <row r="399" spans="1:37" x14ac:dyDescent="0.3">
      <c r="A399" s="11">
        <v>4.2501503307275996</v>
      </c>
      <c r="B399" s="11">
        <v>67.8430686540013</v>
      </c>
      <c r="C399" s="13" t="s">
        <v>33</v>
      </c>
      <c r="D399" s="13" t="s">
        <v>273</v>
      </c>
      <c r="E399" s="13" t="s">
        <v>170</v>
      </c>
      <c r="F399" s="13">
        <v>0.15</v>
      </c>
      <c r="G399" s="13">
        <v>0.28999999999999998</v>
      </c>
      <c r="H399" s="13">
        <v>0.22900000000000001</v>
      </c>
      <c r="I399" s="13">
        <v>0.317</v>
      </c>
      <c r="J399" s="13">
        <v>2.11</v>
      </c>
      <c r="K399" s="13">
        <v>1.1000000000000001</v>
      </c>
      <c r="L399" s="13">
        <v>0</v>
      </c>
      <c r="M399" s="13">
        <v>50</v>
      </c>
      <c r="N399" s="13">
        <v>1527.88</v>
      </c>
      <c r="O399" s="13">
        <v>0.89900000000000002</v>
      </c>
      <c r="P399" s="13">
        <v>0.54900000000000004</v>
      </c>
      <c r="Q399" s="13">
        <v>27.28</v>
      </c>
      <c r="R399" s="13">
        <v>2.653</v>
      </c>
      <c r="S399" s="13" t="s">
        <v>34</v>
      </c>
      <c r="T399" s="13" t="s">
        <v>49</v>
      </c>
      <c r="U399" s="13" t="s">
        <v>50</v>
      </c>
      <c r="V399" s="13" t="s">
        <v>162</v>
      </c>
      <c r="W399" s="13">
        <v>1</v>
      </c>
      <c r="X399" s="13">
        <v>0.5</v>
      </c>
      <c r="Y399" s="13">
        <v>1.25</v>
      </c>
      <c r="Z399" s="13" t="s">
        <v>177</v>
      </c>
      <c r="AA399" s="13">
        <v>8.8499999999999995E-2</v>
      </c>
      <c r="AB399" s="13">
        <v>8</v>
      </c>
      <c r="AC399" s="13" t="s">
        <v>274</v>
      </c>
      <c r="AD399" s="32" t="s">
        <v>32</v>
      </c>
      <c r="AE399" s="13">
        <v>0.9365</v>
      </c>
      <c r="AF399" s="13" t="s">
        <v>251</v>
      </c>
      <c r="AG399" s="13">
        <v>2016</v>
      </c>
      <c r="AH399" s="13" t="s">
        <v>275</v>
      </c>
      <c r="AI399" s="2">
        <v>50</v>
      </c>
      <c r="AJ399" s="2">
        <v>2</v>
      </c>
      <c r="AK399" s="2" t="s">
        <v>34</v>
      </c>
    </row>
    <row r="400" spans="1:37" x14ac:dyDescent="0.3">
      <c r="A400" s="11">
        <v>5.9386650631388997</v>
      </c>
      <c r="B400" s="11">
        <v>76.796949253539296</v>
      </c>
      <c r="C400" s="13" t="s">
        <v>33</v>
      </c>
      <c r="D400" s="13" t="s">
        <v>273</v>
      </c>
      <c r="E400" s="13" t="s">
        <v>170</v>
      </c>
      <c r="F400" s="13">
        <v>0.15</v>
      </c>
      <c r="G400" s="13">
        <v>0.28999999999999998</v>
      </c>
      <c r="H400" s="13">
        <v>0.22900000000000001</v>
      </c>
      <c r="I400" s="13">
        <v>0.317</v>
      </c>
      <c r="J400" s="13">
        <v>2.11</v>
      </c>
      <c r="K400" s="13">
        <v>1.1000000000000001</v>
      </c>
      <c r="L400" s="13">
        <v>0</v>
      </c>
      <c r="M400" s="13">
        <v>50</v>
      </c>
      <c r="N400" s="13">
        <v>1527.88</v>
      </c>
      <c r="O400" s="13">
        <v>0.89900000000000002</v>
      </c>
      <c r="P400" s="13">
        <v>0.54900000000000004</v>
      </c>
      <c r="Q400" s="13">
        <v>27.28</v>
      </c>
      <c r="R400" s="13">
        <v>2.653</v>
      </c>
      <c r="S400" s="13" t="s">
        <v>34</v>
      </c>
      <c r="T400" s="13" t="s">
        <v>49</v>
      </c>
      <c r="U400" s="13" t="s">
        <v>50</v>
      </c>
      <c r="V400" s="13" t="s">
        <v>162</v>
      </c>
      <c r="W400" s="13">
        <v>1</v>
      </c>
      <c r="X400" s="13">
        <v>0.5</v>
      </c>
      <c r="Y400" s="13">
        <v>1.25</v>
      </c>
      <c r="Z400" s="13" t="s">
        <v>177</v>
      </c>
      <c r="AA400" s="13">
        <v>8.8499999999999995E-2</v>
      </c>
      <c r="AB400" s="13">
        <v>8</v>
      </c>
      <c r="AC400" s="13" t="s">
        <v>274</v>
      </c>
      <c r="AD400" s="32" t="s">
        <v>32</v>
      </c>
      <c r="AE400" s="13">
        <v>0.9365</v>
      </c>
      <c r="AF400" s="13" t="s">
        <v>251</v>
      </c>
      <c r="AG400" s="13">
        <v>2016</v>
      </c>
      <c r="AH400" s="13" t="s">
        <v>275</v>
      </c>
      <c r="AI400" s="2">
        <v>50</v>
      </c>
      <c r="AJ400" s="2">
        <v>2</v>
      </c>
      <c r="AK400" s="2" t="s">
        <v>34</v>
      </c>
    </row>
    <row r="401" spans="1:37" x14ac:dyDescent="0.3">
      <c r="A401" s="11">
        <v>6.0324714371617496</v>
      </c>
      <c r="B401" s="11">
        <v>76.796949253539296</v>
      </c>
      <c r="C401" s="13" t="s">
        <v>33</v>
      </c>
      <c r="D401" s="13" t="s">
        <v>273</v>
      </c>
      <c r="E401" s="13" t="s">
        <v>170</v>
      </c>
      <c r="F401" s="13">
        <v>0.15</v>
      </c>
      <c r="G401" s="13">
        <v>0.28999999999999998</v>
      </c>
      <c r="H401" s="13">
        <v>0.22900000000000001</v>
      </c>
      <c r="I401" s="13">
        <v>0.317</v>
      </c>
      <c r="J401" s="13">
        <v>2.11</v>
      </c>
      <c r="K401" s="13">
        <v>1.1000000000000001</v>
      </c>
      <c r="L401" s="13">
        <v>0</v>
      </c>
      <c r="M401" s="13">
        <v>50</v>
      </c>
      <c r="N401" s="13">
        <v>1527.88</v>
      </c>
      <c r="O401" s="13">
        <v>0.89900000000000002</v>
      </c>
      <c r="P401" s="13">
        <v>0.54900000000000004</v>
      </c>
      <c r="Q401" s="13">
        <v>27.28</v>
      </c>
      <c r="R401" s="13">
        <v>2.653</v>
      </c>
      <c r="S401" s="13" t="s">
        <v>34</v>
      </c>
      <c r="T401" s="13" t="s">
        <v>49</v>
      </c>
      <c r="U401" s="13" t="s">
        <v>50</v>
      </c>
      <c r="V401" s="13" t="s">
        <v>162</v>
      </c>
      <c r="W401" s="13">
        <v>1</v>
      </c>
      <c r="X401" s="13">
        <v>0.5</v>
      </c>
      <c r="Y401" s="13">
        <v>1.25</v>
      </c>
      <c r="Z401" s="13" t="s">
        <v>177</v>
      </c>
      <c r="AA401" s="13">
        <v>8.8499999999999995E-2</v>
      </c>
      <c r="AB401" s="13">
        <v>8</v>
      </c>
      <c r="AC401" s="13" t="s">
        <v>274</v>
      </c>
      <c r="AD401" s="32" t="s">
        <v>32</v>
      </c>
      <c r="AE401" s="13">
        <v>0.9365</v>
      </c>
      <c r="AF401" s="13" t="s">
        <v>251</v>
      </c>
      <c r="AG401" s="13">
        <v>2016</v>
      </c>
      <c r="AH401" s="13" t="s">
        <v>275</v>
      </c>
      <c r="AI401" s="2">
        <v>50</v>
      </c>
      <c r="AJ401" s="2">
        <v>2</v>
      </c>
      <c r="AK401" s="2" t="s">
        <v>34</v>
      </c>
    </row>
    <row r="402" spans="1:37" x14ac:dyDescent="0.3">
      <c r="A402" s="31">
        <v>8.6085387853277098</v>
      </c>
      <c r="B402" s="31">
        <v>150.13107289081699</v>
      </c>
      <c r="C402" s="32" t="s">
        <v>33</v>
      </c>
      <c r="D402" s="32" t="s">
        <v>273</v>
      </c>
      <c r="E402" s="32" t="s">
        <v>170</v>
      </c>
      <c r="F402" s="32">
        <v>0.15</v>
      </c>
      <c r="G402" s="32">
        <v>0.28999999999999998</v>
      </c>
      <c r="H402" s="32">
        <v>0.22900000000000001</v>
      </c>
      <c r="I402" s="32">
        <v>0.317</v>
      </c>
      <c r="J402" s="32">
        <v>2.11</v>
      </c>
      <c r="K402" s="32">
        <v>1.1000000000000001</v>
      </c>
      <c r="L402" s="32">
        <v>0</v>
      </c>
      <c r="M402" s="32">
        <v>50</v>
      </c>
      <c r="N402" s="32">
        <v>1527.88</v>
      </c>
      <c r="O402" s="32">
        <v>0.89900000000000002</v>
      </c>
      <c r="P402" s="32">
        <v>0.54900000000000004</v>
      </c>
      <c r="Q402" s="32">
        <v>27.28</v>
      </c>
      <c r="R402" s="32">
        <v>2.653</v>
      </c>
      <c r="S402" s="32" t="s">
        <v>34</v>
      </c>
      <c r="T402" s="32" t="s">
        <v>49</v>
      </c>
      <c r="U402" s="32" t="s">
        <v>50</v>
      </c>
      <c r="V402" s="32" t="s">
        <v>162</v>
      </c>
      <c r="W402" s="32">
        <v>1</v>
      </c>
      <c r="X402" s="32">
        <v>0.5</v>
      </c>
      <c r="Y402" s="32">
        <v>1.25</v>
      </c>
      <c r="Z402" s="32" t="s">
        <v>177</v>
      </c>
      <c r="AA402" s="32">
        <v>8.8499999999999995E-2</v>
      </c>
      <c r="AB402" s="32">
        <v>8</v>
      </c>
      <c r="AC402" s="32" t="s">
        <v>274</v>
      </c>
      <c r="AD402" s="32" t="s">
        <v>32</v>
      </c>
      <c r="AE402" s="32">
        <v>0.9365</v>
      </c>
      <c r="AF402" s="32" t="s">
        <v>251</v>
      </c>
      <c r="AG402" s="32">
        <v>2016</v>
      </c>
      <c r="AH402" s="32" t="s">
        <v>275</v>
      </c>
      <c r="AI402" s="2">
        <v>50</v>
      </c>
      <c r="AJ402" s="2">
        <v>2</v>
      </c>
      <c r="AK402" s="2" t="s">
        <v>34</v>
      </c>
    </row>
    <row r="403" spans="1:37" s="34" customFormat="1" ht="16.2" thickBot="1" x14ac:dyDescent="0.35">
      <c r="A403" s="17">
        <v>8.5147324113048608</v>
      </c>
      <c r="B403" s="17">
        <v>109.869555602478</v>
      </c>
      <c r="C403" s="14" t="s">
        <v>33</v>
      </c>
      <c r="D403" s="14" t="s">
        <v>273</v>
      </c>
      <c r="E403" s="14" t="s">
        <v>170</v>
      </c>
      <c r="F403" s="14">
        <v>0.15</v>
      </c>
      <c r="G403" s="14">
        <v>0.28999999999999998</v>
      </c>
      <c r="H403" s="14">
        <v>0.22900000000000001</v>
      </c>
      <c r="I403" s="14">
        <v>0.317</v>
      </c>
      <c r="J403" s="14">
        <v>2.11</v>
      </c>
      <c r="K403" s="14">
        <v>1.1000000000000001</v>
      </c>
      <c r="L403" s="14">
        <v>0</v>
      </c>
      <c r="M403" s="14">
        <v>50</v>
      </c>
      <c r="N403" s="14">
        <v>1527.88</v>
      </c>
      <c r="O403" s="14">
        <v>0.89900000000000002</v>
      </c>
      <c r="P403" s="14">
        <v>0.54900000000000004</v>
      </c>
      <c r="Q403" s="14">
        <v>27.28</v>
      </c>
      <c r="R403" s="14">
        <v>2.653</v>
      </c>
      <c r="S403" s="14" t="s">
        <v>34</v>
      </c>
      <c r="T403" s="14" t="s">
        <v>49</v>
      </c>
      <c r="U403" s="14" t="s">
        <v>50</v>
      </c>
      <c r="V403" s="14" t="s">
        <v>162</v>
      </c>
      <c r="W403" s="14">
        <v>1</v>
      </c>
      <c r="X403" s="14">
        <v>0.5</v>
      </c>
      <c r="Y403" s="14">
        <v>1.25</v>
      </c>
      <c r="Z403" s="14" t="s">
        <v>177</v>
      </c>
      <c r="AA403" s="14">
        <v>8.8499999999999995E-2</v>
      </c>
      <c r="AB403" s="14">
        <v>8</v>
      </c>
      <c r="AC403" s="14" t="s">
        <v>274</v>
      </c>
      <c r="AD403" s="14" t="s">
        <v>32</v>
      </c>
      <c r="AE403" s="14">
        <v>0.9365</v>
      </c>
      <c r="AF403" s="14" t="s">
        <v>251</v>
      </c>
      <c r="AG403" s="14">
        <v>2016</v>
      </c>
      <c r="AH403" s="14" t="s">
        <v>275</v>
      </c>
      <c r="AI403" s="61">
        <v>50</v>
      </c>
      <c r="AJ403" s="15">
        <v>2</v>
      </c>
      <c r="AK403" s="15" t="s">
        <v>34</v>
      </c>
    </row>
    <row r="404" spans="1:37" x14ac:dyDescent="0.3">
      <c r="A404" s="12">
        <v>5.8844765342960201</v>
      </c>
      <c r="B404" s="12">
        <v>376.68161434977497</v>
      </c>
      <c r="C404" s="13" t="s">
        <v>33</v>
      </c>
      <c r="D404" s="13" t="s">
        <v>212</v>
      </c>
      <c r="E404" s="13" t="s">
        <v>170</v>
      </c>
      <c r="F404" s="13" t="s">
        <v>34</v>
      </c>
      <c r="G404" s="13">
        <v>0.72</v>
      </c>
      <c r="H404" s="13" t="s">
        <v>34</v>
      </c>
      <c r="I404" s="13" t="s">
        <v>34</v>
      </c>
      <c r="J404" s="13">
        <v>1.2</v>
      </c>
      <c r="K404" s="13" t="s">
        <v>34</v>
      </c>
      <c r="L404" s="13">
        <v>0</v>
      </c>
      <c r="M404" s="13">
        <v>57</v>
      </c>
      <c r="N404" s="13" t="s">
        <v>34</v>
      </c>
      <c r="O404" s="13">
        <v>0.74199999999999999</v>
      </c>
      <c r="P404" s="13">
        <v>0.502</v>
      </c>
      <c r="Q404" s="13">
        <v>22.64</v>
      </c>
      <c r="R404" s="13">
        <v>2.65</v>
      </c>
      <c r="S404" s="13" t="s">
        <v>34</v>
      </c>
      <c r="T404" s="13" t="s">
        <v>49</v>
      </c>
      <c r="U404" s="13" t="s">
        <v>276</v>
      </c>
      <c r="V404" s="13" t="s">
        <v>162</v>
      </c>
      <c r="W404" s="13">
        <v>3</v>
      </c>
      <c r="X404" s="13">
        <v>2</v>
      </c>
      <c r="Y404" s="13">
        <v>1</v>
      </c>
      <c r="Z404" s="13" t="s">
        <v>276</v>
      </c>
      <c r="AA404" s="13">
        <v>1.56</v>
      </c>
      <c r="AB404" s="13">
        <v>8.8000000000000007</v>
      </c>
      <c r="AC404" s="13" t="s">
        <v>40</v>
      </c>
      <c r="AD404" s="13" t="s">
        <v>277</v>
      </c>
      <c r="AE404" s="13">
        <v>0.11</v>
      </c>
      <c r="AF404" s="13" t="s">
        <v>278</v>
      </c>
      <c r="AG404" s="13">
        <v>2022</v>
      </c>
      <c r="AH404" s="13" t="s">
        <v>279</v>
      </c>
      <c r="AI404" s="2">
        <v>50</v>
      </c>
      <c r="AJ404" s="2">
        <v>2</v>
      </c>
      <c r="AK404" s="2">
        <v>1</v>
      </c>
    </row>
    <row r="405" spans="1:37" x14ac:dyDescent="0.3">
      <c r="A405" s="11">
        <v>6.2599277978339298</v>
      </c>
      <c r="B405" s="11">
        <v>566.81614349775703</v>
      </c>
      <c r="C405" s="10" t="s">
        <v>33</v>
      </c>
      <c r="D405" s="10" t="s">
        <v>213</v>
      </c>
      <c r="E405" s="10" t="s">
        <v>170</v>
      </c>
      <c r="F405" s="10" t="s">
        <v>34</v>
      </c>
      <c r="G405" s="10">
        <v>0.72</v>
      </c>
      <c r="H405" s="10" t="s">
        <v>34</v>
      </c>
      <c r="I405" s="10" t="s">
        <v>34</v>
      </c>
      <c r="J405" s="10">
        <v>1.2</v>
      </c>
      <c r="K405" s="10" t="s">
        <v>34</v>
      </c>
      <c r="L405" s="10">
        <v>0</v>
      </c>
      <c r="M405" s="10">
        <v>57</v>
      </c>
      <c r="N405" s="10" t="s">
        <v>34</v>
      </c>
      <c r="O405" s="10">
        <v>0.74199999999999999</v>
      </c>
      <c r="P405" s="10">
        <v>0.502</v>
      </c>
      <c r="Q405" s="10">
        <v>22.64</v>
      </c>
      <c r="R405" s="10">
        <v>2.65</v>
      </c>
      <c r="S405" s="10" t="s">
        <v>34</v>
      </c>
      <c r="T405" s="10" t="s">
        <v>49</v>
      </c>
      <c r="U405" s="10" t="s">
        <v>276</v>
      </c>
      <c r="V405" s="10" t="s">
        <v>162</v>
      </c>
      <c r="W405" s="10">
        <v>3</v>
      </c>
      <c r="X405" s="10">
        <v>2</v>
      </c>
      <c r="Y405" s="10">
        <v>1</v>
      </c>
      <c r="Z405" s="10" t="s">
        <v>276</v>
      </c>
      <c r="AA405" s="10">
        <v>1.56</v>
      </c>
      <c r="AB405" s="10">
        <v>8.8000000000000007</v>
      </c>
      <c r="AC405" s="10" t="s">
        <v>40</v>
      </c>
      <c r="AD405" s="10" t="s">
        <v>277</v>
      </c>
      <c r="AE405" s="10">
        <v>0.11</v>
      </c>
      <c r="AF405" s="10" t="s">
        <v>278</v>
      </c>
      <c r="AG405" s="10">
        <v>2022</v>
      </c>
      <c r="AH405" s="10" t="s">
        <v>279</v>
      </c>
      <c r="AI405" s="2">
        <v>50</v>
      </c>
      <c r="AJ405" s="2">
        <v>2</v>
      </c>
      <c r="AK405" s="2">
        <v>1</v>
      </c>
    </row>
    <row r="406" spans="1:37" x14ac:dyDescent="0.3">
      <c r="A406" s="11">
        <v>5.8050541516245397</v>
      </c>
      <c r="B406" s="11">
        <v>208.07174887892299</v>
      </c>
      <c r="C406" s="10" t="s">
        <v>33</v>
      </c>
      <c r="D406" s="10" t="s">
        <v>214</v>
      </c>
      <c r="E406" s="10" t="s">
        <v>170</v>
      </c>
      <c r="F406" s="10" t="s">
        <v>34</v>
      </c>
      <c r="G406" s="10">
        <v>0.72</v>
      </c>
      <c r="H406" s="10" t="s">
        <v>34</v>
      </c>
      <c r="I406" s="10" t="s">
        <v>34</v>
      </c>
      <c r="J406" s="10">
        <v>1.2</v>
      </c>
      <c r="K406" s="10" t="s">
        <v>34</v>
      </c>
      <c r="L406" s="10">
        <v>0</v>
      </c>
      <c r="M406" s="10">
        <v>57</v>
      </c>
      <c r="N406" s="10" t="s">
        <v>34</v>
      </c>
      <c r="O406" s="10">
        <v>0.74199999999999999</v>
      </c>
      <c r="P406" s="10">
        <v>0.502</v>
      </c>
      <c r="Q406" s="10">
        <v>22.64</v>
      </c>
      <c r="R406" s="10">
        <v>2.65</v>
      </c>
      <c r="S406" s="10" t="s">
        <v>34</v>
      </c>
      <c r="T406" s="10" t="s">
        <v>36</v>
      </c>
      <c r="U406" s="10" t="s">
        <v>39</v>
      </c>
      <c r="V406" s="10" t="s">
        <v>162</v>
      </c>
      <c r="W406" s="10">
        <v>3</v>
      </c>
      <c r="X406" s="10">
        <v>2</v>
      </c>
      <c r="Y406" s="10">
        <v>1</v>
      </c>
      <c r="Z406" s="10" t="s">
        <v>39</v>
      </c>
      <c r="AA406" s="10">
        <v>0.48</v>
      </c>
      <c r="AB406" s="10">
        <v>8.8000000000000007</v>
      </c>
      <c r="AC406" s="10" t="s">
        <v>40</v>
      </c>
      <c r="AD406" s="10" t="s">
        <v>277</v>
      </c>
      <c r="AE406" s="10">
        <v>0.11</v>
      </c>
      <c r="AF406" s="10" t="s">
        <v>278</v>
      </c>
      <c r="AG406" s="10">
        <v>2022</v>
      </c>
      <c r="AH406" s="10" t="s">
        <v>279</v>
      </c>
      <c r="AI406" s="2">
        <v>50</v>
      </c>
      <c r="AJ406" s="2">
        <v>2</v>
      </c>
      <c r="AK406" s="2">
        <v>1</v>
      </c>
    </row>
    <row r="407" spans="1:37" x14ac:dyDescent="0.3">
      <c r="A407" s="11">
        <v>5.7039711191335698</v>
      </c>
      <c r="B407" s="11">
        <v>312.10762331838498</v>
      </c>
      <c r="C407" s="10" t="s">
        <v>33</v>
      </c>
      <c r="D407" s="10" t="s">
        <v>215</v>
      </c>
      <c r="E407" s="10" t="s">
        <v>170</v>
      </c>
      <c r="F407" s="10" t="s">
        <v>34</v>
      </c>
      <c r="G407" s="10">
        <v>0.72</v>
      </c>
      <c r="H407" s="10" t="s">
        <v>34</v>
      </c>
      <c r="I407" s="10" t="s">
        <v>34</v>
      </c>
      <c r="J407" s="10">
        <v>1.2</v>
      </c>
      <c r="K407" s="10" t="s">
        <v>34</v>
      </c>
      <c r="L407" s="10">
        <v>0</v>
      </c>
      <c r="M407" s="10">
        <v>57</v>
      </c>
      <c r="N407" s="10" t="s">
        <v>34</v>
      </c>
      <c r="O407" s="10">
        <v>0.74199999999999999</v>
      </c>
      <c r="P407" s="10">
        <v>0.502</v>
      </c>
      <c r="Q407" s="10">
        <v>22.64</v>
      </c>
      <c r="R407" s="10">
        <v>2.65</v>
      </c>
      <c r="S407" s="10" t="s">
        <v>34</v>
      </c>
      <c r="T407" s="10" t="s">
        <v>36</v>
      </c>
      <c r="U407" s="10" t="s">
        <v>39</v>
      </c>
      <c r="V407" s="10" t="s">
        <v>162</v>
      </c>
      <c r="W407" s="10">
        <v>3</v>
      </c>
      <c r="X407" s="10">
        <v>2</v>
      </c>
      <c r="Y407" s="10">
        <v>1</v>
      </c>
      <c r="Z407" s="10" t="s">
        <v>39</v>
      </c>
      <c r="AA407" s="10">
        <v>0.48</v>
      </c>
      <c r="AB407" s="10">
        <v>8.8000000000000007</v>
      </c>
      <c r="AC407" s="10" t="s">
        <v>40</v>
      </c>
      <c r="AD407" s="10" t="s">
        <v>277</v>
      </c>
      <c r="AE407" s="10">
        <v>0.11</v>
      </c>
      <c r="AF407" s="10" t="s">
        <v>278</v>
      </c>
      <c r="AG407" s="10">
        <v>2022</v>
      </c>
      <c r="AH407" s="10" t="s">
        <v>279</v>
      </c>
      <c r="AI407" s="2">
        <v>50</v>
      </c>
      <c r="AJ407" s="2">
        <v>2</v>
      </c>
      <c r="AK407" s="2">
        <v>1</v>
      </c>
    </row>
    <row r="408" spans="1:37" x14ac:dyDescent="0.3">
      <c r="A408" s="11">
        <v>5.5234657039711097</v>
      </c>
      <c r="B408" s="11">
        <v>319.28251121076102</v>
      </c>
      <c r="C408" s="10" t="s">
        <v>33</v>
      </c>
      <c r="D408" s="10" t="s">
        <v>216</v>
      </c>
      <c r="E408" s="10" t="s">
        <v>170</v>
      </c>
      <c r="F408" s="10" t="s">
        <v>34</v>
      </c>
      <c r="G408" s="10">
        <v>0.72</v>
      </c>
      <c r="H408" s="10" t="s">
        <v>34</v>
      </c>
      <c r="I408" s="10" t="s">
        <v>34</v>
      </c>
      <c r="J408" s="10">
        <v>1.2</v>
      </c>
      <c r="K408" s="10" t="s">
        <v>34</v>
      </c>
      <c r="L408" s="10">
        <v>0</v>
      </c>
      <c r="M408" s="10">
        <v>57</v>
      </c>
      <c r="N408" s="10" t="s">
        <v>34</v>
      </c>
      <c r="O408" s="10">
        <v>0.74199999999999999</v>
      </c>
      <c r="P408" s="10">
        <v>0.502</v>
      </c>
      <c r="Q408" s="10">
        <v>22.64</v>
      </c>
      <c r="R408" s="10">
        <v>2.65</v>
      </c>
      <c r="S408" s="10" t="s">
        <v>34</v>
      </c>
      <c r="T408" s="10" t="s">
        <v>36</v>
      </c>
      <c r="U408" s="10" t="s">
        <v>39</v>
      </c>
      <c r="V408" s="10" t="s">
        <v>162</v>
      </c>
      <c r="W408" s="10">
        <v>3</v>
      </c>
      <c r="X408" s="10">
        <v>2</v>
      </c>
      <c r="Y408" s="10">
        <v>1</v>
      </c>
      <c r="Z408" s="10" t="s">
        <v>39</v>
      </c>
      <c r="AA408" s="10">
        <v>0.48</v>
      </c>
      <c r="AB408" s="10">
        <v>8.8000000000000007</v>
      </c>
      <c r="AC408" s="10" t="s">
        <v>40</v>
      </c>
      <c r="AD408" s="10" t="s">
        <v>277</v>
      </c>
      <c r="AE408" s="10">
        <v>0.11</v>
      </c>
      <c r="AF408" s="10" t="s">
        <v>278</v>
      </c>
      <c r="AG408" s="10">
        <v>2022</v>
      </c>
      <c r="AH408" s="10" t="s">
        <v>279</v>
      </c>
      <c r="AI408" s="2">
        <v>50</v>
      </c>
      <c r="AJ408" s="2">
        <v>2</v>
      </c>
      <c r="AK408" s="2">
        <v>1</v>
      </c>
    </row>
    <row r="409" spans="1:37" x14ac:dyDescent="0.3">
      <c r="A409" s="11">
        <v>6.4187725631768897</v>
      </c>
      <c r="B409" s="11">
        <v>1327.3542600896801</v>
      </c>
      <c r="C409" s="10" t="s">
        <v>33</v>
      </c>
      <c r="D409" s="10" t="s">
        <v>280</v>
      </c>
      <c r="E409" s="10" t="s">
        <v>170</v>
      </c>
      <c r="F409" s="10" t="s">
        <v>34</v>
      </c>
      <c r="G409" s="10">
        <v>0.72</v>
      </c>
      <c r="H409" s="10" t="s">
        <v>34</v>
      </c>
      <c r="I409" s="10" t="s">
        <v>34</v>
      </c>
      <c r="J409" s="10">
        <v>1.2</v>
      </c>
      <c r="K409" s="10" t="s">
        <v>34</v>
      </c>
      <c r="L409" s="10">
        <v>0</v>
      </c>
      <c r="M409" s="10">
        <v>57</v>
      </c>
      <c r="N409" s="10" t="s">
        <v>34</v>
      </c>
      <c r="O409" s="10">
        <v>0.74199999999999999</v>
      </c>
      <c r="P409" s="10">
        <v>0.502</v>
      </c>
      <c r="Q409" s="10">
        <v>22.64</v>
      </c>
      <c r="R409" s="10">
        <v>2.65</v>
      </c>
      <c r="S409" s="10" t="s">
        <v>34</v>
      </c>
      <c r="T409" s="10" t="s">
        <v>49</v>
      </c>
      <c r="U409" s="10" t="s">
        <v>276</v>
      </c>
      <c r="V409" s="10" t="s">
        <v>162</v>
      </c>
      <c r="W409" s="10">
        <v>3</v>
      </c>
      <c r="X409" s="10">
        <v>2</v>
      </c>
      <c r="Y409" s="10">
        <v>1</v>
      </c>
      <c r="Z409" s="10" t="s">
        <v>276</v>
      </c>
      <c r="AA409" s="10">
        <v>1.56</v>
      </c>
      <c r="AB409" s="10">
        <v>7</v>
      </c>
      <c r="AC409" s="10" t="s">
        <v>281</v>
      </c>
      <c r="AD409" s="10" t="s">
        <v>277</v>
      </c>
      <c r="AE409" s="10">
        <v>0.11</v>
      </c>
      <c r="AF409" s="10" t="s">
        <v>278</v>
      </c>
      <c r="AG409" s="10">
        <v>2022</v>
      </c>
      <c r="AH409" s="10" t="s">
        <v>279</v>
      </c>
      <c r="AI409" s="2">
        <v>50</v>
      </c>
      <c r="AJ409" s="2">
        <v>2</v>
      </c>
      <c r="AK409" s="2">
        <v>1</v>
      </c>
    </row>
    <row r="410" spans="1:37" x14ac:dyDescent="0.3">
      <c r="A410" s="11">
        <v>6.4115523465703896</v>
      </c>
      <c r="B410" s="11">
        <v>1736.3228699551501</v>
      </c>
      <c r="C410" s="10" t="s">
        <v>33</v>
      </c>
      <c r="D410" s="10" t="s">
        <v>282</v>
      </c>
      <c r="E410" s="10" t="s">
        <v>170</v>
      </c>
      <c r="F410" s="10" t="s">
        <v>34</v>
      </c>
      <c r="G410" s="10">
        <v>0.72</v>
      </c>
      <c r="H410" s="10" t="s">
        <v>34</v>
      </c>
      <c r="I410" s="10" t="s">
        <v>34</v>
      </c>
      <c r="J410" s="10">
        <v>1.2</v>
      </c>
      <c r="K410" s="10" t="s">
        <v>34</v>
      </c>
      <c r="L410" s="10">
        <v>0</v>
      </c>
      <c r="M410" s="10">
        <v>57</v>
      </c>
      <c r="N410" s="10" t="s">
        <v>34</v>
      </c>
      <c r="O410" s="10">
        <v>0.74199999999999999</v>
      </c>
      <c r="P410" s="10">
        <v>0.502</v>
      </c>
      <c r="Q410" s="10">
        <v>22.64</v>
      </c>
      <c r="R410" s="10">
        <v>2.65</v>
      </c>
      <c r="S410" s="10" t="s">
        <v>34</v>
      </c>
      <c r="T410" s="10" t="s">
        <v>49</v>
      </c>
      <c r="U410" s="10" t="s">
        <v>276</v>
      </c>
      <c r="V410" s="10" t="s">
        <v>162</v>
      </c>
      <c r="W410" s="10">
        <v>3</v>
      </c>
      <c r="X410" s="10">
        <v>2</v>
      </c>
      <c r="Y410" s="10">
        <v>1</v>
      </c>
      <c r="Z410" s="10" t="s">
        <v>276</v>
      </c>
      <c r="AA410" s="10">
        <v>1.56</v>
      </c>
      <c r="AB410" s="10">
        <v>7</v>
      </c>
      <c r="AC410" s="10" t="s">
        <v>281</v>
      </c>
      <c r="AD410" s="10" t="s">
        <v>277</v>
      </c>
      <c r="AE410" s="10">
        <v>0.11</v>
      </c>
      <c r="AF410" s="10" t="s">
        <v>278</v>
      </c>
      <c r="AG410" s="10">
        <v>2022</v>
      </c>
      <c r="AH410" s="10" t="s">
        <v>279</v>
      </c>
      <c r="AI410" s="2">
        <v>50</v>
      </c>
      <c r="AJ410" s="2">
        <v>2</v>
      </c>
      <c r="AK410" s="2">
        <v>1</v>
      </c>
    </row>
    <row r="411" spans="1:37" x14ac:dyDescent="0.3">
      <c r="A411" s="11">
        <v>6.3249097472924101</v>
      </c>
      <c r="B411" s="11">
        <v>1890.58295964125</v>
      </c>
      <c r="C411" s="10" t="s">
        <v>33</v>
      </c>
      <c r="D411" s="10" t="s">
        <v>283</v>
      </c>
      <c r="E411" s="10" t="s">
        <v>170</v>
      </c>
      <c r="F411" s="10" t="s">
        <v>34</v>
      </c>
      <c r="G411" s="10">
        <v>0.72</v>
      </c>
      <c r="H411" s="10" t="s">
        <v>34</v>
      </c>
      <c r="I411" s="10" t="s">
        <v>34</v>
      </c>
      <c r="J411" s="10">
        <v>1.2</v>
      </c>
      <c r="K411" s="10" t="s">
        <v>34</v>
      </c>
      <c r="L411" s="10">
        <v>0</v>
      </c>
      <c r="M411" s="10">
        <v>57</v>
      </c>
      <c r="N411" s="10" t="s">
        <v>34</v>
      </c>
      <c r="O411" s="10">
        <v>0.74199999999999999</v>
      </c>
      <c r="P411" s="10">
        <v>0.502</v>
      </c>
      <c r="Q411" s="10">
        <v>22.64</v>
      </c>
      <c r="R411" s="10">
        <v>2.65</v>
      </c>
      <c r="S411" s="10" t="s">
        <v>34</v>
      </c>
      <c r="T411" s="10" t="s">
        <v>49</v>
      </c>
      <c r="U411" s="10" t="s">
        <v>276</v>
      </c>
      <c r="V411" s="10" t="s">
        <v>162</v>
      </c>
      <c r="W411" s="10">
        <v>3</v>
      </c>
      <c r="X411" s="10">
        <v>2</v>
      </c>
      <c r="Y411" s="10">
        <v>1</v>
      </c>
      <c r="Z411" s="10" t="s">
        <v>276</v>
      </c>
      <c r="AA411" s="10">
        <v>1.56</v>
      </c>
      <c r="AB411" s="10">
        <v>7</v>
      </c>
      <c r="AC411" s="10" t="s">
        <v>281</v>
      </c>
      <c r="AD411" s="10" t="s">
        <v>277</v>
      </c>
      <c r="AE411" s="10">
        <v>0.11</v>
      </c>
      <c r="AF411" s="10" t="s">
        <v>278</v>
      </c>
      <c r="AG411" s="10">
        <v>2022</v>
      </c>
      <c r="AH411" s="10" t="s">
        <v>279</v>
      </c>
      <c r="AI411" s="2">
        <v>50</v>
      </c>
      <c r="AJ411" s="2">
        <v>2</v>
      </c>
      <c r="AK411" s="2">
        <v>1</v>
      </c>
    </row>
    <row r="412" spans="1:37" x14ac:dyDescent="0.3">
      <c r="A412" s="11">
        <v>5.1841155234657004</v>
      </c>
      <c r="B412" s="11">
        <v>387.44394618834002</v>
      </c>
      <c r="C412" s="10" t="s">
        <v>33</v>
      </c>
      <c r="D412" s="10" t="s">
        <v>284</v>
      </c>
      <c r="E412" s="10" t="s">
        <v>170</v>
      </c>
      <c r="F412" s="10" t="s">
        <v>34</v>
      </c>
      <c r="G412" s="10">
        <v>0.72</v>
      </c>
      <c r="H412" s="10" t="s">
        <v>34</v>
      </c>
      <c r="I412" s="10" t="s">
        <v>34</v>
      </c>
      <c r="J412" s="10">
        <v>1.2</v>
      </c>
      <c r="K412" s="10" t="s">
        <v>34</v>
      </c>
      <c r="L412" s="10">
        <v>0</v>
      </c>
      <c r="M412" s="10">
        <v>57</v>
      </c>
      <c r="N412" s="10" t="s">
        <v>34</v>
      </c>
      <c r="O412" s="10">
        <v>0.74199999999999999</v>
      </c>
      <c r="P412" s="10">
        <v>0.502</v>
      </c>
      <c r="Q412" s="10">
        <v>22.64</v>
      </c>
      <c r="R412" s="10">
        <v>2.65</v>
      </c>
      <c r="S412" s="10" t="s">
        <v>34</v>
      </c>
      <c r="T412" s="10" t="s">
        <v>36</v>
      </c>
      <c r="U412" s="10" t="s">
        <v>39</v>
      </c>
      <c r="V412" s="10" t="s">
        <v>162</v>
      </c>
      <c r="W412" s="10">
        <v>3</v>
      </c>
      <c r="X412" s="10">
        <v>2</v>
      </c>
      <c r="Y412" s="10">
        <v>1</v>
      </c>
      <c r="Z412" s="10" t="s">
        <v>39</v>
      </c>
      <c r="AA412" s="10">
        <v>0.48</v>
      </c>
      <c r="AB412" s="10">
        <v>7</v>
      </c>
      <c r="AC412" s="10" t="s">
        <v>281</v>
      </c>
      <c r="AD412" s="10" t="s">
        <v>277</v>
      </c>
      <c r="AE412" s="10">
        <v>0.11</v>
      </c>
      <c r="AF412" s="10" t="s">
        <v>278</v>
      </c>
      <c r="AG412" s="10">
        <v>2022</v>
      </c>
      <c r="AH412" s="10" t="s">
        <v>279</v>
      </c>
      <c r="AI412" s="2">
        <v>50</v>
      </c>
      <c r="AJ412" s="2">
        <v>2</v>
      </c>
      <c r="AK412" s="2">
        <v>1</v>
      </c>
    </row>
    <row r="413" spans="1:37" x14ac:dyDescent="0.3">
      <c r="A413" s="11">
        <v>5.2418772563176796</v>
      </c>
      <c r="B413" s="11">
        <v>505.82959641255502</v>
      </c>
      <c r="C413" s="10" t="s">
        <v>33</v>
      </c>
      <c r="D413" s="10" t="s">
        <v>285</v>
      </c>
      <c r="E413" s="10" t="s">
        <v>170</v>
      </c>
      <c r="F413" s="10" t="s">
        <v>34</v>
      </c>
      <c r="G413" s="10">
        <v>0.72</v>
      </c>
      <c r="H413" s="10" t="s">
        <v>34</v>
      </c>
      <c r="I413" s="10" t="s">
        <v>34</v>
      </c>
      <c r="J413" s="10">
        <v>1.2</v>
      </c>
      <c r="K413" s="10" t="s">
        <v>34</v>
      </c>
      <c r="L413" s="10">
        <v>0</v>
      </c>
      <c r="M413" s="10">
        <v>57</v>
      </c>
      <c r="N413" s="10" t="s">
        <v>34</v>
      </c>
      <c r="O413" s="10">
        <v>0.74199999999999999</v>
      </c>
      <c r="P413" s="10">
        <v>0.502</v>
      </c>
      <c r="Q413" s="10">
        <v>22.64</v>
      </c>
      <c r="R413" s="10">
        <v>2.65</v>
      </c>
      <c r="S413" s="10" t="s">
        <v>34</v>
      </c>
      <c r="T413" s="10" t="s">
        <v>36</v>
      </c>
      <c r="U413" s="10" t="s">
        <v>39</v>
      </c>
      <c r="V413" s="10" t="s">
        <v>162</v>
      </c>
      <c r="W413" s="10">
        <v>3</v>
      </c>
      <c r="X413" s="10">
        <v>2</v>
      </c>
      <c r="Y413" s="10">
        <v>1</v>
      </c>
      <c r="Z413" s="10" t="s">
        <v>39</v>
      </c>
      <c r="AA413" s="10">
        <v>0.48</v>
      </c>
      <c r="AB413" s="10">
        <v>7</v>
      </c>
      <c r="AC413" s="10" t="s">
        <v>281</v>
      </c>
      <c r="AD413" s="10" t="s">
        <v>277</v>
      </c>
      <c r="AE413" s="10">
        <v>0.11</v>
      </c>
      <c r="AF413" s="10" t="s">
        <v>278</v>
      </c>
      <c r="AG413" s="10">
        <v>2022</v>
      </c>
      <c r="AH413" s="10" t="s">
        <v>279</v>
      </c>
      <c r="AI413" s="2">
        <v>50</v>
      </c>
      <c r="AJ413" s="2">
        <v>2</v>
      </c>
      <c r="AK413" s="2">
        <v>1</v>
      </c>
    </row>
    <row r="414" spans="1:37" x14ac:dyDescent="0.3">
      <c r="A414" s="11">
        <v>5.0758122743682303</v>
      </c>
      <c r="B414" s="11">
        <v>520.17937219730902</v>
      </c>
      <c r="C414" s="10" t="s">
        <v>33</v>
      </c>
      <c r="D414" s="10" t="s">
        <v>286</v>
      </c>
      <c r="E414" s="10" t="s">
        <v>170</v>
      </c>
      <c r="F414" s="10" t="s">
        <v>34</v>
      </c>
      <c r="G414" s="10">
        <v>0.72</v>
      </c>
      <c r="H414" s="10" t="s">
        <v>34</v>
      </c>
      <c r="I414" s="10" t="s">
        <v>34</v>
      </c>
      <c r="J414" s="10">
        <v>1.2</v>
      </c>
      <c r="K414" s="10" t="s">
        <v>34</v>
      </c>
      <c r="L414" s="10">
        <v>0</v>
      </c>
      <c r="M414" s="10">
        <v>57</v>
      </c>
      <c r="N414" s="10" t="s">
        <v>34</v>
      </c>
      <c r="O414" s="10">
        <v>0.74199999999999999</v>
      </c>
      <c r="P414" s="10">
        <v>0.502</v>
      </c>
      <c r="Q414" s="10">
        <v>22.64</v>
      </c>
      <c r="R414" s="10">
        <v>2.65</v>
      </c>
      <c r="S414" s="10" t="s">
        <v>34</v>
      </c>
      <c r="T414" s="10" t="s">
        <v>36</v>
      </c>
      <c r="U414" s="10" t="s">
        <v>39</v>
      </c>
      <c r="V414" s="10" t="s">
        <v>162</v>
      </c>
      <c r="W414" s="10">
        <v>3</v>
      </c>
      <c r="X414" s="10">
        <v>2</v>
      </c>
      <c r="Y414" s="10">
        <v>1</v>
      </c>
      <c r="Z414" s="10" t="s">
        <v>39</v>
      </c>
      <c r="AA414" s="10">
        <v>0.48</v>
      </c>
      <c r="AB414" s="10">
        <v>7</v>
      </c>
      <c r="AC414" s="10" t="s">
        <v>281</v>
      </c>
      <c r="AD414" s="10" t="s">
        <v>277</v>
      </c>
      <c r="AE414" s="10">
        <v>0.11</v>
      </c>
      <c r="AF414" s="10" t="s">
        <v>278</v>
      </c>
      <c r="AG414" s="10">
        <v>2022</v>
      </c>
      <c r="AH414" s="10" t="s">
        <v>279</v>
      </c>
      <c r="AI414" s="2">
        <v>50</v>
      </c>
      <c r="AJ414" s="2">
        <v>2</v>
      </c>
      <c r="AK414" s="2">
        <v>1</v>
      </c>
    </row>
    <row r="415" spans="1:37" x14ac:dyDescent="0.3">
      <c r="A415" s="11">
        <v>6.5703971119133504</v>
      </c>
      <c r="B415" s="11">
        <v>1782.9596412556</v>
      </c>
      <c r="C415" s="10" t="s">
        <v>33</v>
      </c>
      <c r="D415" s="10" t="s">
        <v>287</v>
      </c>
      <c r="E415" s="10" t="s">
        <v>170</v>
      </c>
      <c r="F415" s="10" t="s">
        <v>34</v>
      </c>
      <c r="G415" s="10">
        <v>0.72</v>
      </c>
      <c r="H415" s="10" t="s">
        <v>34</v>
      </c>
      <c r="I415" s="10" t="s">
        <v>34</v>
      </c>
      <c r="J415" s="10">
        <v>1.2</v>
      </c>
      <c r="K415" s="10" t="s">
        <v>34</v>
      </c>
      <c r="L415" s="10">
        <v>0</v>
      </c>
      <c r="M415" s="10">
        <v>57</v>
      </c>
      <c r="N415" s="10" t="s">
        <v>34</v>
      </c>
      <c r="O415" s="10">
        <v>0.74199999999999999</v>
      </c>
      <c r="P415" s="10">
        <v>0.502</v>
      </c>
      <c r="Q415" s="10">
        <v>22.64</v>
      </c>
      <c r="R415" s="10">
        <v>2.65</v>
      </c>
      <c r="S415" s="10" t="s">
        <v>34</v>
      </c>
      <c r="T415" s="10" t="s">
        <v>49</v>
      </c>
      <c r="U415" s="10" t="s">
        <v>276</v>
      </c>
      <c r="V415" s="10" t="s">
        <v>162</v>
      </c>
      <c r="W415" s="10">
        <v>3</v>
      </c>
      <c r="X415" s="10">
        <v>2</v>
      </c>
      <c r="Y415" s="10">
        <v>1</v>
      </c>
      <c r="Z415" s="10" t="s">
        <v>276</v>
      </c>
      <c r="AA415" s="10">
        <v>1.56</v>
      </c>
      <c r="AB415" s="10">
        <v>6</v>
      </c>
      <c r="AC415" s="10" t="s">
        <v>281</v>
      </c>
      <c r="AD415" s="10" t="s">
        <v>277</v>
      </c>
      <c r="AE415" s="10">
        <v>0.11</v>
      </c>
      <c r="AF415" s="10" t="s">
        <v>278</v>
      </c>
      <c r="AG415" s="10">
        <v>2022</v>
      </c>
      <c r="AH415" s="10" t="s">
        <v>279</v>
      </c>
      <c r="AI415" s="2">
        <v>50</v>
      </c>
      <c r="AJ415" s="2">
        <v>2</v>
      </c>
      <c r="AK415" s="2">
        <v>1</v>
      </c>
    </row>
    <row r="416" spans="1:37" x14ac:dyDescent="0.3">
      <c r="A416" s="11">
        <v>6.5559566787003503</v>
      </c>
      <c r="B416" s="11">
        <v>1897.75784753363</v>
      </c>
      <c r="C416" s="10" t="s">
        <v>33</v>
      </c>
      <c r="D416" s="10" t="s">
        <v>288</v>
      </c>
      <c r="E416" s="10" t="s">
        <v>170</v>
      </c>
      <c r="F416" s="10" t="s">
        <v>34</v>
      </c>
      <c r="G416" s="10">
        <v>0.72</v>
      </c>
      <c r="H416" s="10" t="s">
        <v>34</v>
      </c>
      <c r="I416" s="10" t="s">
        <v>34</v>
      </c>
      <c r="J416" s="10">
        <v>1.2</v>
      </c>
      <c r="K416" s="10" t="s">
        <v>34</v>
      </c>
      <c r="L416" s="10">
        <v>0</v>
      </c>
      <c r="M416" s="10">
        <v>57</v>
      </c>
      <c r="N416" s="10" t="s">
        <v>34</v>
      </c>
      <c r="O416" s="10">
        <v>0.74199999999999999</v>
      </c>
      <c r="P416" s="10">
        <v>0.502</v>
      </c>
      <c r="Q416" s="10">
        <v>22.64</v>
      </c>
      <c r="R416" s="10">
        <v>2.65</v>
      </c>
      <c r="S416" s="10" t="s">
        <v>34</v>
      </c>
      <c r="T416" s="10" t="s">
        <v>49</v>
      </c>
      <c r="U416" s="10" t="s">
        <v>276</v>
      </c>
      <c r="V416" s="10" t="s">
        <v>162</v>
      </c>
      <c r="W416" s="10">
        <v>3</v>
      </c>
      <c r="X416" s="10">
        <v>2</v>
      </c>
      <c r="Y416" s="10">
        <v>1</v>
      </c>
      <c r="Z416" s="10" t="s">
        <v>276</v>
      </c>
      <c r="AA416" s="10">
        <v>1.56</v>
      </c>
      <c r="AB416" s="10">
        <v>6</v>
      </c>
      <c r="AC416" s="10" t="s">
        <v>281</v>
      </c>
      <c r="AD416" s="10" t="s">
        <v>277</v>
      </c>
      <c r="AE416" s="10">
        <v>0.11</v>
      </c>
      <c r="AF416" s="10" t="s">
        <v>278</v>
      </c>
      <c r="AG416" s="10">
        <v>2022</v>
      </c>
      <c r="AH416" s="10" t="s">
        <v>279</v>
      </c>
      <c r="AI416" s="2">
        <v>50</v>
      </c>
      <c r="AJ416" s="2">
        <v>2</v>
      </c>
      <c r="AK416" s="2">
        <v>1</v>
      </c>
    </row>
    <row r="417" spans="1:37" x14ac:dyDescent="0.3">
      <c r="A417" s="11">
        <v>6.7292418772563103</v>
      </c>
      <c r="B417" s="11">
        <v>2324.66367713004</v>
      </c>
      <c r="C417" s="10" t="s">
        <v>33</v>
      </c>
      <c r="D417" s="10" t="s">
        <v>289</v>
      </c>
      <c r="E417" s="10" t="s">
        <v>170</v>
      </c>
      <c r="F417" s="10" t="s">
        <v>34</v>
      </c>
      <c r="G417" s="10">
        <v>0.72</v>
      </c>
      <c r="H417" s="10" t="s">
        <v>34</v>
      </c>
      <c r="I417" s="10" t="s">
        <v>34</v>
      </c>
      <c r="J417" s="10">
        <v>1.2</v>
      </c>
      <c r="K417" s="10" t="s">
        <v>34</v>
      </c>
      <c r="L417" s="10">
        <v>0</v>
      </c>
      <c r="M417" s="10">
        <v>57</v>
      </c>
      <c r="N417" s="10" t="s">
        <v>34</v>
      </c>
      <c r="O417" s="10">
        <v>0.74199999999999999</v>
      </c>
      <c r="P417" s="10">
        <v>0.502</v>
      </c>
      <c r="Q417" s="10">
        <v>22.64</v>
      </c>
      <c r="R417" s="10">
        <v>2.65</v>
      </c>
      <c r="S417" s="10" t="s">
        <v>34</v>
      </c>
      <c r="T417" s="10" t="s">
        <v>49</v>
      </c>
      <c r="U417" s="10" t="s">
        <v>276</v>
      </c>
      <c r="V417" s="10" t="s">
        <v>162</v>
      </c>
      <c r="W417" s="10">
        <v>3</v>
      </c>
      <c r="X417" s="10">
        <v>2</v>
      </c>
      <c r="Y417" s="10">
        <v>1</v>
      </c>
      <c r="Z417" s="10" t="s">
        <v>276</v>
      </c>
      <c r="AA417" s="10">
        <v>1.56</v>
      </c>
      <c r="AB417" s="10">
        <v>6</v>
      </c>
      <c r="AC417" s="10" t="s">
        <v>281</v>
      </c>
      <c r="AD417" s="10" t="s">
        <v>277</v>
      </c>
      <c r="AE417" s="10">
        <v>0.11</v>
      </c>
      <c r="AF417" s="10" t="s">
        <v>278</v>
      </c>
      <c r="AG417" s="10">
        <v>2022</v>
      </c>
      <c r="AH417" s="10" t="s">
        <v>279</v>
      </c>
      <c r="AI417" s="2">
        <v>50</v>
      </c>
      <c r="AJ417" s="2">
        <v>2</v>
      </c>
      <c r="AK417" s="2">
        <v>1</v>
      </c>
    </row>
    <row r="418" spans="1:37" x14ac:dyDescent="0.3">
      <c r="A418" s="11">
        <v>6.6787003610108302</v>
      </c>
      <c r="B418" s="11">
        <v>581.16591928251103</v>
      </c>
      <c r="C418" s="10" t="s">
        <v>33</v>
      </c>
      <c r="D418" s="10" t="s">
        <v>290</v>
      </c>
      <c r="E418" s="10" t="s">
        <v>170</v>
      </c>
      <c r="F418" s="10" t="s">
        <v>34</v>
      </c>
      <c r="G418" s="10">
        <v>0.72</v>
      </c>
      <c r="H418" s="10" t="s">
        <v>34</v>
      </c>
      <c r="I418" s="10" t="s">
        <v>34</v>
      </c>
      <c r="J418" s="10">
        <v>1.2</v>
      </c>
      <c r="K418" s="10" t="s">
        <v>34</v>
      </c>
      <c r="L418" s="10">
        <v>0</v>
      </c>
      <c r="M418" s="10">
        <v>57</v>
      </c>
      <c r="N418" s="10" t="s">
        <v>34</v>
      </c>
      <c r="O418" s="10">
        <v>0.74199999999999999</v>
      </c>
      <c r="P418" s="10">
        <v>0.502</v>
      </c>
      <c r="Q418" s="10">
        <v>22.64</v>
      </c>
      <c r="R418" s="10">
        <v>2.65</v>
      </c>
      <c r="S418" s="10" t="s">
        <v>34</v>
      </c>
      <c r="T418" s="10" t="s">
        <v>36</v>
      </c>
      <c r="U418" s="10" t="s">
        <v>39</v>
      </c>
      <c r="V418" s="10" t="s">
        <v>162</v>
      </c>
      <c r="W418" s="10">
        <v>3</v>
      </c>
      <c r="X418" s="10">
        <v>2</v>
      </c>
      <c r="Y418" s="10">
        <v>1</v>
      </c>
      <c r="Z418" s="10" t="s">
        <v>39</v>
      </c>
      <c r="AA418" s="10">
        <v>0.48</v>
      </c>
      <c r="AB418" s="10">
        <v>6</v>
      </c>
      <c r="AC418" s="10" t="s">
        <v>281</v>
      </c>
      <c r="AD418" s="10" t="s">
        <v>277</v>
      </c>
      <c r="AE418" s="10">
        <v>0.11</v>
      </c>
      <c r="AF418" s="10" t="s">
        <v>278</v>
      </c>
      <c r="AG418" s="10">
        <v>2022</v>
      </c>
      <c r="AH418" s="10" t="s">
        <v>279</v>
      </c>
      <c r="AI418" s="2">
        <v>50</v>
      </c>
      <c r="AJ418" s="2">
        <v>2</v>
      </c>
      <c r="AK418" s="2">
        <v>1</v>
      </c>
    </row>
    <row r="419" spans="1:37" x14ac:dyDescent="0.3">
      <c r="A419" s="11">
        <v>6.49097472924187</v>
      </c>
      <c r="B419" s="11">
        <v>638.56502242152396</v>
      </c>
      <c r="C419" s="10" t="s">
        <v>33</v>
      </c>
      <c r="D419" s="10" t="s">
        <v>291</v>
      </c>
      <c r="E419" s="10" t="s">
        <v>170</v>
      </c>
      <c r="F419" s="10" t="s">
        <v>34</v>
      </c>
      <c r="G419" s="10">
        <v>0.72</v>
      </c>
      <c r="H419" s="10" t="s">
        <v>34</v>
      </c>
      <c r="I419" s="10" t="s">
        <v>34</v>
      </c>
      <c r="J419" s="10">
        <v>1.2</v>
      </c>
      <c r="K419" s="10" t="s">
        <v>34</v>
      </c>
      <c r="L419" s="10">
        <v>0</v>
      </c>
      <c r="M419" s="10">
        <v>57</v>
      </c>
      <c r="N419" s="10" t="s">
        <v>34</v>
      </c>
      <c r="O419" s="10">
        <v>0.74199999999999999</v>
      </c>
      <c r="P419" s="10">
        <v>0.502</v>
      </c>
      <c r="Q419" s="10">
        <v>22.64</v>
      </c>
      <c r="R419" s="10">
        <v>2.65</v>
      </c>
      <c r="S419" s="10" t="s">
        <v>34</v>
      </c>
      <c r="T419" s="10" t="s">
        <v>36</v>
      </c>
      <c r="U419" s="10" t="s">
        <v>39</v>
      </c>
      <c r="V419" s="10" t="s">
        <v>162</v>
      </c>
      <c r="W419" s="10">
        <v>3</v>
      </c>
      <c r="X419" s="10">
        <v>2</v>
      </c>
      <c r="Y419" s="10">
        <v>1</v>
      </c>
      <c r="Z419" s="10" t="s">
        <v>39</v>
      </c>
      <c r="AA419" s="10">
        <v>0.48</v>
      </c>
      <c r="AB419" s="10">
        <v>6</v>
      </c>
      <c r="AC419" s="10" t="s">
        <v>281</v>
      </c>
      <c r="AD419" s="10" t="s">
        <v>277</v>
      </c>
      <c r="AE419" s="10">
        <v>0.11</v>
      </c>
      <c r="AF419" s="10" t="s">
        <v>278</v>
      </c>
      <c r="AG419" s="10">
        <v>2022</v>
      </c>
      <c r="AH419" s="10" t="s">
        <v>279</v>
      </c>
      <c r="AI419" s="2">
        <v>50</v>
      </c>
      <c r="AJ419" s="2">
        <v>2</v>
      </c>
      <c r="AK419" s="2">
        <v>1</v>
      </c>
    </row>
    <row r="420" spans="1:37" x14ac:dyDescent="0.3">
      <c r="A420" s="11">
        <v>6.4837545126353699</v>
      </c>
      <c r="B420" s="11">
        <v>1104.9327354259999</v>
      </c>
      <c r="C420" s="10" t="s">
        <v>33</v>
      </c>
      <c r="D420" s="10" t="s">
        <v>292</v>
      </c>
      <c r="E420" s="10" t="s">
        <v>170</v>
      </c>
      <c r="F420" s="10" t="s">
        <v>34</v>
      </c>
      <c r="G420" s="10">
        <v>0.72</v>
      </c>
      <c r="H420" s="10" t="s">
        <v>34</v>
      </c>
      <c r="I420" s="10" t="s">
        <v>34</v>
      </c>
      <c r="J420" s="10">
        <v>1.2</v>
      </c>
      <c r="K420" s="10" t="s">
        <v>34</v>
      </c>
      <c r="L420" s="10">
        <v>0</v>
      </c>
      <c r="M420" s="10">
        <v>57</v>
      </c>
      <c r="N420" s="10" t="s">
        <v>34</v>
      </c>
      <c r="O420" s="10">
        <v>0.74199999999999999</v>
      </c>
      <c r="P420" s="10">
        <v>0.502</v>
      </c>
      <c r="Q420" s="10">
        <v>22.64</v>
      </c>
      <c r="R420" s="10">
        <v>2.65</v>
      </c>
      <c r="S420" s="10" t="s">
        <v>34</v>
      </c>
      <c r="T420" s="10" t="s">
        <v>36</v>
      </c>
      <c r="U420" s="10" t="s">
        <v>39</v>
      </c>
      <c r="V420" s="10" t="s">
        <v>162</v>
      </c>
      <c r="W420" s="10">
        <v>3</v>
      </c>
      <c r="X420" s="10">
        <v>2</v>
      </c>
      <c r="Y420" s="10">
        <v>1</v>
      </c>
      <c r="Z420" s="10" t="s">
        <v>39</v>
      </c>
      <c r="AA420" s="10">
        <v>0.48</v>
      </c>
      <c r="AB420" s="10">
        <v>6</v>
      </c>
      <c r="AC420" s="10" t="s">
        <v>281</v>
      </c>
      <c r="AD420" s="10" t="s">
        <v>277</v>
      </c>
      <c r="AE420" s="10">
        <v>0.11</v>
      </c>
      <c r="AF420" s="10" t="s">
        <v>278</v>
      </c>
      <c r="AG420" s="10">
        <v>2022</v>
      </c>
      <c r="AH420" s="10" t="s">
        <v>279</v>
      </c>
      <c r="AI420" s="2">
        <v>50</v>
      </c>
      <c r="AJ420" s="2">
        <v>2</v>
      </c>
      <c r="AK420" s="2">
        <v>1</v>
      </c>
    </row>
    <row r="421" spans="1:37" x14ac:dyDescent="0.3">
      <c r="A421" s="11">
        <v>6.5631768953068503</v>
      </c>
      <c r="B421" s="11">
        <v>2396.41255605381</v>
      </c>
      <c r="C421" s="10" t="s">
        <v>33</v>
      </c>
      <c r="D421" s="10" t="s">
        <v>293</v>
      </c>
      <c r="E421" s="10" t="s">
        <v>170</v>
      </c>
      <c r="F421" s="10" t="s">
        <v>34</v>
      </c>
      <c r="G421" s="10">
        <v>0.72</v>
      </c>
      <c r="H421" s="10" t="s">
        <v>34</v>
      </c>
      <c r="I421" s="10" t="s">
        <v>34</v>
      </c>
      <c r="J421" s="10">
        <v>1.2</v>
      </c>
      <c r="K421" s="10" t="s">
        <v>34</v>
      </c>
      <c r="L421" s="10">
        <v>0</v>
      </c>
      <c r="M421" s="10">
        <v>57</v>
      </c>
      <c r="N421" s="10" t="s">
        <v>34</v>
      </c>
      <c r="O421" s="10">
        <v>0.74199999999999999</v>
      </c>
      <c r="P421" s="10">
        <v>0.502</v>
      </c>
      <c r="Q421" s="10">
        <v>22.64</v>
      </c>
      <c r="R421" s="10">
        <v>2.65</v>
      </c>
      <c r="S421" s="10" t="s">
        <v>34</v>
      </c>
      <c r="T421" s="10" t="s">
        <v>49</v>
      </c>
      <c r="U421" s="10" t="s">
        <v>276</v>
      </c>
      <c r="V421" s="10" t="s">
        <v>162</v>
      </c>
      <c r="W421" s="10">
        <v>3</v>
      </c>
      <c r="X421" s="10">
        <v>2</v>
      </c>
      <c r="Y421" s="10">
        <v>1</v>
      </c>
      <c r="Z421" s="10" t="s">
        <v>276</v>
      </c>
      <c r="AA421" s="10">
        <v>1.56</v>
      </c>
      <c r="AB421" s="10">
        <v>5.5</v>
      </c>
      <c r="AC421" s="10" t="s">
        <v>281</v>
      </c>
      <c r="AD421" s="10" t="s">
        <v>277</v>
      </c>
      <c r="AE421" s="10">
        <v>0.11</v>
      </c>
      <c r="AF421" s="10" t="s">
        <v>278</v>
      </c>
      <c r="AG421" s="10">
        <v>2022</v>
      </c>
      <c r="AH421" s="10" t="s">
        <v>279</v>
      </c>
      <c r="AI421" s="2">
        <v>50</v>
      </c>
      <c r="AJ421" s="2">
        <v>2</v>
      </c>
      <c r="AK421" s="2">
        <v>1</v>
      </c>
    </row>
    <row r="422" spans="1:37" x14ac:dyDescent="0.3">
      <c r="A422" s="11">
        <v>6.3682310469313999</v>
      </c>
      <c r="B422" s="11">
        <v>2278.0269058295899</v>
      </c>
      <c r="C422" s="10" t="s">
        <v>33</v>
      </c>
      <c r="D422" s="10" t="s">
        <v>294</v>
      </c>
      <c r="E422" s="10" t="s">
        <v>170</v>
      </c>
      <c r="F422" s="10" t="s">
        <v>34</v>
      </c>
      <c r="G422" s="10">
        <v>0.72</v>
      </c>
      <c r="H422" s="10" t="s">
        <v>34</v>
      </c>
      <c r="I422" s="10" t="s">
        <v>34</v>
      </c>
      <c r="J422" s="10">
        <v>1.2</v>
      </c>
      <c r="K422" s="10" t="s">
        <v>34</v>
      </c>
      <c r="L422" s="10">
        <v>0</v>
      </c>
      <c r="M422" s="10">
        <v>57</v>
      </c>
      <c r="N422" s="10" t="s">
        <v>34</v>
      </c>
      <c r="O422" s="10">
        <v>0.74199999999999999</v>
      </c>
      <c r="P422" s="10">
        <v>0.502</v>
      </c>
      <c r="Q422" s="10">
        <v>22.64</v>
      </c>
      <c r="R422" s="10">
        <v>2.65</v>
      </c>
      <c r="S422" s="10" t="s">
        <v>34</v>
      </c>
      <c r="T422" s="10" t="s">
        <v>49</v>
      </c>
      <c r="U422" s="10" t="s">
        <v>276</v>
      </c>
      <c r="V422" s="10" t="s">
        <v>162</v>
      </c>
      <c r="W422" s="10">
        <v>3</v>
      </c>
      <c r="X422" s="10">
        <v>2</v>
      </c>
      <c r="Y422" s="10">
        <v>1</v>
      </c>
      <c r="Z422" s="10" t="s">
        <v>276</v>
      </c>
      <c r="AA422" s="10">
        <v>1.56</v>
      </c>
      <c r="AB422" s="10">
        <v>5.5</v>
      </c>
      <c r="AC422" s="10" t="s">
        <v>281</v>
      </c>
      <c r="AD422" s="10" t="s">
        <v>277</v>
      </c>
      <c r="AE422" s="10">
        <v>0.11</v>
      </c>
      <c r="AF422" s="10" t="s">
        <v>278</v>
      </c>
      <c r="AG422" s="10">
        <v>2022</v>
      </c>
      <c r="AH422" s="10" t="s">
        <v>279</v>
      </c>
      <c r="AI422" s="2">
        <v>50</v>
      </c>
      <c r="AJ422" s="2">
        <v>2</v>
      </c>
      <c r="AK422" s="2">
        <v>1</v>
      </c>
    </row>
    <row r="423" spans="1:37" x14ac:dyDescent="0.3">
      <c r="A423" s="11">
        <v>6.4476534296028802</v>
      </c>
      <c r="B423" s="11">
        <v>1919.28251121076</v>
      </c>
      <c r="C423" s="10" t="s">
        <v>33</v>
      </c>
      <c r="D423" s="10" t="s">
        <v>295</v>
      </c>
      <c r="E423" s="10" t="s">
        <v>170</v>
      </c>
      <c r="F423" s="10" t="s">
        <v>34</v>
      </c>
      <c r="G423" s="10">
        <v>0.72</v>
      </c>
      <c r="H423" s="10" t="s">
        <v>34</v>
      </c>
      <c r="I423" s="10" t="s">
        <v>34</v>
      </c>
      <c r="J423" s="10">
        <v>1.2</v>
      </c>
      <c r="K423" s="10" t="s">
        <v>34</v>
      </c>
      <c r="L423" s="10">
        <v>0</v>
      </c>
      <c r="M423" s="10">
        <v>57</v>
      </c>
      <c r="N423" s="10" t="s">
        <v>34</v>
      </c>
      <c r="O423" s="10">
        <v>0.74199999999999999</v>
      </c>
      <c r="P423" s="10">
        <v>0.502</v>
      </c>
      <c r="Q423" s="10">
        <v>22.64</v>
      </c>
      <c r="R423" s="10">
        <v>2.65</v>
      </c>
      <c r="S423" s="10" t="s">
        <v>34</v>
      </c>
      <c r="T423" s="10" t="s">
        <v>49</v>
      </c>
      <c r="U423" s="10" t="s">
        <v>276</v>
      </c>
      <c r="V423" s="10" t="s">
        <v>162</v>
      </c>
      <c r="W423" s="10">
        <v>3</v>
      </c>
      <c r="X423" s="10">
        <v>2</v>
      </c>
      <c r="Y423" s="10">
        <v>1</v>
      </c>
      <c r="Z423" s="10" t="s">
        <v>276</v>
      </c>
      <c r="AA423" s="10">
        <v>1.56</v>
      </c>
      <c r="AB423" s="10">
        <v>5.5</v>
      </c>
      <c r="AC423" s="10" t="s">
        <v>281</v>
      </c>
      <c r="AD423" s="10" t="s">
        <v>277</v>
      </c>
      <c r="AE423" s="10">
        <v>0.11</v>
      </c>
      <c r="AF423" s="10" t="s">
        <v>278</v>
      </c>
      <c r="AG423" s="10">
        <v>2022</v>
      </c>
      <c r="AH423" s="10" t="s">
        <v>279</v>
      </c>
      <c r="AI423" s="2">
        <v>50</v>
      </c>
      <c r="AJ423" s="2">
        <v>2</v>
      </c>
      <c r="AK423" s="2">
        <v>1</v>
      </c>
    </row>
    <row r="424" spans="1:37" x14ac:dyDescent="0.3">
      <c r="A424" s="11">
        <v>6.65703971119133</v>
      </c>
      <c r="B424" s="11">
        <v>620.62780269058203</v>
      </c>
      <c r="C424" s="10" t="s">
        <v>33</v>
      </c>
      <c r="D424" s="10" t="s">
        <v>296</v>
      </c>
      <c r="E424" s="10" t="s">
        <v>170</v>
      </c>
      <c r="F424" s="10" t="s">
        <v>34</v>
      </c>
      <c r="G424" s="10">
        <v>0.72</v>
      </c>
      <c r="H424" s="10" t="s">
        <v>34</v>
      </c>
      <c r="I424" s="10" t="s">
        <v>34</v>
      </c>
      <c r="J424" s="10">
        <v>1.2</v>
      </c>
      <c r="K424" s="10" t="s">
        <v>34</v>
      </c>
      <c r="L424" s="10">
        <v>0</v>
      </c>
      <c r="M424" s="10">
        <v>57</v>
      </c>
      <c r="N424" s="10" t="s">
        <v>34</v>
      </c>
      <c r="O424" s="10">
        <v>0.74199999999999999</v>
      </c>
      <c r="P424" s="10">
        <v>0.502</v>
      </c>
      <c r="Q424" s="10">
        <v>22.64</v>
      </c>
      <c r="R424" s="10">
        <v>2.65</v>
      </c>
      <c r="S424" s="10" t="s">
        <v>34</v>
      </c>
      <c r="T424" s="10" t="s">
        <v>36</v>
      </c>
      <c r="U424" s="10" t="s">
        <v>39</v>
      </c>
      <c r="V424" s="10" t="s">
        <v>162</v>
      </c>
      <c r="W424" s="10">
        <v>3</v>
      </c>
      <c r="X424" s="10">
        <v>2</v>
      </c>
      <c r="Y424" s="10">
        <v>1</v>
      </c>
      <c r="Z424" s="10" t="s">
        <v>39</v>
      </c>
      <c r="AA424" s="10">
        <v>0.48</v>
      </c>
      <c r="AB424" s="10">
        <v>5.5</v>
      </c>
      <c r="AC424" s="10" t="s">
        <v>281</v>
      </c>
      <c r="AD424" s="10" t="s">
        <v>277</v>
      </c>
      <c r="AE424" s="10">
        <v>0.11</v>
      </c>
      <c r="AF424" s="10" t="s">
        <v>278</v>
      </c>
      <c r="AG424" s="10">
        <v>2022</v>
      </c>
      <c r="AH424" s="10" t="s">
        <v>279</v>
      </c>
      <c r="AI424" s="2">
        <v>50</v>
      </c>
      <c r="AJ424" s="2">
        <v>2</v>
      </c>
      <c r="AK424" s="2">
        <v>1</v>
      </c>
    </row>
    <row r="425" spans="1:37" x14ac:dyDescent="0.3">
      <c r="A425" s="11">
        <v>6.8447653429602804</v>
      </c>
      <c r="B425" s="11">
        <v>728.25112107623204</v>
      </c>
      <c r="C425" s="10" t="s">
        <v>33</v>
      </c>
      <c r="D425" s="10" t="s">
        <v>297</v>
      </c>
      <c r="E425" s="10" t="s">
        <v>170</v>
      </c>
      <c r="F425" s="10" t="s">
        <v>34</v>
      </c>
      <c r="G425" s="10">
        <v>0.72</v>
      </c>
      <c r="H425" s="10" t="s">
        <v>34</v>
      </c>
      <c r="I425" s="10" t="s">
        <v>34</v>
      </c>
      <c r="J425" s="10">
        <v>1.2</v>
      </c>
      <c r="K425" s="10" t="s">
        <v>34</v>
      </c>
      <c r="L425" s="10">
        <v>0</v>
      </c>
      <c r="M425" s="10">
        <v>57</v>
      </c>
      <c r="N425" s="10" t="s">
        <v>34</v>
      </c>
      <c r="O425" s="10">
        <v>0.74199999999999999</v>
      </c>
      <c r="P425" s="10">
        <v>0.502</v>
      </c>
      <c r="Q425" s="10">
        <v>22.64</v>
      </c>
      <c r="R425" s="10">
        <v>2.65</v>
      </c>
      <c r="S425" s="10" t="s">
        <v>34</v>
      </c>
      <c r="T425" s="10" t="s">
        <v>36</v>
      </c>
      <c r="U425" s="10" t="s">
        <v>39</v>
      </c>
      <c r="V425" s="10" t="s">
        <v>162</v>
      </c>
      <c r="W425" s="10">
        <v>3</v>
      </c>
      <c r="X425" s="10">
        <v>2</v>
      </c>
      <c r="Y425" s="10">
        <v>1</v>
      </c>
      <c r="Z425" s="10" t="s">
        <v>39</v>
      </c>
      <c r="AA425" s="10">
        <v>0.48</v>
      </c>
      <c r="AB425" s="10">
        <v>5.5</v>
      </c>
      <c r="AC425" s="10" t="s">
        <v>281</v>
      </c>
      <c r="AD425" s="10" t="s">
        <v>277</v>
      </c>
      <c r="AE425" s="10">
        <v>0.11</v>
      </c>
      <c r="AF425" s="10" t="s">
        <v>278</v>
      </c>
      <c r="AG425" s="10">
        <v>2022</v>
      </c>
      <c r="AH425" s="10" t="s">
        <v>279</v>
      </c>
      <c r="AI425" s="2">
        <v>50</v>
      </c>
      <c r="AJ425" s="2">
        <v>2</v>
      </c>
      <c r="AK425" s="2">
        <v>1</v>
      </c>
    </row>
    <row r="426" spans="1:37" x14ac:dyDescent="0.3">
      <c r="A426" s="11">
        <v>6.49097472924187</v>
      </c>
      <c r="B426" s="11">
        <v>1036.7713004484301</v>
      </c>
      <c r="C426" s="10" t="s">
        <v>33</v>
      </c>
      <c r="D426" s="10" t="s">
        <v>298</v>
      </c>
      <c r="E426" s="10" t="s">
        <v>170</v>
      </c>
      <c r="F426" s="10" t="s">
        <v>34</v>
      </c>
      <c r="G426" s="10">
        <v>0.72</v>
      </c>
      <c r="H426" s="10" t="s">
        <v>34</v>
      </c>
      <c r="I426" s="10" t="s">
        <v>34</v>
      </c>
      <c r="J426" s="10">
        <v>1.2</v>
      </c>
      <c r="K426" s="10" t="s">
        <v>34</v>
      </c>
      <c r="L426" s="10">
        <v>0</v>
      </c>
      <c r="M426" s="10">
        <v>57</v>
      </c>
      <c r="N426" s="10" t="s">
        <v>34</v>
      </c>
      <c r="O426" s="10">
        <v>0.74199999999999999</v>
      </c>
      <c r="P426" s="10">
        <v>0.502</v>
      </c>
      <c r="Q426" s="10">
        <v>22.64</v>
      </c>
      <c r="R426" s="10">
        <v>2.65</v>
      </c>
      <c r="S426" s="10" t="s">
        <v>34</v>
      </c>
      <c r="T426" s="10" t="s">
        <v>36</v>
      </c>
      <c r="U426" s="10" t="s">
        <v>39</v>
      </c>
      <c r="V426" s="10" t="s">
        <v>162</v>
      </c>
      <c r="W426" s="10">
        <v>3</v>
      </c>
      <c r="X426" s="10">
        <v>2</v>
      </c>
      <c r="Y426" s="10">
        <v>1</v>
      </c>
      <c r="Z426" s="10" t="s">
        <v>39</v>
      </c>
      <c r="AA426" s="10">
        <v>0.48</v>
      </c>
      <c r="AB426" s="10">
        <v>5.5</v>
      </c>
      <c r="AC426" s="10" t="s">
        <v>281</v>
      </c>
      <c r="AD426" s="10" t="s">
        <v>277</v>
      </c>
      <c r="AE426" s="10">
        <v>0.11</v>
      </c>
      <c r="AF426" s="10" t="s">
        <v>278</v>
      </c>
      <c r="AG426" s="10">
        <v>2022</v>
      </c>
      <c r="AH426" s="10" t="s">
        <v>279</v>
      </c>
      <c r="AI426" s="2">
        <v>50</v>
      </c>
      <c r="AJ426" s="2">
        <v>2</v>
      </c>
      <c r="AK426" s="2">
        <v>1</v>
      </c>
    </row>
    <row r="427" spans="1:37" x14ac:dyDescent="0.3">
      <c r="A427" s="11">
        <v>6.1010830324909699</v>
      </c>
      <c r="B427" s="11">
        <v>2471.74887892376</v>
      </c>
      <c r="C427" s="10" t="s">
        <v>33</v>
      </c>
      <c r="D427" s="10" t="s">
        <v>299</v>
      </c>
      <c r="E427" s="10" t="s">
        <v>170</v>
      </c>
      <c r="F427" s="10" t="s">
        <v>34</v>
      </c>
      <c r="G427" s="10">
        <v>0.72</v>
      </c>
      <c r="H427" s="10" t="s">
        <v>34</v>
      </c>
      <c r="I427" s="10" t="s">
        <v>34</v>
      </c>
      <c r="J427" s="10">
        <v>1.2</v>
      </c>
      <c r="K427" s="10" t="s">
        <v>34</v>
      </c>
      <c r="L427" s="10">
        <v>0</v>
      </c>
      <c r="M427" s="10">
        <v>57</v>
      </c>
      <c r="N427" s="10" t="s">
        <v>34</v>
      </c>
      <c r="O427" s="10">
        <v>0.74199999999999999</v>
      </c>
      <c r="P427" s="10">
        <v>0.502</v>
      </c>
      <c r="Q427" s="10">
        <v>22.64</v>
      </c>
      <c r="R427" s="10">
        <v>2.65</v>
      </c>
      <c r="S427" s="10" t="s">
        <v>34</v>
      </c>
      <c r="T427" s="10" t="s">
        <v>49</v>
      </c>
      <c r="U427" s="10" t="s">
        <v>276</v>
      </c>
      <c r="V427" s="10" t="s">
        <v>162</v>
      </c>
      <c r="W427" s="10">
        <v>3</v>
      </c>
      <c r="X427" s="10">
        <v>2</v>
      </c>
      <c r="Y427" s="10">
        <v>1</v>
      </c>
      <c r="Z427" s="10" t="s">
        <v>276</v>
      </c>
      <c r="AA427" s="10">
        <v>1.56</v>
      </c>
      <c r="AB427" s="10">
        <v>5</v>
      </c>
      <c r="AC427" s="10" t="s">
        <v>281</v>
      </c>
      <c r="AD427" s="10" t="s">
        <v>277</v>
      </c>
      <c r="AE427" s="10">
        <v>0.11</v>
      </c>
      <c r="AF427" s="10" t="s">
        <v>278</v>
      </c>
      <c r="AG427" s="10">
        <v>2022</v>
      </c>
      <c r="AH427" s="10" t="s">
        <v>279</v>
      </c>
      <c r="AI427" s="2">
        <v>50</v>
      </c>
      <c r="AJ427" s="2">
        <v>2</v>
      </c>
      <c r="AK427" s="2">
        <v>1</v>
      </c>
    </row>
    <row r="428" spans="1:37" x14ac:dyDescent="0.3">
      <c r="A428" s="11">
        <v>5.8122743682310398</v>
      </c>
      <c r="B428" s="11">
        <v>1922.86995515695</v>
      </c>
      <c r="C428" s="10" t="s">
        <v>33</v>
      </c>
      <c r="D428" s="10" t="s">
        <v>300</v>
      </c>
      <c r="E428" s="10" t="s">
        <v>170</v>
      </c>
      <c r="F428" s="10" t="s">
        <v>34</v>
      </c>
      <c r="G428" s="10">
        <v>0.72</v>
      </c>
      <c r="H428" s="10" t="s">
        <v>34</v>
      </c>
      <c r="I428" s="10" t="s">
        <v>34</v>
      </c>
      <c r="J428" s="10">
        <v>1.2</v>
      </c>
      <c r="K428" s="10" t="s">
        <v>34</v>
      </c>
      <c r="L428" s="10">
        <v>0</v>
      </c>
      <c r="M428" s="10">
        <v>57</v>
      </c>
      <c r="N428" s="10" t="s">
        <v>34</v>
      </c>
      <c r="O428" s="10">
        <v>0.74199999999999999</v>
      </c>
      <c r="P428" s="10">
        <v>0.502</v>
      </c>
      <c r="Q428" s="10">
        <v>22.64</v>
      </c>
      <c r="R428" s="10">
        <v>2.65</v>
      </c>
      <c r="S428" s="10" t="s">
        <v>34</v>
      </c>
      <c r="T428" s="10" t="s">
        <v>49</v>
      </c>
      <c r="U428" s="10" t="s">
        <v>276</v>
      </c>
      <c r="V428" s="10" t="s">
        <v>162</v>
      </c>
      <c r="W428" s="10">
        <v>3</v>
      </c>
      <c r="X428" s="10">
        <v>2</v>
      </c>
      <c r="Y428" s="10">
        <v>1</v>
      </c>
      <c r="Z428" s="10" t="s">
        <v>276</v>
      </c>
      <c r="AA428" s="10">
        <v>1.56</v>
      </c>
      <c r="AB428" s="10">
        <v>5</v>
      </c>
      <c r="AC428" s="10" t="s">
        <v>281</v>
      </c>
      <c r="AD428" s="10" t="s">
        <v>277</v>
      </c>
      <c r="AE428" s="10">
        <v>0.11</v>
      </c>
      <c r="AF428" s="10" t="s">
        <v>278</v>
      </c>
      <c r="AG428" s="10">
        <v>2022</v>
      </c>
      <c r="AH428" s="10" t="s">
        <v>279</v>
      </c>
      <c r="AI428" s="2">
        <v>50</v>
      </c>
      <c r="AJ428" s="2">
        <v>2</v>
      </c>
      <c r="AK428" s="2">
        <v>1</v>
      </c>
    </row>
    <row r="429" spans="1:37" x14ac:dyDescent="0.3">
      <c r="A429" s="11">
        <v>5.7039711191335698</v>
      </c>
      <c r="B429" s="11">
        <v>1729.1479820627701</v>
      </c>
      <c r="C429" s="10" t="s">
        <v>33</v>
      </c>
      <c r="D429" s="10" t="s">
        <v>301</v>
      </c>
      <c r="E429" s="10" t="s">
        <v>170</v>
      </c>
      <c r="F429" s="10" t="s">
        <v>34</v>
      </c>
      <c r="G429" s="10">
        <v>0.72</v>
      </c>
      <c r="H429" s="10" t="s">
        <v>34</v>
      </c>
      <c r="I429" s="10" t="s">
        <v>34</v>
      </c>
      <c r="J429" s="10">
        <v>1.2</v>
      </c>
      <c r="K429" s="10" t="s">
        <v>34</v>
      </c>
      <c r="L429" s="10">
        <v>0</v>
      </c>
      <c r="M429" s="10">
        <v>57</v>
      </c>
      <c r="N429" s="10" t="s">
        <v>34</v>
      </c>
      <c r="O429" s="10">
        <v>0.74199999999999999</v>
      </c>
      <c r="P429" s="10">
        <v>0.502</v>
      </c>
      <c r="Q429" s="10">
        <v>22.64</v>
      </c>
      <c r="R429" s="10">
        <v>2.65</v>
      </c>
      <c r="S429" s="10" t="s">
        <v>34</v>
      </c>
      <c r="T429" s="10" t="s">
        <v>49</v>
      </c>
      <c r="U429" s="10" t="s">
        <v>276</v>
      </c>
      <c r="V429" s="10" t="s">
        <v>162</v>
      </c>
      <c r="W429" s="10">
        <v>3</v>
      </c>
      <c r="X429" s="10">
        <v>2</v>
      </c>
      <c r="Y429" s="10">
        <v>1</v>
      </c>
      <c r="Z429" s="10" t="s">
        <v>276</v>
      </c>
      <c r="AA429" s="10">
        <v>1.56</v>
      </c>
      <c r="AB429" s="10">
        <v>5</v>
      </c>
      <c r="AC429" s="10" t="s">
        <v>281</v>
      </c>
      <c r="AD429" s="10" t="s">
        <v>277</v>
      </c>
      <c r="AE429" s="10">
        <v>0.11</v>
      </c>
      <c r="AF429" s="10" t="s">
        <v>278</v>
      </c>
      <c r="AG429" s="10">
        <v>2022</v>
      </c>
      <c r="AH429" s="10" t="s">
        <v>279</v>
      </c>
      <c r="AI429" s="2">
        <v>50</v>
      </c>
      <c r="AJ429" s="2">
        <v>2</v>
      </c>
      <c r="AK429" s="2">
        <v>1</v>
      </c>
    </row>
    <row r="430" spans="1:37" x14ac:dyDescent="0.3">
      <c r="A430" s="11">
        <v>6.1155234657039701</v>
      </c>
      <c r="B430" s="11">
        <v>617.04035874439398</v>
      </c>
      <c r="C430" s="10" t="s">
        <v>33</v>
      </c>
      <c r="D430" s="10" t="s">
        <v>302</v>
      </c>
      <c r="E430" s="10" t="s">
        <v>170</v>
      </c>
      <c r="F430" s="10" t="s">
        <v>34</v>
      </c>
      <c r="G430" s="10">
        <v>0.72</v>
      </c>
      <c r="H430" s="10" t="s">
        <v>34</v>
      </c>
      <c r="I430" s="10" t="s">
        <v>34</v>
      </c>
      <c r="J430" s="10">
        <v>1.2</v>
      </c>
      <c r="K430" s="10" t="s">
        <v>34</v>
      </c>
      <c r="L430" s="10">
        <v>0</v>
      </c>
      <c r="M430" s="10">
        <v>57</v>
      </c>
      <c r="N430" s="10" t="s">
        <v>34</v>
      </c>
      <c r="O430" s="10">
        <v>0.74199999999999999</v>
      </c>
      <c r="P430" s="10">
        <v>0.502</v>
      </c>
      <c r="Q430" s="10">
        <v>22.64</v>
      </c>
      <c r="R430" s="10">
        <v>2.65</v>
      </c>
      <c r="S430" s="10" t="s">
        <v>34</v>
      </c>
      <c r="T430" s="10" t="s">
        <v>36</v>
      </c>
      <c r="U430" s="10" t="s">
        <v>39</v>
      </c>
      <c r="V430" s="10" t="s">
        <v>162</v>
      </c>
      <c r="W430" s="10">
        <v>3</v>
      </c>
      <c r="X430" s="10">
        <v>2</v>
      </c>
      <c r="Y430" s="10">
        <v>1</v>
      </c>
      <c r="Z430" s="10" t="s">
        <v>39</v>
      </c>
      <c r="AA430" s="10">
        <v>0.48</v>
      </c>
      <c r="AB430" s="10">
        <v>5</v>
      </c>
      <c r="AC430" s="10" t="s">
        <v>281</v>
      </c>
      <c r="AD430" s="10" t="s">
        <v>277</v>
      </c>
      <c r="AE430" s="10">
        <v>0.11</v>
      </c>
      <c r="AF430" s="10" t="s">
        <v>278</v>
      </c>
      <c r="AG430" s="10">
        <v>2022</v>
      </c>
      <c r="AH430" s="10" t="s">
        <v>279</v>
      </c>
      <c r="AI430" s="2">
        <v>50</v>
      </c>
      <c r="AJ430" s="2">
        <v>2</v>
      </c>
      <c r="AK430" s="2">
        <v>1</v>
      </c>
    </row>
    <row r="431" spans="1:37" x14ac:dyDescent="0.3">
      <c r="A431" s="11">
        <v>6.3682310469313999</v>
      </c>
      <c r="B431" s="11">
        <v>656.50224215246499</v>
      </c>
      <c r="C431" s="10" t="s">
        <v>33</v>
      </c>
      <c r="D431" s="10" t="s">
        <v>303</v>
      </c>
      <c r="E431" s="10" t="s">
        <v>170</v>
      </c>
      <c r="F431" s="10" t="s">
        <v>34</v>
      </c>
      <c r="G431" s="10">
        <v>0.72</v>
      </c>
      <c r="H431" s="10" t="s">
        <v>34</v>
      </c>
      <c r="I431" s="10" t="s">
        <v>34</v>
      </c>
      <c r="J431" s="10">
        <v>1.2</v>
      </c>
      <c r="K431" s="10" t="s">
        <v>34</v>
      </c>
      <c r="L431" s="10">
        <v>0</v>
      </c>
      <c r="M431" s="10">
        <v>57</v>
      </c>
      <c r="N431" s="10" t="s">
        <v>34</v>
      </c>
      <c r="O431" s="10">
        <v>0.74199999999999999</v>
      </c>
      <c r="P431" s="10">
        <v>0.502</v>
      </c>
      <c r="Q431" s="10">
        <v>22.64</v>
      </c>
      <c r="R431" s="10">
        <v>2.65</v>
      </c>
      <c r="S431" s="10" t="s">
        <v>34</v>
      </c>
      <c r="T431" s="10" t="s">
        <v>36</v>
      </c>
      <c r="U431" s="10" t="s">
        <v>39</v>
      </c>
      <c r="V431" s="10" t="s">
        <v>162</v>
      </c>
      <c r="W431" s="10">
        <v>3</v>
      </c>
      <c r="X431" s="10">
        <v>2</v>
      </c>
      <c r="Y431" s="10">
        <v>1</v>
      </c>
      <c r="Z431" s="10" t="s">
        <v>39</v>
      </c>
      <c r="AA431" s="10">
        <v>0.48</v>
      </c>
      <c r="AB431" s="10">
        <v>5</v>
      </c>
      <c r="AC431" s="10" t="s">
        <v>281</v>
      </c>
      <c r="AD431" s="10" t="s">
        <v>277</v>
      </c>
      <c r="AE431" s="10">
        <v>0.11</v>
      </c>
      <c r="AF431" s="10" t="s">
        <v>278</v>
      </c>
      <c r="AG431" s="10">
        <v>2022</v>
      </c>
      <c r="AH431" s="10" t="s">
        <v>279</v>
      </c>
      <c r="AI431" s="2">
        <v>50</v>
      </c>
      <c r="AJ431" s="2">
        <v>2</v>
      </c>
      <c r="AK431" s="2">
        <v>1</v>
      </c>
    </row>
    <row r="432" spans="1:37" x14ac:dyDescent="0.3">
      <c r="A432" s="31">
        <v>6.4620938628158804</v>
      </c>
      <c r="B432" s="31">
        <v>534.52914798206098</v>
      </c>
      <c r="C432" s="33" t="s">
        <v>33</v>
      </c>
      <c r="D432" s="33" t="s">
        <v>304</v>
      </c>
      <c r="E432" s="33" t="s">
        <v>170</v>
      </c>
      <c r="F432" s="33" t="s">
        <v>34</v>
      </c>
      <c r="G432" s="33">
        <v>0.72</v>
      </c>
      <c r="H432" s="33" t="s">
        <v>34</v>
      </c>
      <c r="I432" s="33" t="s">
        <v>34</v>
      </c>
      <c r="J432" s="33">
        <v>1.2</v>
      </c>
      <c r="K432" s="33" t="s">
        <v>34</v>
      </c>
      <c r="L432" s="33">
        <v>0</v>
      </c>
      <c r="M432" s="33">
        <v>57</v>
      </c>
      <c r="N432" s="33" t="s">
        <v>34</v>
      </c>
      <c r="O432" s="33">
        <v>0.74199999999999999</v>
      </c>
      <c r="P432" s="33">
        <v>0.502</v>
      </c>
      <c r="Q432" s="33">
        <v>22.64</v>
      </c>
      <c r="R432" s="33">
        <v>2.65</v>
      </c>
      <c r="S432" s="33" t="s">
        <v>34</v>
      </c>
      <c r="T432" s="33" t="s">
        <v>36</v>
      </c>
      <c r="U432" s="33" t="s">
        <v>39</v>
      </c>
      <c r="V432" s="33" t="s">
        <v>162</v>
      </c>
      <c r="W432" s="33">
        <v>3</v>
      </c>
      <c r="X432" s="33">
        <v>2</v>
      </c>
      <c r="Y432" s="33">
        <v>1</v>
      </c>
      <c r="Z432" s="33" t="s">
        <v>39</v>
      </c>
      <c r="AA432" s="33">
        <v>0.48</v>
      </c>
      <c r="AB432" s="33">
        <v>5</v>
      </c>
      <c r="AC432" s="33" t="s">
        <v>281</v>
      </c>
      <c r="AD432" s="33" t="s">
        <v>277</v>
      </c>
      <c r="AE432" s="33">
        <v>0.11</v>
      </c>
      <c r="AF432" s="33" t="s">
        <v>278</v>
      </c>
      <c r="AG432" s="33">
        <v>2022</v>
      </c>
      <c r="AH432" s="33" t="s">
        <v>279</v>
      </c>
      <c r="AI432" s="2">
        <v>50</v>
      </c>
      <c r="AJ432" s="2">
        <v>2</v>
      </c>
      <c r="AK432" s="2">
        <v>1</v>
      </c>
    </row>
    <row r="433" spans="1:37" s="34" customFormat="1" ht="16.2" thickBot="1" x14ac:dyDescent="0.35">
      <c r="A433" s="17">
        <v>6.6714801444043301</v>
      </c>
      <c r="B433" s="17">
        <v>645.73991031390096</v>
      </c>
      <c r="C433" s="14" t="s">
        <v>33</v>
      </c>
      <c r="D433" s="14" t="s">
        <v>305</v>
      </c>
      <c r="E433" s="14" t="s">
        <v>170</v>
      </c>
      <c r="F433" s="14" t="s">
        <v>34</v>
      </c>
      <c r="G433" s="14">
        <v>0.72</v>
      </c>
      <c r="H433" s="14" t="s">
        <v>34</v>
      </c>
      <c r="I433" s="14" t="s">
        <v>34</v>
      </c>
      <c r="J433" s="14">
        <v>1.2</v>
      </c>
      <c r="K433" s="14" t="s">
        <v>34</v>
      </c>
      <c r="L433" s="14">
        <v>0</v>
      </c>
      <c r="M433" s="14">
        <v>57</v>
      </c>
      <c r="N433" s="14" t="s">
        <v>34</v>
      </c>
      <c r="O433" s="14">
        <v>0.74199999999999999</v>
      </c>
      <c r="P433" s="14">
        <v>0.502</v>
      </c>
      <c r="Q433" s="14">
        <v>22.64</v>
      </c>
      <c r="R433" s="14">
        <v>2.65</v>
      </c>
      <c r="S433" s="14" t="s">
        <v>34</v>
      </c>
      <c r="T433" s="14" t="s">
        <v>36</v>
      </c>
      <c r="U433" s="14" t="s">
        <v>39</v>
      </c>
      <c r="V433" s="14" t="s">
        <v>162</v>
      </c>
      <c r="W433" s="14">
        <v>3</v>
      </c>
      <c r="X433" s="14">
        <v>2</v>
      </c>
      <c r="Y433" s="14">
        <v>1</v>
      </c>
      <c r="Z433" s="14" t="s">
        <v>39</v>
      </c>
      <c r="AA433" s="14">
        <v>0.48</v>
      </c>
      <c r="AB433" s="14">
        <v>4.5</v>
      </c>
      <c r="AC433" s="14" t="s">
        <v>281</v>
      </c>
      <c r="AD433" s="14" t="s">
        <v>277</v>
      </c>
      <c r="AE433" s="14">
        <v>0.11</v>
      </c>
      <c r="AF433" s="14" t="s">
        <v>278</v>
      </c>
      <c r="AG433" s="14">
        <v>2022</v>
      </c>
      <c r="AH433" s="14" t="s">
        <v>279</v>
      </c>
      <c r="AI433" s="61">
        <v>50</v>
      </c>
      <c r="AJ433" s="15">
        <v>2</v>
      </c>
      <c r="AK433" s="15">
        <v>1</v>
      </c>
    </row>
    <row r="434" spans="1:37" x14ac:dyDescent="0.3">
      <c r="A434" s="12">
        <v>7.9970414201183404</v>
      </c>
      <c r="B434" s="12">
        <v>673.25367647058795</v>
      </c>
      <c r="C434" s="13" t="s">
        <v>33</v>
      </c>
      <c r="D434" s="13" t="s">
        <v>34</v>
      </c>
      <c r="E434" s="13" t="s">
        <v>170</v>
      </c>
      <c r="F434" s="13" t="s">
        <v>34</v>
      </c>
      <c r="G434" s="13">
        <v>0.51</v>
      </c>
      <c r="H434" s="13" t="s">
        <v>34</v>
      </c>
      <c r="I434" s="13" t="s">
        <v>34</v>
      </c>
      <c r="J434" s="13" t="s">
        <v>34</v>
      </c>
      <c r="K434" s="13" t="s">
        <v>34</v>
      </c>
      <c r="L434" s="13">
        <v>0</v>
      </c>
      <c r="M434" s="13">
        <v>62.47</v>
      </c>
      <c r="N434" s="13" t="s">
        <v>34</v>
      </c>
      <c r="O434" s="13">
        <v>1.2110000000000001</v>
      </c>
      <c r="P434" s="13">
        <v>0.69399999999999995</v>
      </c>
      <c r="Q434" s="13">
        <v>33.200000000000003</v>
      </c>
      <c r="R434" s="13">
        <v>2.56</v>
      </c>
      <c r="S434" s="13" t="s">
        <v>34</v>
      </c>
      <c r="T434" s="13" t="s">
        <v>49</v>
      </c>
      <c r="U434" s="13" t="s">
        <v>306</v>
      </c>
      <c r="V434" s="13" t="s">
        <v>38</v>
      </c>
      <c r="W434" s="13">
        <v>3</v>
      </c>
      <c r="X434" s="13">
        <v>1</v>
      </c>
      <c r="Y434" s="13">
        <v>1</v>
      </c>
      <c r="Z434" s="13" t="s">
        <v>307</v>
      </c>
      <c r="AA434" s="13">
        <v>1.1100000000000001</v>
      </c>
      <c r="AB434" s="13">
        <v>7.45</v>
      </c>
      <c r="AC434" s="13" t="s">
        <v>308</v>
      </c>
      <c r="AD434" s="13" t="s">
        <v>277</v>
      </c>
      <c r="AE434" s="13">
        <v>0.66300000000000003</v>
      </c>
      <c r="AF434" s="13" t="s">
        <v>309</v>
      </c>
      <c r="AG434" s="13">
        <v>2025</v>
      </c>
      <c r="AH434" s="13" t="s">
        <v>310</v>
      </c>
      <c r="AI434" s="2">
        <v>50</v>
      </c>
      <c r="AJ434" s="2">
        <v>2</v>
      </c>
      <c r="AK434" s="2">
        <v>1</v>
      </c>
    </row>
    <row r="435" spans="1:37" x14ac:dyDescent="0.3">
      <c r="A435" s="11">
        <v>8.12130177514792</v>
      </c>
      <c r="B435" s="11">
        <v>565.25735294117601</v>
      </c>
      <c r="C435" s="13" t="s">
        <v>33</v>
      </c>
      <c r="D435" s="10" t="s">
        <v>34</v>
      </c>
      <c r="E435" s="10" t="s">
        <v>170</v>
      </c>
      <c r="F435" s="10" t="s">
        <v>34</v>
      </c>
      <c r="G435" s="10">
        <v>0.51</v>
      </c>
      <c r="H435" s="10" t="s">
        <v>34</v>
      </c>
      <c r="I435" s="10" t="s">
        <v>34</v>
      </c>
      <c r="J435" s="10" t="s">
        <v>34</v>
      </c>
      <c r="K435" s="10" t="s">
        <v>34</v>
      </c>
      <c r="L435" s="10">
        <v>0</v>
      </c>
      <c r="M435" s="10">
        <v>62.47</v>
      </c>
      <c r="N435" s="10" t="s">
        <v>34</v>
      </c>
      <c r="O435" s="10">
        <v>1.2110000000000001</v>
      </c>
      <c r="P435" s="10">
        <v>0.69399999999999995</v>
      </c>
      <c r="Q435" s="10">
        <v>33.200000000000003</v>
      </c>
      <c r="R435" s="10">
        <v>2.56</v>
      </c>
      <c r="S435" s="10" t="s">
        <v>34</v>
      </c>
      <c r="T435" s="10" t="s">
        <v>49</v>
      </c>
      <c r="U435" s="10" t="s">
        <v>306</v>
      </c>
      <c r="V435" s="10" t="s">
        <v>38</v>
      </c>
      <c r="W435" s="10">
        <v>3</v>
      </c>
      <c r="X435" s="10">
        <v>1</v>
      </c>
      <c r="Y435" s="10">
        <v>1</v>
      </c>
      <c r="Z435" s="10" t="s">
        <v>307</v>
      </c>
      <c r="AA435" s="10">
        <v>1.1100000000000001</v>
      </c>
      <c r="AB435" s="10">
        <v>7.45</v>
      </c>
      <c r="AC435" s="10" t="s">
        <v>308</v>
      </c>
      <c r="AD435" s="10" t="s">
        <v>277</v>
      </c>
      <c r="AE435" s="10">
        <v>0.66300000000000003</v>
      </c>
      <c r="AF435" s="10" t="s">
        <v>309</v>
      </c>
      <c r="AG435" s="10">
        <v>2025</v>
      </c>
      <c r="AH435" s="10" t="s">
        <v>310</v>
      </c>
      <c r="AI435" s="2">
        <v>50</v>
      </c>
      <c r="AJ435" s="2">
        <v>2</v>
      </c>
      <c r="AK435" s="2">
        <v>1</v>
      </c>
    </row>
    <row r="436" spans="1:37" x14ac:dyDescent="0.3">
      <c r="A436" s="11">
        <v>8.2633136094674509</v>
      </c>
      <c r="B436" s="11">
        <v>728.400735294117</v>
      </c>
      <c r="C436" s="13" t="s">
        <v>33</v>
      </c>
      <c r="D436" s="10" t="s">
        <v>34</v>
      </c>
      <c r="E436" s="10" t="s">
        <v>170</v>
      </c>
      <c r="F436" s="10" t="s">
        <v>34</v>
      </c>
      <c r="G436" s="10">
        <v>0.51</v>
      </c>
      <c r="H436" s="10" t="s">
        <v>34</v>
      </c>
      <c r="I436" s="10" t="s">
        <v>34</v>
      </c>
      <c r="J436" s="10" t="s">
        <v>34</v>
      </c>
      <c r="K436" s="10" t="s">
        <v>34</v>
      </c>
      <c r="L436" s="10">
        <v>0</v>
      </c>
      <c r="M436" s="10">
        <v>62.47</v>
      </c>
      <c r="N436" s="10" t="s">
        <v>34</v>
      </c>
      <c r="O436" s="10">
        <v>1.2110000000000001</v>
      </c>
      <c r="P436" s="10">
        <v>0.69399999999999995</v>
      </c>
      <c r="Q436" s="10">
        <v>33.200000000000003</v>
      </c>
      <c r="R436" s="10">
        <v>2.56</v>
      </c>
      <c r="S436" s="10" t="s">
        <v>34</v>
      </c>
      <c r="T436" s="10" t="s">
        <v>49</v>
      </c>
      <c r="U436" s="10" t="s">
        <v>306</v>
      </c>
      <c r="V436" s="10" t="s">
        <v>38</v>
      </c>
      <c r="W436" s="10">
        <v>3</v>
      </c>
      <c r="X436" s="10">
        <v>1</v>
      </c>
      <c r="Y436" s="10">
        <v>1</v>
      </c>
      <c r="Z436" s="10" t="s">
        <v>307</v>
      </c>
      <c r="AA436" s="10">
        <v>1.1100000000000001</v>
      </c>
      <c r="AB436" s="10">
        <v>7.45</v>
      </c>
      <c r="AC436" s="10" t="s">
        <v>308</v>
      </c>
      <c r="AD436" s="10" t="s">
        <v>277</v>
      </c>
      <c r="AE436" s="10">
        <v>0.66300000000000003</v>
      </c>
      <c r="AF436" s="10" t="s">
        <v>309</v>
      </c>
      <c r="AG436" s="10">
        <v>2025</v>
      </c>
      <c r="AH436" s="10" t="s">
        <v>310</v>
      </c>
      <c r="AI436" s="2">
        <v>50</v>
      </c>
      <c r="AJ436" s="2">
        <v>2</v>
      </c>
      <c r="AK436" s="2">
        <v>1</v>
      </c>
    </row>
    <row r="437" spans="1:37" x14ac:dyDescent="0.3">
      <c r="A437" s="11">
        <v>8.2810650887573907</v>
      </c>
      <c r="B437" s="11">
        <v>755.97426470588198</v>
      </c>
      <c r="C437" s="13" t="s">
        <v>33</v>
      </c>
      <c r="D437" s="10" t="s">
        <v>34</v>
      </c>
      <c r="E437" s="10" t="s">
        <v>170</v>
      </c>
      <c r="F437" s="10" t="s">
        <v>34</v>
      </c>
      <c r="G437" s="10">
        <v>0.51</v>
      </c>
      <c r="H437" s="10" t="s">
        <v>34</v>
      </c>
      <c r="I437" s="10" t="s">
        <v>34</v>
      </c>
      <c r="J437" s="10" t="s">
        <v>34</v>
      </c>
      <c r="K437" s="10" t="s">
        <v>34</v>
      </c>
      <c r="L437" s="10">
        <v>0</v>
      </c>
      <c r="M437" s="10">
        <v>62.47</v>
      </c>
      <c r="N437" s="10" t="s">
        <v>34</v>
      </c>
      <c r="O437" s="10">
        <v>1.2110000000000001</v>
      </c>
      <c r="P437" s="10">
        <v>0.69399999999999995</v>
      </c>
      <c r="Q437" s="10">
        <v>33.200000000000003</v>
      </c>
      <c r="R437" s="10">
        <v>2.56</v>
      </c>
      <c r="S437" s="10" t="s">
        <v>34</v>
      </c>
      <c r="T437" s="10" t="s">
        <v>49</v>
      </c>
      <c r="U437" s="10" t="s">
        <v>306</v>
      </c>
      <c r="V437" s="10" t="s">
        <v>38</v>
      </c>
      <c r="W437" s="10">
        <v>3</v>
      </c>
      <c r="X437" s="10">
        <v>1</v>
      </c>
      <c r="Y437" s="10">
        <v>1</v>
      </c>
      <c r="Z437" s="10" t="s">
        <v>307</v>
      </c>
      <c r="AA437" s="10">
        <v>1.1100000000000001</v>
      </c>
      <c r="AB437" s="10">
        <v>4.5</v>
      </c>
      <c r="AC437" s="10" t="s">
        <v>308</v>
      </c>
      <c r="AD437" s="10" t="s">
        <v>277</v>
      </c>
      <c r="AE437" s="10">
        <v>0.66300000000000003</v>
      </c>
      <c r="AF437" s="10" t="s">
        <v>309</v>
      </c>
      <c r="AG437" s="10">
        <v>2025</v>
      </c>
      <c r="AH437" s="10" t="s">
        <v>310</v>
      </c>
      <c r="AI437" s="2">
        <v>50</v>
      </c>
      <c r="AJ437" s="2">
        <v>2</v>
      </c>
      <c r="AK437" s="2">
        <v>1</v>
      </c>
    </row>
    <row r="438" spans="1:37" x14ac:dyDescent="0.3">
      <c r="A438" s="11">
        <v>8.3165680473372703</v>
      </c>
      <c r="B438" s="11">
        <v>797.33455882352905</v>
      </c>
      <c r="C438" s="13" t="s">
        <v>33</v>
      </c>
      <c r="D438" s="10" t="s">
        <v>34</v>
      </c>
      <c r="E438" s="10" t="s">
        <v>170</v>
      </c>
      <c r="F438" s="10" t="s">
        <v>34</v>
      </c>
      <c r="G438" s="10">
        <v>0.51</v>
      </c>
      <c r="H438" s="10" t="s">
        <v>34</v>
      </c>
      <c r="I438" s="10" t="s">
        <v>34</v>
      </c>
      <c r="J438" s="10" t="s">
        <v>34</v>
      </c>
      <c r="K438" s="10" t="s">
        <v>34</v>
      </c>
      <c r="L438" s="10">
        <v>0</v>
      </c>
      <c r="M438" s="10">
        <v>62.47</v>
      </c>
      <c r="N438" s="10" t="s">
        <v>34</v>
      </c>
      <c r="O438" s="10">
        <v>1.2110000000000001</v>
      </c>
      <c r="P438" s="10">
        <v>0.69399999999999995</v>
      </c>
      <c r="Q438" s="10">
        <v>33.200000000000003</v>
      </c>
      <c r="R438" s="10">
        <v>2.56</v>
      </c>
      <c r="S438" s="10" t="s">
        <v>34</v>
      </c>
      <c r="T438" s="10" t="s">
        <v>49</v>
      </c>
      <c r="U438" s="10" t="s">
        <v>306</v>
      </c>
      <c r="V438" s="10" t="s">
        <v>38</v>
      </c>
      <c r="W438" s="10">
        <v>3</v>
      </c>
      <c r="X438" s="10">
        <v>1</v>
      </c>
      <c r="Y438" s="10">
        <v>1</v>
      </c>
      <c r="Z438" s="10" t="s">
        <v>307</v>
      </c>
      <c r="AA438" s="10">
        <v>1.1100000000000001</v>
      </c>
      <c r="AB438" s="10">
        <v>4.5</v>
      </c>
      <c r="AC438" s="10" t="s">
        <v>308</v>
      </c>
      <c r="AD438" s="10" t="s">
        <v>277</v>
      </c>
      <c r="AE438" s="10">
        <v>0.66300000000000003</v>
      </c>
      <c r="AF438" s="10" t="s">
        <v>309</v>
      </c>
      <c r="AG438" s="10">
        <v>2025</v>
      </c>
      <c r="AH438" s="10" t="s">
        <v>310</v>
      </c>
      <c r="AI438" s="2">
        <v>50</v>
      </c>
      <c r="AJ438" s="2">
        <v>2</v>
      </c>
      <c r="AK438" s="2">
        <v>1</v>
      </c>
    </row>
    <row r="439" spans="1:37" x14ac:dyDescent="0.3">
      <c r="A439" s="11">
        <v>8.4142011834319508</v>
      </c>
      <c r="B439" s="11">
        <v>836.39705882352905</v>
      </c>
      <c r="C439" s="13" t="s">
        <v>33</v>
      </c>
      <c r="D439" s="10" t="s">
        <v>34</v>
      </c>
      <c r="E439" s="10" t="s">
        <v>170</v>
      </c>
      <c r="F439" s="10" t="s">
        <v>34</v>
      </c>
      <c r="G439" s="10">
        <v>0.51</v>
      </c>
      <c r="H439" s="10" t="s">
        <v>34</v>
      </c>
      <c r="I439" s="10" t="s">
        <v>34</v>
      </c>
      <c r="J439" s="10" t="s">
        <v>34</v>
      </c>
      <c r="K439" s="10" t="s">
        <v>34</v>
      </c>
      <c r="L439" s="10">
        <v>0</v>
      </c>
      <c r="M439" s="10">
        <v>62.47</v>
      </c>
      <c r="N439" s="10" t="s">
        <v>34</v>
      </c>
      <c r="O439" s="10">
        <v>1.2110000000000001</v>
      </c>
      <c r="P439" s="10">
        <v>0.69399999999999995</v>
      </c>
      <c r="Q439" s="10">
        <v>33.200000000000003</v>
      </c>
      <c r="R439" s="10">
        <v>2.56</v>
      </c>
      <c r="S439" s="10" t="s">
        <v>34</v>
      </c>
      <c r="T439" s="10" t="s">
        <v>49</v>
      </c>
      <c r="U439" s="10" t="s">
        <v>306</v>
      </c>
      <c r="V439" s="10" t="s">
        <v>38</v>
      </c>
      <c r="W439" s="10">
        <v>3</v>
      </c>
      <c r="X439" s="10">
        <v>1</v>
      </c>
      <c r="Y439" s="10">
        <v>1</v>
      </c>
      <c r="Z439" s="10" t="s">
        <v>307</v>
      </c>
      <c r="AA439" s="10">
        <v>1.1100000000000001</v>
      </c>
      <c r="AB439" s="10">
        <v>4.5</v>
      </c>
      <c r="AC439" s="10" t="s">
        <v>308</v>
      </c>
      <c r="AD439" s="10" t="s">
        <v>277</v>
      </c>
      <c r="AE439" s="10">
        <v>0.66300000000000003</v>
      </c>
      <c r="AF439" s="10" t="s">
        <v>309</v>
      </c>
      <c r="AG439" s="10">
        <v>2025</v>
      </c>
      <c r="AH439" s="10" t="s">
        <v>310</v>
      </c>
      <c r="AI439" s="2">
        <v>50</v>
      </c>
      <c r="AJ439" s="2">
        <v>2</v>
      </c>
      <c r="AK439" s="2">
        <v>1</v>
      </c>
    </row>
    <row r="440" spans="1:37" x14ac:dyDescent="0.3">
      <c r="A440" s="11">
        <v>7.1715976331360896</v>
      </c>
      <c r="B440" s="11">
        <v>767.463235294117</v>
      </c>
      <c r="C440" s="13" t="s">
        <v>33</v>
      </c>
      <c r="D440" s="10" t="s">
        <v>34</v>
      </c>
      <c r="E440" s="10" t="s">
        <v>170</v>
      </c>
      <c r="F440" s="10" t="s">
        <v>34</v>
      </c>
      <c r="G440" s="10">
        <v>0.51</v>
      </c>
      <c r="H440" s="10" t="s">
        <v>34</v>
      </c>
      <c r="I440" s="10" t="s">
        <v>34</v>
      </c>
      <c r="J440" s="10" t="s">
        <v>34</v>
      </c>
      <c r="K440" s="10" t="s">
        <v>34</v>
      </c>
      <c r="L440" s="10">
        <v>0</v>
      </c>
      <c r="M440" s="10">
        <v>62.47</v>
      </c>
      <c r="N440" s="10" t="s">
        <v>34</v>
      </c>
      <c r="O440" s="10">
        <v>1.2110000000000001</v>
      </c>
      <c r="P440" s="10">
        <v>0.69399999999999995</v>
      </c>
      <c r="Q440" s="10">
        <v>33.200000000000003</v>
      </c>
      <c r="R440" s="10">
        <v>2.56</v>
      </c>
      <c r="S440" s="10" t="s">
        <v>34</v>
      </c>
      <c r="T440" s="10" t="s">
        <v>49</v>
      </c>
      <c r="U440" s="10" t="s">
        <v>306</v>
      </c>
      <c r="V440" s="10" t="s">
        <v>38</v>
      </c>
      <c r="W440" s="10">
        <v>3</v>
      </c>
      <c r="X440" s="10">
        <v>1</v>
      </c>
      <c r="Y440" s="10">
        <v>1</v>
      </c>
      <c r="Z440" s="10" t="s">
        <v>307</v>
      </c>
      <c r="AA440" s="10">
        <v>1.1100000000000001</v>
      </c>
      <c r="AB440" s="10">
        <v>2</v>
      </c>
      <c r="AC440" s="10" t="s">
        <v>308</v>
      </c>
      <c r="AD440" s="10" t="s">
        <v>277</v>
      </c>
      <c r="AE440" s="10">
        <v>0.66300000000000003</v>
      </c>
      <c r="AF440" s="10" t="s">
        <v>309</v>
      </c>
      <c r="AG440" s="10">
        <v>2025</v>
      </c>
      <c r="AH440" s="10" t="s">
        <v>310</v>
      </c>
      <c r="AI440" s="2">
        <v>50</v>
      </c>
      <c r="AJ440" s="2">
        <v>2</v>
      </c>
      <c r="AK440" s="2">
        <v>1</v>
      </c>
    </row>
    <row r="441" spans="1:37" x14ac:dyDescent="0.3">
      <c r="A441" s="11">
        <v>7.7573964497041397</v>
      </c>
      <c r="B441" s="11">
        <v>815.71691176470495</v>
      </c>
      <c r="C441" s="13" t="s">
        <v>33</v>
      </c>
      <c r="D441" s="10" t="s">
        <v>34</v>
      </c>
      <c r="E441" s="10" t="s">
        <v>170</v>
      </c>
      <c r="F441" s="10" t="s">
        <v>34</v>
      </c>
      <c r="G441" s="10">
        <v>0.51</v>
      </c>
      <c r="H441" s="10" t="s">
        <v>34</v>
      </c>
      <c r="I441" s="10" t="s">
        <v>34</v>
      </c>
      <c r="J441" s="10" t="s">
        <v>34</v>
      </c>
      <c r="K441" s="10" t="s">
        <v>34</v>
      </c>
      <c r="L441" s="10">
        <v>0</v>
      </c>
      <c r="M441" s="10">
        <v>62.47</v>
      </c>
      <c r="N441" s="10" t="s">
        <v>34</v>
      </c>
      <c r="O441" s="10">
        <v>1.2110000000000001</v>
      </c>
      <c r="P441" s="10">
        <v>0.69399999999999995</v>
      </c>
      <c r="Q441" s="10">
        <v>33.200000000000003</v>
      </c>
      <c r="R441" s="10">
        <v>2.56</v>
      </c>
      <c r="S441" s="10" t="s">
        <v>34</v>
      </c>
      <c r="T441" s="10" t="s">
        <v>49</v>
      </c>
      <c r="U441" s="10" t="s">
        <v>306</v>
      </c>
      <c r="V441" s="10" t="s">
        <v>38</v>
      </c>
      <c r="W441" s="10">
        <v>3</v>
      </c>
      <c r="X441" s="10">
        <v>1</v>
      </c>
      <c r="Y441" s="10">
        <v>1</v>
      </c>
      <c r="Z441" s="10" t="s">
        <v>307</v>
      </c>
      <c r="AA441" s="10">
        <v>1.1100000000000001</v>
      </c>
      <c r="AB441" s="10">
        <v>2</v>
      </c>
      <c r="AC441" s="10" t="s">
        <v>308</v>
      </c>
      <c r="AD441" s="10" t="s">
        <v>277</v>
      </c>
      <c r="AE441" s="10">
        <v>0.66300000000000003</v>
      </c>
      <c r="AF441" s="10" t="s">
        <v>309</v>
      </c>
      <c r="AG441" s="10">
        <v>2025</v>
      </c>
      <c r="AH441" s="10" t="s">
        <v>310</v>
      </c>
      <c r="AI441" s="2">
        <v>50</v>
      </c>
      <c r="AJ441" s="2">
        <v>2</v>
      </c>
      <c r="AK441" s="2">
        <v>1</v>
      </c>
    </row>
    <row r="442" spans="1:37" x14ac:dyDescent="0.3">
      <c r="A442" s="11">
        <v>7.6863905325443698</v>
      </c>
      <c r="B442" s="11">
        <v>1123.6213235294099</v>
      </c>
      <c r="C442" s="13" t="s">
        <v>33</v>
      </c>
      <c r="D442" s="10" t="s">
        <v>34</v>
      </c>
      <c r="E442" s="10" t="s">
        <v>170</v>
      </c>
      <c r="F442" s="10" t="s">
        <v>34</v>
      </c>
      <c r="G442" s="10">
        <v>0.51</v>
      </c>
      <c r="H442" s="10" t="s">
        <v>34</v>
      </c>
      <c r="I442" s="10" t="s">
        <v>34</v>
      </c>
      <c r="J442" s="10" t="s">
        <v>34</v>
      </c>
      <c r="K442" s="10" t="s">
        <v>34</v>
      </c>
      <c r="L442" s="10">
        <v>0</v>
      </c>
      <c r="M442" s="10">
        <v>62.47</v>
      </c>
      <c r="N442" s="10" t="s">
        <v>34</v>
      </c>
      <c r="O442" s="10">
        <v>1.2110000000000001</v>
      </c>
      <c r="P442" s="10">
        <v>0.69399999999999995</v>
      </c>
      <c r="Q442" s="10">
        <v>33.200000000000003</v>
      </c>
      <c r="R442" s="10">
        <v>2.56</v>
      </c>
      <c r="S442" s="10" t="s">
        <v>34</v>
      </c>
      <c r="T442" s="10" t="s">
        <v>49</v>
      </c>
      <c r="U442" s="10" t="s">
        <v>306</v>
      </c>
      <c r="V442" s="10" t="s">
        <v>38</v>
      </c>
      <c r="W442" s="10">
        <v>3</v>
      </c>
      <c r="X442" s="10">
        <v>1</v>
      </c>
      <c r="Y442" s="10">
        <v>1</v>
      </c>
      <c r="Z442" s="10" t="s">
        <v>307</v>
      </c>
      <c r="AA442" s="10">
        <v>1.1100000000000001</v>
      </c>
      <c r="AB442" s="10">
        <v>2</v>
      </c>
      <c r="AC442" s="10" t="s">
        <v>308</v>
      </c>
      <c r="AD442" s="10" t="s">
        <v>277</v>
      </c>
      <c r="AE442" s="10">
        <v>0.66300000000000003</v>
      </c>
      <c r="AF442" s="10" t="s">
        <v>309</v>
      </c>
      <c r="AG442" s="10">
        <v>2025</v>
      </c>
      <c r="AH442" s="10" t="s">
        <v>310</v>
      </c>
      <c r="AI442" s="2">
        <v>50</v>
      </c>
      <c r="AJ442" s="2">
        <v>2</v>
      </c>
      <c r="AK442" s="2">
        <v>1</v>
      </c>
    </row>
    <row r="443" spans="1:37" x14ac:dyDescent="0.3">
      <c r="A443" s="11">
        <v>7.3224852071005904</v>
      </c>
      <c r="B443" s="11">
        <v>1029.4117647058799</v>
      </c>
      <c r="C443" s="13" t="s">
        <v>33</v>
      </c>
      <c r="D443" s="10" t="s">
        <v>34</v>
      </c>
      <c r="E443" s="10" t="s">
        <v>170</v>
      </c>
      <c r="F443" s="10" t="s">
        <v>34</v>
      </c>
      <c r="G443" s="10">
        <v>0.51</v>
      </c>
      <c r="H443" s="10" t="s">
        <v>34</v>
      </c>
      <c r="I443" s="10" t="s">
        <v>34</v>
      </c>
      <c r="J443" s="10" t="s">
        <v>34</v>
      </c>
      <c r="K443" s="10" t="s">
        <v>34</v>
      </c>
      <c r="L443" s="10">
        <v>0</v>
      </c>
      <c r="M443" s="10">
        <v>62.47</v>
      </c>
      <c r="N443" s="10" t="s">
        <v>34</v>
      </c>
      <c r="O443" s="10">
        <v>1.2110000000000001</v>
      </c>
      <c r="P443" s="10">
        <v>0.69399999999999995</v>
      </c>
      <c r="Q443" s="10">
        <v>33.200000000000003</v>
      </c>
      <c r="R443" s="10">
        <v>2.56</v>
      </c>
      <c r="S443" s="10" t="s">
        <v>34</v>
      </c>
      <c r="T443" s="10" t="s">
        <v>49</v>
      </c>
      <c r="U443" s="10" t="s">
        <v>306</v>
      </c>
      <c r="V443" s="10" t="s">
        <v>38</v>
      </c>
      <c r="W443" s="10">
        <v>3</v>
      </c>
      <c r="X443" s="10">
        <v>1</v>
      </c>
      <c r="Y443" s="10">
        <v>1</v>
      </c>
      <c r="Z443" s="10" t="s">
        <v>307</v>
      </c>
      <c r="AA443" s="10">
        <v>1.1100000000000001</v>
      </c>
      <c r="AB443" s="10">
        <v>1.75</v>
      </c>
      <c r="AC443" s="10" t="s">
        <v>308</v>
      </c>
      <c r="AD443" s="10" t="s">
        <v>277</v>
      </c>
      <c r="AE443" s="10">
        <v>0.66300000000000003</v>
      </c>
      <c r="AF443" s="10" t="s">
        <v>309</v>
      </c>
      <c r="AG443" s="10">
        <v>2025</v>
      </c>
      <c r="AH443" s="10" t="s">
        <v>310</v>
      </c>
      <c r="AI443" s="2">
        <v>50</v>
      </c>
      <c r="AJ443" s="2">
        <v>2</v>
      </c>
      <c r="AK443" s="2">
        <v>1</v>
      </c>
    </row>
    <row r="444" spans="1:37" x14ac:dyDescent="0.3">
      <c r="A444" s="11">
        <v>7.5266272189348999</v>
      </c>
      <c r="B444" s="11">
        <v>988.05147058823502</v>
      </c>
      <c r="C444" s="13" t="s">
        <v>33</v>
      </c>
      <c r="D444" s="10" t="s">
        <v>34</v>
      </c>
      <c r="E444" s="10" t="s">
        <v>170</v>
      </c>
      <c r="F444" s="10" t="s">
        <v>34</v>
      </c>
      <c r="G444" s="10">
        <v>0.51</v>
      </c>
      <c r="H444" s="10" t="s">
        <v>34</v>
      </c>
      <c r="I444" s="10" t="s">
        <v>34</v>
      </c>
      <c r="J444" s="10" t="s">
        <v>34</v>
      </c>
      <c r="K444" s="10" t="s">
        <v>34</v>
      </c>
      <c r="L444" s="10">
        <v>0</v>
      </c>
      <c r="M444" s="10">
        <v>62.47</v>
      </c>
      <c r="N444" s="10" t="s">
        <v>34</v>
      </c>
      <c r="O444" s="10">
        <v>1.2110000000000001</v>
      </c>
      <c r="P444" s="10">
        <v>0.69399999999999995</v>
      </c>
      <c r="Q444" s="10">
        <v>33.200000000000003</v>
      </c>
      <c r="R444" s="10">
        <v>2.56</v>
      </c>
      <c r="S444" s="10" t="s">
        <v>34</v>
      </c>
      <c r="T444" s="10" t="s">
        <v>49</v>
      </c>
      <c r="U444" s="10" t="s">
        <v>306</v>
      </c>
      <c r="V444" s="10" t="s">
        <v>38</v>
      </c>
      <c r="W444" s="10">
        <v>3</v>
      </c>
      <c r="X444" s="10">
        <v>1</v>
      </c>
      <c r="Y444" s="10">
        <v>1</v>
      </c>
      <c r="Z444" s="10" t="s">
        <v>307</v>
      </c>
      <c r="AA444" s="10">
        <v>1.1100000000000001</v>
      </c>
      <c r="AB444" s="10">
        <v>1.75</v>
      </c>
      <c r="AC444" s="10" t="s">
        <v>308</v>
      </c>
      <c r="AD444" s="10" t="s">
        <v>277</v>
      </c>
      <c r="AE444" s="10">
        <v>0.66300000000000003</v>
      </c>
      <c r="AF444" s="10" t="s">
        <v>309</v>
      </c>
      <c r="AG444" s="10">
        <v>2025</v>
      </c>
      <c r="AH444" s="10" t="s">
        <v>310</v>
      </c>
      <c r="AI444" s="2">
        <v>50</v>
      </c>
      <c r="AJ444" s="2">
        <v>2</v>
      </c>
      <c r="AK444" s="2">
        <v>1</v>
      </c>
    </row>
    <row r="445" spans="1:37" x14ac:dyDescent="0.3">
      <c r="A445" s="11">
        <v>7.3224852071005904</v>
      </c>
      <c r="B445" s="11">
        <v>905.33088235294099</v>
      </c>
      <c r="C445" s="13" t="s">
        <v>33</v>
      </c>
      <c r="D445" s="10" t="s">
        <v>34</v>
      </c>
      <c r="E445" s="10" t="s">
        <v>170</v>
      </c>
      <c r="F445" s="10" t="s">
        <v>34</v>
      </c>
      <c r="G445" s="10">
        <v>0.51</v>
      </c>
      <c r="H445" s="10" t="s">
        <v>34</v>
      </c>
      <c r="I445" s="10" t="s">
        <v>34</v>
      </c>
      <c r="J445" s="10" t="s">
        <v>34</v>
      </c>
      <c r="K445" s="10" t="s">
        <v>34</v>
      </c>
      <c r="L445" s="10">
        <v>0</v>
      </c>
      <c r="M445" s="10">
        <v>62.47</v>
      </c>
      <c r="N445" s="10" t="s">
        <v>34</v>
      </c>
      <c r="O445" s="10">
        <v>1.2110000000000001</v>
      </c>
      <c r="P445" s="10">
        <v>0.69399999999999995</v>
      </c>
      <c r="Q445" s="10">
        <v>33.200000000000003</v>
      </c>
      <c r="R445" s="10">
        <v>2.56</v>
      </c>
      <c r="S445" s="10" t="s">
        <v>34</v>
      </c>
      <c r="T445" s="10" t="s">
        <v>49</v>
      </c>
      <c r="U445" s="10" t="s">
        <v>306</v>
      </c>
      <c r="V445" s="10" t="s">
        <v>38</v>
      </c>
      <c r="W445" s="10">
        <v>3</v>
      </c>
      <c r="X445" s="10">
        <v>1</v>
      </c>
      <c r="Y445" s="10">
        <v>1</v>
      </c>
      <c r="Z445" s="10" t="s">
        <v>307</v>
      </c>
      <c r="AA445" s="10">
        <v>1.1100000000000001</v>
      </c>
      <c r="AB445" s="10">
        <v>1.75</v>
      </c>
      <c r="AC445" s="10" t="s">
        <v>308</v>
      </c>
      <c r="AD445" s="10" t="s">
        <v>277</v>
      </c>
      <c r="AE445" s="10">
        <v>0.66300000000000003</v>
      </c>
      <c r="AF445" s="10" t="s">
        <v>309</v>
      </c>
      <c r="AG445" s="10">
        <v>2025</v>
      </c>
      <c r="AH445" s="10" t="s">
        <v>310</v>
      </c>
      <c r="AI445" s="2">
        <v>50</v>
      </c>
      <c r="AJ445" s="2">
        <v>2</v>
      </c>
      <c r="AK445" s="2">
        <v>1</v>
      </c>
    </row>
    <row r="446" spans="1:37" x14ac:dyDescent="0.3">
      <c r="A446" s="11">
        <v>6.2218934911242503</v>
      </c>
      <c r="B446" s="11">
        <v>778.95220588235202</v>
      </c>
      <c r="C446" s="13" t="s">
        <v>33</v>
      </c>
      <c r="D446" s="10" t="s">
        <v>34</v>
      </c>
      <c r="E446" s="10" t="s">
        <v>170</v>
      </c>
      <c r="F446" s="10" t="s">
        <v>34</v>
      </c>
      <c r="G446" s="10">
        <v>0.51</v>
      </c>
      <c r="H446" s="10" t="s">
        <v>34</v>
      </c>
      <c r="I446" s="10" t="s">
        <v>34</v>
      </c>
      <c r="J446" s="10" t="s">
        <v>34</v>
      </c>
      <c r="K446" s="10" t="s">
        <v>34</v>
      </c>
      <c r="L446" s="10">
        <v>0</v>
      </c>
      <c r="M446" s="10">
        <v>62.47</v>
      </c>
      <c r="N446" s="10" t="s">
        <v>34</v>
      </c>
      <c r="O446" s="10">
        <v>1.2110000000000001</v>
      </c>
      <c r="P446" s="10">
        <v>0.69399999999999995</v>
      </c>
      <c r="Q446" s="10">
        <v>33.200000000000003</v>
      </c>
      <c r="R446" s="10">
        <v>2.56</v>
      </c>
      <c r="S446" s="10" t="s">
        <v>34</v>
      </c>
      <c r="T446" s="10" t="s">
        <v>49</v>
      </c>
      <c r="U446" s="10" t="s">
        <v>306</v>
      </c>
      <c r="V446" s="10" t="s">
        <v>38</v>
      </c>
      <c r="W446" s="10">
        <v>3</v>
      </c>
      <c r="X446" s="10">
        <v>1</v>
      </c>
      <c r="Y446" s="10">
        <v>1</v>
      </c>
      <c r="Z446" s="10" t="s">
        <v>307</v>
      </c>
      <c r="AA446" s="10">
        <v>1.1100000000000001</v>
      </c>
      <c r="AB446" s="10">
        <v>1.25</v>
      </c>
      <c r="AC446" s="10" t="s">
        <v>308</v>
      </c>
      <c r="AD446" s="10" t="s">
        <v>277</v>
      </c>
      <c r="AE446" s="10">
        <v>0.66300000000000003</v>
      </c>
      <c r="AF446" s="10" t="s">
        <v>309</v>
      </c>
      <c r="AG446" s="10">
        <v>2025</v>
      </c>
      <c r="AH446" s="10" t="s">
        <v>310</v>
      </c>
      <c r="AI446" s="2">
        <v>50</v>
      </c>
      <c r="AJ446" s="2">
        <v>2</v>
      </c>
      <c r="AK446" s="2">
        <v>1</v>
      </c>
    </row>
    <row r="447" spans="1:37" x14ac:dyDescent="0.3">
      <c r="A447" s="11">
        <v>6.5414201183431899</v>
      </c>
      <c r="B447" s="11">
        <v>588.23529411764696</v>
      </c>
      <c r="C447" s="13" t="s">
        <v>33</v>
      </c>
      <c r="D447" s="10" t="s">
        <v>34</v>
      </c>
      <c r="E447" s="10" t="s">
        <v>170</v>
      </c>
      <c r="F447" s="10" t="s">
        <v>34</v>
      </c>
      <c r="G447" s="10">
        <v>0.51</v>
      </c>
      <c r="H447" s="10" t="s">
        <v>34</v>
      </c>
      <c r="I447" s="10" t="s">
        <v>34</v>
      </c>
      <c r="J447" s="10" t="s">
        <v>34</v>
      </c>
      <c r="K447" s="10" t="s">
        <v>34</v>
      </c>
      <c r="L447" s="10">
        <v>0</v>
      </c>
      <c r="M447" s="10">
        <v>62.47</v>
      </c>
      <c r="N447" s="10" t="s">
        <v>34</v>
      </c>
      <c r="O447" s="10">
        <v>1.2110000000000001</v>
      </c>
      <c r="P447" s="10">
        <v>0.69399999999999995</v>
      </c>
      <c r="Q447" s="10">
        <v>33.200000000000003</v>
      </c>
      <c r="R447" s="10">
        <v>2.56</v>
      </c>
      <c r="S447" s="10" t="s">
        <v>34</v>
      </c>
      <c r="T447" s="10" t="s">
        <v>49</v>
      </c>
      <c r="U447" s="10" t="s">
        <v>306</v>
      </c>
      <c r="V447" s="10" t="s">
        <v>38</v>
      </c>
      <c r="W447" s="10">
        <v>3</v>
      </c>
      <c r="X447" s="10">
        <v>1</v>
      </c>
      <c r="Y447" s="10">
        <v>1</v>
      </c>
      <c r="Z447" s="10" t="s">
        <v>307</v>
      </c>
      <c r="AA447" s="10">
        <v>1.1100000000000001</v>
      </c>
      <c r="AB447" s="10">
        <v>1.25</v>
      </c>
      <c r="AC447" s="10" t="s">
        <v>308</v>
      </c>
      <c r="AD447" s="10" t="s">
        <v>277</v>
      </c>
      <c r="AE447" s="10">
        <v>0.66300000000000003</v>
      </c>
      <c r="AF447" s="10" t="s">
        <v>309</v>
      </c>
      <c r="AG447" s="10">
        <v>2025</v>
      </c>
      <c r="AH447" s="10" t="s">
        <v>310</v>
      </c>
      <c r="AI447" s="2">
        <v>50</v>
      </c>
      <c r="AJ447" s="2">
        <v>2</v>
      </c>
      <c r="AK447" s="2">
        <v>1</v>
      </c>
    </row>
    <row r="448" spans="1:37" x14ac:dyDescent="0.3">
      <c r="A448" s="11">
        <v>6.6923076923076898</v>
      </c>
      <c r="B448" s="11">
        <v>551.47058823529301</v>
      </c>
      <c r="C448" s="13" t="s">
        <v>33</v>
      </c>
      <c r="D448" s="10" t="s">
        <v>34</v>
      </c>
      <c r="E448" s="10" t="s">
        <v>170</v>
      </c>
      <c r="F448" s="10" t="s">
        <v>34</v>
      </c>
      <c r="G448" s="10">
        <v>0.51</v>
      </c>
      <c r="H448" s="10" t="s">
        <v>34</v>
      </c>
      <c r="I448" s="10" t="s">
        <v>34</v>
      </c>
      <c r="J448" s="10" t="s">
        <v>34</v>
      </c>
      <c r="K448" s="10" t="s">
        <v>34</v>
      </c>
      <c r="L448" s="10">
        <v>0</v>
      </c>
      <c r="M448" s="10">
        <v>62.47</v>
      </c>
      <c r="N448" s="10" t="s">
        <v>34</v>
      </c>
      <c r="O448" s="10">
        <v>1.2110000000000001</v>
      </c>
      <c r="P448" s="10">
        <v>0.69399999999999995</v>
      </c>
      <c r="Q448" s="10">
        <v>33.200000000000003</v>
      </c>
      <c r="R448" s="10">
        <v>2.56</v>
      </c>
      <c r="S448" s="10" t="s">
        <v>34</v>
      </c>
      <c r="T448" s="10" t="s">
        <v>49</v>
      </c>
      <c r="U448" s="10" t="s">
        <v>306</v>
      </c>
      <c r="V448" s="10" t="s">
        <v>38</v>
      </c>
      <c r="W448" s="10">
        <v>3</v>
      </c>
      <c r="X448" s="10">
        <v>1</v>
      </c>
      <c r="Y448" s="10">
        <v>1</v>
      </c>
      <c r="Z448" s="10" t="s">
        <v>307</v>
      </c>
      <c r="AA448" s="10">
        <v>1.1100000000000001</v>
      </c>
      <c r="AB448" s="10">
        <v>1.25</v>
      </c>
      <c r="AC448" s="10" t="s">
        <v>308</v>
      </c>
      <c r="AD448" s="10" t="s">
        <v>277</v>
      </c>
      <c r="AE448" s="10">
        <v>0.66300000000000003</v>
      </c>
      <c r="AF448" s="10" t="s">
        <v>309</v>
      </c>
      <c r="AG448" s="10">
        <v>2025</v>
      </c>
      <c r="AH448" s="10" t="s">
        <v>310</v>
      </c>
      <c r="AI448" s="2">
        <v>50</v>
      </c>
      <c r="AJ448" s="2">
        <v>2</v>
      </c>
      <c r="AK448" s="2">
        <v>1</v>
      </c>
    </row>
    <row r="449" spans="1:37" x14ac:dyDescent="0.3">
      <c r="A449" s="11">
        <v>8.2810650887573907</v>
      </c>
      <c r="B449" s="11">
        <v>567.55514705882297</v>
      </c>
      <c r="C449" s="13" t="s">
        <v>33</v>
      </c>
      <c r="D449" s="10" t="s">
        <v>34</v>
      </c>
      <c r="E449" s="10" t="s">
        <v>170</v>
      </c>
      <c r="F449" s="10" t="s">
        <v>34</v>
      </c>
      <c r="G449" s="10">
        <v>0.51</v>
      </c>
      <c r="H449" s="10" t="s">
        <v>34</v>
      </c>
      <c r="I449" s="10" t="s">
        <v>34</v>
      </c>
      <c r="J449" s="10" t="s">
        <v>34</v>
      </c>
      <c r="K449" s="10" t="s">
        <v>34</v>
      </c>
      <c r="L449" s="10">
        <v>0</v>
      </c>
      <c r="M449" s="10">
        <v>62.47</v>
      </c>
      <c r="N449" s="10" t="s">
        <v>34</v>
      </c>
      <c r="O449" s="10">
        <v>1.2110000000000001</v>
      </c>
      <c r="P449" s="10">
        <v>0.69399999999999995</v>
      </c>
      <c r="Q449" s="10">
        <v>33.200000000000003</v>
      </c>
      <c r="R449" s="10">
        <v>2.56</v>
      </c>
      <c r="S449" s="10" t="s">
        <v>34</v>
      </c>
      <c r="T449" s="10" t="s">
        <v>49</v>
      </c>
      <c r="U449" s="10" t="s">
        <v>306</v>
      </c>
      <c r="V449" s="10" t="s">
        <v>38</v>
      </c>
      <c r="W449" s="10">
        <v>3</v>
      </c>
      <c r="X449" s="10">
        <v>1</v>
      </c>
      <c r="Y449" s="10">
        <v>1</v>
      </c>
      <c r="Z449" s="10" t="s">
        <v>307</v>
      </c>
      <c r="AA449" s="10">
        <v>1.1100000000000001</v>
      </c>
      <c r="AB449" s="10">
        <v>6</v>
      </c>
      <c r="AC449" s="10" t="s">
        <v>308</v>
      </c>
      <c r="AD449" s="10" t="s">
        <v>277</v>
      </c>
      <c r="AE449" s="10">
        <v>0.66300000000000003</v>
      </c>
      <c r="AF449" s="10" t="s">
        <v>309</v>
      </c>
      <c r="AG449" s="10">
        <v>2025</v>
      </c>
      <c r="AH449" s="10" t="s">
        <v>310</v>
      </c>
      <c r="AI449" s="2">
        <v>50</v>
      </c>
      <c r="AJ449" s="2">
        <v>2</v>
      </c>
      <c r="AK449" s="2">
        <v>1</v>
      </c>
    </row>
    <row r="450" spans="1:37" x14ac:dyDescent="0.3">
      <c r="A450" s="11">
        <v>8.1923076923076898</v>
      </c>
      <c r="B450" s="11">
        <v>762.86764705882297</v>
      </c>
      <c r="C450" s="13" t="s">
        <v>33</v>
      </c>
      <c r="D450" s="10" t="s">
        <v>34</v>
      </c>
      <c r="E450" s="10" t="s">
        <v>170</v>
      </c>
      <c r="F450" s="10" t="s">
        <v>34</v>
      </c>
      <c r="G450" s="10">
        <v>0.51</v>
      </c>
      <c r="H450" s="10" t="s">
        <v>34</v>
      </c>
      <c r="I450" s="10" t="s">
        <v>34</v>
      </c>
      <c r="J450" s="10" t="s">
        <v>34</v>
      </c>
      <c r="K450" s="10" t="s">
        <v>34</v>
      </c>
      <c r="L450" s="10">
        <v>0</v>
      </c>
      <c r="M450" s="10">
        <v>62.47</v>
      </c>
      <c r="N450" s="10" t="s">
        <v>34</v>
      </c>
      <c r="O450" s="10">
        <v>1.2110000000000001</v>
      </c>
      <c r="P450" s="10">
        <v>0.69399999999999995</v>
      </c>
      <c r="Q450" s="10">
        <v>33.200000000000003</v>
      </c>
      <c r="R450" s="10">
        <v>2.56</v>
      </c>
      <c r="S450" s="10" t="s">
        <v>34</v>
      </c>
      <c r="T450" s="10" t="s">
        <v>49</v>
      </c>
      <c r="U450" s="10" t="s">
        <v>306</v>
      </c>
      <c r="V450" s="10" t="s">
        <v>38</v>
      </c>
      <c r="W450" s="10">
        <v>3</v>
      </c>
      <c r="X450" s="10">
        <v>1</v>
      </c>
      <c r="Y450" s="10">
        <v>1</v>
      </c>
      <c r="Z450" s="10" t="s">
        <v>307</v>
      </c>
      <c r="AA450" s="10">
        <v>1.1100000000000001</v>
      </c>
      <c r="AB450" s="10">
        <v>6</v>
      </c>
      <c r="AC450" s="10" t="s">
        <v>308</v>
      </c>
      <c r="AD450" s="10" t="s">
        <v>277</v>
      </c>
      <c r="AE450" s="10">
        <v>0.66300000000000003</v>
      </c>
      <c r="AF450" s="10" t="s">
        <v>309</v>
      </c>
      <c r="AG450" s="10">
        <v>2025</v>
      </c>
      <c r="AH450" s="10" t="s">
        <v>310</v>
      </c>
      <c r="AI450" s="2">
        <v>50</v>
      </c>
      <c r="AJ450" s="2">
        <v>2</v>
      </c>
      <c r="AK450" s="2">
        <v>1</v>
      </c>
    </row>
    <row r="451" spans="1:37" x14ac:dyDescent="0.3">
      <c r="A451" s="11">
        <v>8.2810650887573907</v>
      </c>
      <c r="B451" s="11">
        <v>806.525735294117</v>
      </c>
      <c r="C451" s="13" t="s">
        <v>33</v>
      </c>
      <c r="D451" s="10" t="s">
        <v>34</v>
      </c>
      <c r="E451" s="10" t="s">
        <v>170</v>
      </c>
      <c r="F451" s="10" t="s">
        <v>34</v>
      </c>
      <c r="G451" s="10">
        <v>0.51</v>
      </c>
      <c r="H451" s="10" t="s">
        <v>34</v>
      </c>
      <c r="I451" s="10" t="s">
        <v>34</v>
      </c>
      <c r="J451" s="10" t="s">
        <v>34</v>
      </c>
      <c r="K451" s="10" t="s">
        <v>34</v>
      </c>
      <c r="L451" s="10">
        <v>0</v>
      </c>
      <c r="M451" s="10">
        <v>62.47</v>
      </c>
      <c r="N451" s="10" t="s">
        <v>34</v>
      </c>
      <c r="O451" s="10">
        <v>1.2110000000000001</v>
      </c>
      <c r="P451" s="10">
        <v>0.69399999999999995</v>
      </c>
      <c r="Q451" s="10">
        <v>33.200000000000003</v>
      </c>
      <c r="R451" s="10">
        <v>2.56</v>
      </c>
      <c r="S451" s="10" t="s">
        <v>34</v>
      </c>
      <c r="T451" s="10" t="s">
        <v>49</v>
      </c>
      <c r="U451" s="10" t="s">
        <v>306</v>
      </c>
      <c r="V451" s="10" t="s">
        <v>38</v>
      </c>
      <c r="W451" s="10">
        <v>3</v>
      </c>
      <c r="X451" s="10">
        <v>1</v>
      </c>
      <c r="Y451" s="10">
        <v>1</v>
      </c>
      <c r="Z451" s="10" t="s">
        <v>307</v>
      </c>
      <c r="AA451" s="10">
        <v>1.1100000000000001</v>
      </c>
      <c r="AB451" s="10">
        <v>6</v>
      </c>
      <c r="AC451" s="10" t="s">
        <v>308</v>
      </c>
      <c r="AD451" s="10" t="s">
        <v>277</v>
      </c>
      <c r="AE451" s="10">
        <v>0.66300000000000003</v>
      </c>
      <c r="AF451" s="10" t="s">
        <v>309</v>
      </c>
      <c r="AG451" s="10">
        <v>2025</v>
      </c>
      <c r="AH451" s="10" t="s">
        <v>310</v>
      </c>
      <c r="AI451" s="2">
        <v>50</v>
      </c>
      <c r="AJ451" s="2">
        <v>2</v>
      </c>
      <c r="AK451" s="2">
        <v>1</v>
      </c>
    </row>
    <row r="452" spans="1:37" x14ac:dyDescent="0.3">
      <c r="A452" s="11">
        <v>8.6538461538461497</v>
      </c>
      <c r="B452" s="11">
        <v>1107.5367647058799</v>
      </c>
      <c r="C452" s="13" t="s">
        <v>33</v>
      </c>
      <c r="D452" s="10" t="s">
        <v>34</v>
      </c>
      <c r="E452" s="10" t="s">
        <v>170</v>
      </c>
      <c r="F452" s="10" t="s">
        <v>34</v>
      </c>
      <c r="G452" s="10">
        <v>0.51</v>
      </c>
      <c r="H452" s="10" t="s">
        <v>34</v>
      </c>
      <c r="I452" s="10" t="s">
        <v>34</v>
      </c>
      <c r="J452" s="10" t="s">
        <v>34</v>
      </c>
      <c r="K452" s="10" t="s">
        <v>34</v>
      </c>
      <c r="L452" s="10">
        <v>0</v>
      </c>
      <c r="M452" s="10">
        <v>62.47</v>
      </c>
      <c r="N452" s="10" t="s">
        <v>34</v>
      </c>
      <c r="O452" s="10">
        <v>1.2110000000000001</v>
      </c>
      <c r="P452" s="10">
        <v>0.69399999999999995</v>
      </c>
      <c r="Q452" s="10">
        <v>33.200000000000003</v>
      </c>
      <c r="R452" s="10">
        <v>2.56</v>
      </c>
      <c r="S452" s="10" t="s">
        <v>34</v>
      </c>
      <c r="T452" s="10" t="s">
        <v>49</v>
      </c>
      <c r="U452" s="10" t="s">
        <v>306</v>
      </c>
      <c r="V452" s="10" t="s">
        <v>38</v>
      </c>
      <c r="W452" s="10">
        <v>3</v>
      </c>
      <c r="X452" s="10">
        <v>1</v>
      </c>
      <c r="Y452" s="10">
        <v>1</v>
      </c>
      <c r="Z452" s="10" t="s">
        <v>307</v>
      </c>
      <c r="AA452" s="10">
        <v>1.1100000000000001</v>
      </c>
      <c r="AB452" s="10">
        <v>3.5</v>
      </c>
      <c r="AC452" s="10" t="s">
        <v>308</v>
      </c>
      <c r="AD452" s="10" t="s">
        <v>277</v>
      </c>
      <c r="AE452" s="10">
        <v>0.66300000000000003</v>
      </c>
      <c r="AF452" s="10" t="s">
        <v>309</v>
      </c>
      <c r="AG452" s="10">
        <v>2025</v>
      </c>
      <c r="AH452" s="10" t="s">
        <v>310</v>
      </c>
      <c r="AI452" s="2">
        <v>50</v>
      </c>
      <c r="AJ452" s="2">
        <v>2</v>
      </c>
      <c r="AK452" s="2">
        <v>1</v>
      </c>
    </row>
    <row r="453" spans="1:37" x14ac:dyDescent="0.3">
      <c r="A453" s="11">
        <v>8.6893491124260294</v>
      </c>
      <c r="B453" s="11">
        <v>926.01102941176396</v>
      </c>
      <c r="C453" s="13" t="s">
        <v>33</v>
      </c>
      <c r="D453" s="10" t="s">
        <v>34</v>
      </c>
      <c r="E453" s="10" t="s">
        <v>170</v>
      </c>
      <c r="F453" s="10" t="s">
        <v>34</v>
      </c>
      <c r="G453" s="10">
        <v>0.51</v>
      </c>
      <c r="H453" s="10" t="s">
        <v>34</v>
      </c>
      <c r="I453" s="10" t="s">
        <v>34</v>
      </c>
      <c r="J453" s="10" t="s">
        <v>34</v>
      </c>
      <c r="K453" s="10" t="s">
        <v>34</v>
      </c>
      <c r="L453" s="10">
        <v>0</v>
      </c>
      <c r="M453" s="10">
        <v>62.47</v>
      </c>
      <c r="N453" s="10" t="s">
        <v>34</v>
      </c>
      <c r="O453" s="10">
        <v>1.2110000000000001</v>
      </c>
      <c r="P453" s="10">
        <v>0.69399999999999995</v>
      </c>
      <c r="Q453" s="10">
        <v>33.200000000000003</v>
      </c>
      <c r="R453" s="10">
        <v>2.56</v>
      </c>
      <c r="S453" s="10" t="s">
        <v>34</v>
      </c>
      <c r="T453" s="10" t="s">
        <v>49</v>
      </c>
      <c r="U453" s="10" t="s">
        <v>306</v>
      </c>
      <c r="V453" s="10" t="s">
        <v>38</v>
      </c>
      <c r="W453" s="10">
        <v>3</v>
      </c>
      <c r="X453" s="10">
        <v>1</v>
      </c>
      <c r="Y453" s="10">
        <v>1</v>
      </c>
      <c r="Z453" s="10" t="s">
        <v>307</v>
      </c>
      <c r="AA453" s="10">
        <v>1.1100000000000001</v>
      </c>
      <c r="AB453" s="10">
        <v>3.5</v>
      </c>
      <c r="AC453" s="10" t="s">
        <v>308</v>
      </c>
      <c r="AD453" s="10" t="s">
        <v>277</v>
      </c>
      <c r="AE453" s="10">
        <v>0.66300000000000003</v>
      </c>
      <c r="AF453" s="10" t="s">
        <v>309</v>
      </c>
      <c r="AG453" s="10">
        <v>2025</v>
      </c>
      <c r="AH453" s="10" t="s">
        <v>310</v>
      </c>
      <c r="AI453" s="2">
        <v>50</v>
      </c>
      <c r="AJ453" s="2">
        <v>2</v>
      </c>
      <c r="AK453" s="2">
        <v>1</v>
      </c>
    </row>
    <row r="454" spans="1:37" x14ac:dyDescent="0.3">
      <c r="A454" s="11">
        <v>7.72189349112426</v>
      </c>
      <c r="B454" s="11">
        <v>971.96691176470495</v>
      </c>
      <c r="C454" s="13" t="s">
        <v>33</v>
      </c>
      <c r="D454" s="10" t="s">
        <v>34</v>
      </c>
      <c r="E454" s="10" t="s">
        <v>170</v>
      </c>
      <c r="F454" s="10" t="s">
        <v>34</v>
      </c>
      <c r="G454" s="10">
        <v>0.51</v>
      </c>
      <c r="H454" s="10" t="s">
        <v>34</v>
      </c>
      <c r="I454" s="10" t="s">
        <v>34</v>
      </c>
      <c r="J454" s="10" t="s">
        <v>34</v>
      </c>
      <c r="K454" s="10" t="s">
        <v>34</v>
      </c>
      <c r="L454" s="10">
        <v>0</v>
      </c>
      <c r="M454" s="10">
        <v>62.47</v>
      </c>
      <c r="N454" s="10" t="s">
        <v>34</v>
      </c>
      <c r="O454" s="10">
        <v>1.2110000000000001</v>
      </c>
      <c r="P454" s="10">
        <v>0.69399999999999995</v>
      </c>
      <c r="Q454" s="10">
        <v>33.200000000000003</v>
      </c>
      <c r="R454" s="10">
        <v>2.56</v>
      </c>
      <c r="S454" s="10" t="s">
        <v>34</v>
      </c>
      <c r="T454" s="10" t="s">
        <v>49</v>
      </c>
      <c r="U454" s="10" t="s">
        <v>306</v>
      </c>
      <c r="V454" s="10" t="s">
        <v>38</v>
      </c>
      <c r="W454" s="10">
        <v>3</v>
      </c>
      <c r="X454" s="10">
        <v>1</v>
      </c>
      <c r="Y454" s="10">
        <v>1</v>
      </c>
      <c r="Z454" s="10" t="s">
        <v>307</v>
      </c>
      <c r="AA454" s="10">
        <v>1.1100000000000001</v>
      </c>
      <c r="AB454" s="10">
        <v>3.5</v>
      </c>
      <c r="AC454" s="10" t="s">
        <v>308</v>
      </c>
      <c r="AD454" s="10" t="s">
        <v>277</v>
      </c>
      <c r="AE454" s="10">
        <v>0.66300000000000003</v>
      </c>
      <c r="AF454" s="10" t="s">
        <v>309</v>
      </c>
      <c r="AG454" s="10">
        <v>2025</v>
      </c>
      <c r="AH454" s="10" t="s">
        <v>310</v>
      </c>
      <c r="AI454" s="2">
        <v>50</v>
      </c>
      <c r="AJ454" s="2">
        <v>2</v>
      </c>
      <c r="AK454" s="2">
        <v>1</v>
      </c>
    </row>
    <row r="455" spans="1:37" x14ac:dyDescent="0.3">
      <c r="A455" s="11">
        <v>3.02694610778443</v>
      </c>
      <c r="B455" s="11">
        <v>393.02325581395303</v>
      </c>
      <c r="C455" s="13" t="s">
        <v>33</v>
      </c>
      <c r="D455" s="10" t="s">
        <v>34</v>
      </c>
      <c r="E455" s="10" t="s">
        <v>170</v>
      </c>
      <c r="F455" s="10" t="s">
        <v>34</v>
      </c>
      <c r="G455" s="10">
        <v>0.51</v>
      </c>
      <c r="H455" s="10" t="s">
        <v>34</v>
      </c>
      <c r="I455" s="10" t="s">
        <v>34</v>
      </c>
      <c r="J455" s="10" t="s">
        <v>34</v>
      </c>
      <c r="K455" s="10" t="s">
        <v>34</v>
      </c>
      <c r="L455" s="10">
        <v>0</v>
      </c>
      <c r="M455" s="10">
        <v>62.47</v>
      </c>
      <c r="N455" s="10" t="s">
        <v>34</v>
      </c>
      <c r="O455" s="10">
        <v>1.2110000000000001</v>
      </c>
      <c r="P455" s="10">
        <v>0.69399999999999995</v>
      </c>
      <c r="Q455" s="10">
        <v>33.200000000000003</v>
      </c>
      <c r="R455" s="10">
        <v>2.56</v>
      </c>
      <c r="S455" s="10" t="s">
        <v>34</v>
      </c>
      <c r="T455" s="10" t="s">
        <v>49</v>
      </c>
      <c r="U455" s="10" t="s">
        <v>306</v>
      </c>
      <c r="V455" s="10" t="s">
        <v>38</v>
      </c>
      <c r="W455" s="10">
        <v>1</v>
      </c>
      <c r="X455" s="10">
        <v>1</v>
      </c>
      <c r="Y455" s="10">
        <v>1</v>
      </c>
      <c r="Z455" s="10" t="s">
        <v>307</v>
      </c>
      <c r="AA455" s="10">
        <v>1.1100000000000001</v>
      </c>
      <c r="AB455" s="10">
        <v>2.5</v>
      </c>
      <c r="AC455" s="10" t="s">
        <v>308</v>
      </c>
      <c r="AD455" s="10" t="s">
        <v>277</v>
      </c>
      <c r="AE455" s="10">
        <v>0.66300000000000003</v>
      </c>
      <c r="AF455" s="10" t="s">
        <v>309</v>
      </c>
      <c r="AG455" s="10">
        <v>2025</v>
      </c>
      <c r="AH455" s="10" t="s">
        <v>310</v>
      </c>
      <c r="AI455" s="2">
        <v>50</v>
      </c>
      <c r="AJ455" s="2">
        <v>2</v>
      </c>
      <c r="AK455" s="2">
        <v>1</v>
      </c>
    </row>
    <row r="456" spans="1:37" x14ac:dyDescent="0.3">
      <c r="A456" s="11">
        <v>2.7664670658682602</v>
      </c>
      <c r="B456" s="11">
        <v>269.767441860465</v>
      </c>
      <c r="C456" s="13" t="s">
        <v>33</v>
      </c>
      <c r="D456" s="10" t="s">
        <v>34</v>
      </c>
      <c r="E456" s="10" t="s">
        <v>170</v>
      </c>
      <c r="F456" s="10" t="s">
        <v>34</v>
      </c>
      <c r="G456" s="10">
        <v>0.51</v>
      </c>
      <c r="H456" s="10" t="s">
        <v>34</v>
      </c>
      <c r="I456" s="10" t="s">
        <v>34</v>
      </c>
      <c r="J456" s="10" t="s">
        <v>34</v>
      </c>
      <c r="K456" s="10" t="s">
        <v>34</v>
      </c>
      <c r="L456" s="10">
        <v>0</v>
      </c>
      <c r="M456" s="10">
        <v>62.47</v>
      </c>
      <c r="N456" s="10" t="s">
        <v>34</v>
      </c>
      <c r="O456" s="10">
        <v>1.2110000000000001</v>
      </c>
      <c r="P456" s="10">
        <v>0.69399999999999995</v>
      </c>
      <c r="Q456" s="10">
        <v>33.200000000000003</v>
      </c>
      <c r="R456" s="10">
        <v>2.56</v>
      </c>
      <c r="S456" s="10" t="s">
        <v>34</v>
      </c>
      <c r="T456" s="10" t="s">
        <v>49</v>
      </c>
      <c r="U456" s="10" t="s">
        <v>306</v>
      </c>
      <c r="V456" s="10" t="s">
        <v>38</v>
      </c>
      <c r="W456" s="10">
        <v>1</v>
      </c>
      <c r="X456" s="10">
        <v>1</v>
      </c>
      <c r="Y456" s="10">
        <v>1</v>
      </c>
      <c r="Z456" s="10" t="s">
        <v>307</v>
      </c>
      <c r="AA456" s="10">
        <v>1.1100000000000001</v>
      </c>
      <c r="AB456" s="10">
        <v>2.5</v>
      </c>
      <c r="AC456" s="10" t="s">
        <v>308</v>
      </c>
      <c r="AD456" s="10" t="s">
        <v>277</v>
      </c>
      <c r="AE456" s="10">
        <v>0.66300000000000003</v>
      </c>
      <c r="AF456" s="10" t="s">
        <v>309</v>
      </c>
      <c r="AG456" s="10">
        <v>2025</v>
      </c>
      <c r="AH456" s="10" t="s">
        <v>310</v>
      </c>
      <c r="AI456" s="2">
        <v>50</v>
      </c>
      <c r="AJ456" s="2">
        <v>2</v>
      </c>
      <c r="AK456" s="2">
        <v>1</v>
      </c>
    </row>
    <row r="457" spans="1:37" x14ac:dyDescent="0.3">
      <c r="A457" s="11">
        <v>2.9730538922155598</v>
      </c>
      <c r="B457" s="11">
        <v>213.95348837209301</v>
      </c>
      <c r="C457" s="13" t="s">
        <v>33</v>
      </c>
      <c r="D457" s="10" t="s">
        <v>34</v>
      </c>
      <c r="E457" s="10" t="s">
        <v>170</v>
      </c>
      <c r="F457" s="10" t="s">
        <v>34</v>
      </c>
      <c r="G457" s="10">
        <v>0.51</v>
      </c>
      <c r="H457" s="10" t="s">
        <v>34</v>
      </c>
      <c r="I457" s="10" t="s">
        <v>34</v>
      </c>
      <c r="J457" s="10" t="s">
        <v>34</v>
      </c>
      <c r="K457" s="10" t="s">
        <v>34</v>
      </c>
      <c r="L457" s="10">
        <v>0</v>
      </c>
      <c r="M457" s="10">
        <v>62.47</v>
      </c>
      <c r="N457" s="10" t="s">
        <v>34</v>
      </c>
      <c r="O457" s="10">
        <v>1.2110000000000001</v>
      </c>
      <c r="P457" s="10">
        <v>0.69399999999999995</v>
      </c>
      <c r="Q457" s="10">
        <v>33.200000000000003</v>
      </c>
      <c r="R457" s="10">
        <v>2.56</v>
      </c>
      <c r="S457" s="10" t="s">
        <v>34</v>
      </c>
      <c r="T457" s="10" t="s">
        <v>49</v>
      </c>
      <c r="U457" s="10" t="s">
        <v>306</v>
      </c>
      <c r="V457" s="10" t="s">
        <v>38</v>
      </c>
      <c r="W457" s="10">
        <v>1</v>
      </c>
      <c r="X457" s="10">
        <v>1</v>
      </c>
      <c r="Y457" s="10">
        <v>1</v>
      </c>
      <c r="Z457" s="10" t="s">
        <v>307</v>
      </c>
      <c r="AA457" s="10">
        <v>1.1100000000000001</v>
      </c>
      <c r="AB457" s="10">
        <v>2.5</v>
      </c>
      <c r="AC457" s="10" t="s">
        <v>308</v>
      </c>
      <c r="AD457" s="10" t="s">
        <v>277</v>
      </c>
      <c r="AE457" s="10">
        <v>0.66300000000000003</v>
      </c>
      <c r="AF457" s="10" t="s">
        <v>309</v>
      </c>
      <c r="AG457" s="10">
        <v>2025</v>
      </c>
      <c r="AH457" s="10" t="s">
        <v>310</v>
      </c>
      <c r="AI457" s="2">
        <v>50</v>
      </c>
      <c r="AJ457" s="2">
        <v>2</v>
      </c>
      <c r="AK457" s="2">
        <v>1</v>
      </c>
    </row>
    <row r="458" spans="1:37" x14ac:dyDescent="0.3">
      <c r="A458" s="11">
        <v>5.3532934131736498</v>
      </c>
      <c r="B458" s="11">
        <v>604.65116279069798</v>
      </c>
      <c r="C458" s="13" t="s">
        <v>33</v>
      </c>
      <c r="D458" s="10" t="s">
        <v>34</v>
      </c>
      <c r="E458" s="10" t="s">
        <v>170</v>
      </c>
      <c r="F458" s="10" t="s">
        <v>34</v>
      </c>
      <c r="G458" s="10">
        <v>0.51</v>
      </c>
      <c r="H458" s="10" t="s">
        <v>34</v>
      </c>
      <c r="I458" s="10" t="s">
        <v>34</v>
      </c>
      <c r="J458" s="10" t="s">
        <v>34</v>
      </c>
      <c r="K458" s="10" t="s">
        <v>34</v>
      </c>
      <c r="L458" s="10">
        <v>0</v>
      </c>
      <c r="M458" s="10">
        <v>62.47</v>
      </c>
      <c r="N458" s="10" t="s">
        <v>34</v>
      </c>
      <c r="O458" s="10">
        <v>1.2110000000000001</v>
      </c>
      <c r="P458" s="10">
        <v>0.69399999999999995</v>
      </c>
      <c r="Q458" s="10">
        <v>33.200000000000003</v>
      </c>
      <c r="R458" s="10">
        <v>2.56</v>
      </c>
      <c r="S458" s="10" t="s">
        <v>34</v>
      </c>
      <c r="T458" s="10" t="s">
        <v>49</v>
      </c>
      <c r="U458" s="10" t="s">
        <v>306</v>
      </c>
      <c r="V458" s="10" t="s">
        <v>38</v>
      </c>
      <c r="W458" s="10">
        <v>2</v>
      </c>
      <c r="X458" s="10">
        <v>1</v>
      </c>
      <c r="Y458" s="10">
        <v>1</v>
      </c>
      <c r="Z458" s="10" t="s">
        <v>307</v>
      </c>
      <c r="AA458" s="10">
        <v>1.1100000000000001</v>
      </c>
      <c r="AB458" s="10">
        <v>2.5</v>
      </c>
      <c r="AC458" s="10" t="s">
        <v>308</v>
      </c>
      <c r="AD458" s="10" t="s">
        <v>277</v>
      </c>
      <c r="AE458" s="10">
        <v>0.66300000000000003</v>
      </c>
      <c r="AF458" s="10" t="s">
        <v>309</v>
      </c>
      <c r="AG458" s="10">
        <v>2025</v>
      </c>
      <c r="AH458" s="10" t="s">
        <v>310</v>
      </c>
      <c r="AI458" s="2">
        <v>50</v>
      </c>
      <c r="AJ458" s="2">
        <v>2</v>
      </c>
      <c r="AK458" s="2">
        <v>1</v>
      </c>
    </row>
    <row r="459" spans="1:37" x14ac:dyDescent="0.3">
      <c r="A459" s="11">
        <v>5.3712574850299397</v>
      </c>
      <c r="B459" s="11">
        <v>497.67441860465101</v>
      </c>
      <c r="C459" s="13" t="s">
        <v>33</v>
      </c>
      <c r="D459" s="10" t="s">
        <v>34</v>
      </c>
      <c r="E459" s="10" t="s">
        <v>170</v>
      </c>
      <c r="F459" s="10" t="s">
        <v>34</v>
      </c>
      <c r="G459" s="10">
        <v>0.51</v>
      </c>
      <c r="H459" s="10" t="s">
        <v>34</v>
      </c>
      <c r="I459" s="10" t="s">
        <v>34</v>
      </c>
      <c r="J459" s="10" t="s">
        <v>34</v>
      </c>
      <c r="K459" s="10" t="s">
        <v>34</v>
      </c>
      <c r="L459" s="10">
        <v>0</v>
      </c>
      <c r="M459" s="10">
        <v>62.47</v>
      </c>
      <c r="N459" s="10" t="s">
        <v>34</v>
      </c>
      <c r="O459" s="10">
        <v>1.2110000000000001</v>
      </c>
      <c r="P459" s="10">
        <v>0.69399999999999995</v>
      </c>
      <c r="Q459" s="10">
        <v>33.200000000000003</v>
      </c>
      <c r="R459" s="10">
        <v>2.56</v>
      </c>
      <c r="S459" s="10" t="s">
        <v>34</v>
      </c>
      <c r="T459" s="10" t="s">
        <v>49</v>
      </c>
      <c r="U459" s="10" t="s">
        <v>306</v>
      </c>
      <c r="V459" s="10" t="s">
        <v>38</v>
      </c>
      <c r="W459" s="10">
        <v>2</v>
      </c>
      <c r="X459" s="10">
        <v>1</v>
      </c>
      <c r="Y459" s="10">
        <v>1</v>
      </c>
      <c r="Z459" s="10" t="s">
        <v>307</v>
      </c>
      <c r="AA459" s="10">
        <v>1.1100000000000001</v>
      </c>
      <c r="AB459" s="10">
        <v>2.5</v>
      </c>
      <c r="AC459" s="10" t="s">
        <v>308</v>
      </c>
      <c r="AD459" s="10" t="s">
        <v>277</v>
      </c>
      <c r="AE459" s="10">
        <v>0.66300000000000003</v>
      </c>
      <c r="AF459" s="10" t="s">
        <v>309</v>
      </c>
      <c r="AG459" s="10">
        <v>2025</v>
      </c>
      <c r="AH459" s="10" t="s">
        <v>310</v>
      </c>
      <c r="AI459" s="2">
        <v>50</v>
      </c>
      <c r="AJ459" s="2">
        <v>2</v>
      </c>
      <c r="AK459" s="2">
        <v>1</v>
      </c>
    </row>
    <row r="460" spans="1:37" x14ac:dyDescent="0.3">
      <c r="A460" s="11">
        <v>5.9461077844311303</v>
      </c>
      <c r="B460" s="11">
        <v>590.69767441860404</v>
      </c>
      <c r="C460" s="13" t="s">
        <v>33</v>
      </c>
      <c r="D460" s="10" t="s">
        <v>34</v>
      </c>
      <c r="E460" s="10" t="s">
        <v>170</v>
      </c>
      <c r="F460" s="10" t="s">
        <v>34</v>
      </c>
      <c r="G460" s="10">
        <v>0.51</v>
      </c>
      <c r="H460" s="10" t="s">
        <v>34</v>
      </c>
      <c r="I460" s="10" t="s">
        <v>34</v>
      </c>
      <c r="J460" s="10" t="s">
        <v>34</v>
      </c>
      <c r="K460" s="10" t="s">
        <v>34</v>
      </c>
      <c r="L460" s="10">
        <v>0</v>
      </c>
      <c r="M460" s="10">
        <v>62.47</v>
      </c>
      <c r="N460" s="10" t="s">
        <v>34</v>
      </c>
      <c r="O460" s="10">
        <v>1.2110000000000001</v>
      </c>
      <c r="P460" s="10">
        <v>0.69399999999999995</v>
      </c>
      <c r="Q460" s="10">
        <v>33.200000000000003</v>
      </c>
      <c r="R460" s="10">
        <v>2.56</v>
      </c>
      <c r="S460" s="10" t="s">
        <v>34</v>
      </c>
      <c r="T460" s="10" t="s">
        <v>49</v>
      </c>
      <c r="U460" s="10" t="s">
        <v>306</v>
      </c>
      <c r="V460" s="10" t="s">
        <v>38</v>
      </c>
      <c r="W460" s="10">
        <v>2</v>
      </c>
      <c r="X460" s="10">
        <v>1</v>
      </c>
      <c r="Y460" s="10">
        <v>1</v>
      </c>
      <c r="Z460" s="10" t="s">
        <v>307</v>
      </c>
      <c r="AA460" s="10">
        <v>1.1100000000000001</v>
      </c>
      <c r="AB460" s="10">
        <v>2.5</v>
      </c>
      <c r="AC460" s="10" t="s">
        <v>308</v>
      </c>
      <c r="AD460" s="10" t="s">
        <v>277</v>
      </c>
      <c r="AE460" s="10">
        <v>0.66300000000000003</v>
      </c>
      <c r="AF460" s="10" t="s">
        <v>309</v>
      </c>
      <c r="AG460" s="10">
        <v>2025</v>
      </c>
      <c r="AH460" s="10" t="s">
        <v>310</v>
      </c>
      <c r="AI460" s="2">
        <v>50</v>
      </c>
      <c r="AJ460" s="2">
        <v>2</v>
      </c>
      <c r="AK460" s="2">
        <v>1</v>
      </c>
    </row>
    <row r="461" spans="1:37" x14ac:dyDescent="0.3">
      <c r="A461" s="11">
        <v>8.5778443113772394</v>
      </c>
      <c r="B461" s="11">
        <v>925.58139534883696</v>
      </c>
      <c r="C461" s="13" t="s">
        <v>33</v>
      </c>
      <c r="D461" s="10" t="s">
        <v>34</v>
      </c>
      <c r="E461" s="10" t="s">
        <v>170</v>
      </c>
      <c r="F461" s="10" t="s">
        <v>34</v>
      </c>
      <c r="G461" s="10">
        <v>0.51</v>
      </c>
      <c r="H461" s="10" t="s">
        <v>34</v>
      </c>
      <c r="I461" s="10" t="s">
        <v>34</v>
      </c>
      <c r="J461" s="10" t="s">
        <v>34</v>
      </c>
      <c r="K461" s="10" t="s">
        <v>34</v>
      </c>
      <c r="L461" s="10">
        <v>0</v>
      </c>
      <c r="M461" s="10">
        <v>62.47</v>
      </c>
      <c r="N461" s="10" t="s">
        <v>34</v>
      </c>
      <c r="O461" s="10">
        <v>1.2110000000000001</v>
      </c>
      <c r="P461" s="10">
        <v>0.69399999999999995</v>
      </c>
      <c r="Q461" s="10">
        <v>33.200000000000003</v>
      </c>
      <c r="R461" s="10">
        <v>2.56</v>
      </c>
      <c r="S461" s="10" t="s">
        <v>34</v>
      </c>
      <c r="T461" s="10" t="s">
        <v>49</v>
      </c>
      <c r="U461" s="10" t="s">
        <v>306</v>
      </c>
      <c r="V461" s="10" t="s">
        <v>38</v>
      </c>
      <c r="W461" s="10">
        <v>3</v>
      </c>
      <c r="X461" s="10">
        <v>1</v>
      </c>
      <c r="Y461" s="10">
        <v>1</v>
      </c>
      <c r="Z461" s="10" t="s">
        <v>307</v>
      </c>
      <c r="AA461" s="10">
        <v>1.1100000000000001</v>
      </c>
      <c r="AB461" s="10">
        <v>2.5</v>
      </c>
      <c r="AC461" s="10" t="s">
        <v>308</v>
      </c>
      <c r="AD461" s="10" t="s">
        <v>277</v>
      </c>
      <c r="AE461" s="10">
        <v>0.66300000000000003</v>
      </c>
      <c r="AF461" s="10" t="s">
        <v>309</v>
      </c>
      <c r="AG461" s="10">
        <v>2025</v>
      </c>
      <c r="AH461" s="10" t="s">
        <v>310</v>
      </c>
      <c r="AI461" s="2">
        <v>50</v>
      </c>
      <c r="AJ461" s="2">
        <v>2</v>
      </c>
      <c r="AK461" s="2">
        <v>1</v>
      </c>
    </row>
    <row r="462" spans="1:37" x14ac:dyDescent="0.3">
      <c r="A462" s="11">
        <v>8.8832335329341294</v>
      </c>
      <c r="B462" s="11">
        <v>1220.93023255813</v>
      </c>
      <c r="C462" s="13" t="s">
        <v>33</v>
      </c>
      <c r="D462" s="10" t="s">
        <v>34</v>
      </c>
      <c r="E462" s="10" t="s">
        <v>170</v>
      </c>
      <c r="F462" s="10" t="s">
        <v>34</v>
      </c>
      <c r="G462" s="10">
        <v>0.51</v>
      </c>
      <c r="H462" s="10" t="s">
        <v>34</v>
      </c>
      <c r="I462" s="10" t="s">
        <v>34</v>
      </c>
      <c r="J462" s="10" t="s">
        <v>34</v>
      </c>
      <c r="K462" s="10" t="s">
        <v>34</v>
      </c>
      <c r="L462" s="10">
        <v>0</v>
      </c>
      <c r="M462" s="10">
        <v>62.47</v>
      </c>
      <c r="N462" s="10" t="s">
        <v>34</v>
      </c>
      <c r="O462" s="10">
        <v>1.2110000000000001</v>
      </c>
      <c r="P462" s="10">
        <v>0.69399999999999995</v>
      </c>
      <c r="Q462" s="10">
        <v>33.200000000000003</v>
      </c>
      <c r="R462" s="10">
        <v>2.56</v>
      </c>
      <c r="S462" s="10" t="s">
        <v>34</v>
      </c>
      <c r="T462" s="10" t="s">
        <v>49</v>
      </c>
      <c r="U462" s="10" t="s">
        <v>306</v>
      </c>
      <c r="V462" s="10" t="s">
        <v>38</v>
      </c>
      <c r="W462" s="10">
        <v>3</v>
      </c>
      <c r="X462" s="10">
        <v>1</v>
      </c>
      <c r="Y462" s="10">
        <v>1</v>
      </c>
      <c r="Z462" s="10" t="s">
        <v>307</v>
      </c>
      <c r="AA462" s="10">
        <v>1.1100000000000001</v>
      </c>
      <c r="AB462" s="10">
        <v>2.5</v>
      </c>
      <c r="AC462" s="10" t="s">
        <v>308</v>
      </c>
      <c r="AD462" s="10" t="s">
        <v>277</v>
      </c>
      <c r="AE462" s="10">
        <v>0.66300000000000003</v>
      </c>
      <c r="AF462" s="10" t="s">
        <v>309</v>
      </c>
      <c r="AG462" s="10">
        <v>2025</v>
      </c>
      <c r="AH462" s="10" t="s">
        <v>310</v>
      </c>
      <c r="AI462" s="2">
        <v>50</v>
      </c>
      <c r="AJ462" s="2">
        <v>2</v>
      </c>
      <c r="AK462" s="2">
        <v>1</v>
      </c>
    </row>
    <row r="463" spans="1:37" x14ac:dyDescent="0.3">
      <c r="A463" s="11">
        <v>8.7485029940119698</v>
      </c>
      <c r="B463" s="11">
        <v>1253.48837209302</v>
      </c>
      <c r="C463" s="13" t="s">
        <v>33</v>
      </c>
      <c r="D463" s="10" t="s">
        <v>34</v>
      </c>
      <c r="E463" s="10" t="s">
        <v>170</v>
      </c>
      <c r="F463" s="10" t="s">
        <v>34</v>
      </c>
      <c r="G463" s="10">
        <v>0.51</v>
      </c>
      <c r="H463" s="10" t="s">
        <v>34</v>
      </c>
      <c r="I463" s="10" t="s">
        <v>34</v>
      </c>
      <c r="J463" s="10" t="s">
        <v>34</v>
      </c>
      <c r="K463" s="10" t="s">
        <v>34</v>
      </c>
      <c r="L463" s="10">
        <v>0</v>
      </c>
      <c r="M463" s="10">
        <v>62.47</v>
      </c>
      <c r="N463" s="10" t="s">
        <v>34</v>
      </c>
      <c r="O463" s="10">
        <v>1.2110000000000001</v>
      </c>
      <c r="P463" s="10">
        <v>0.69399999999999995</v>
      </c>
      <c r="Q463" s="10">
        <v>33.200000000000003</v>
      </c>
      <c r="R463" s="10">
        <v>2.56</v>
      </c>
      <c r="S463" s="10" t="s">
        <v>34</v>
      </c>
      <c r="T463" s="10" t="s">
        <v>49</v>
      </c>
      <c r="U463" s="10" t="s">
        <v>306</v>
      </c>
      <c r="V463" s="10" t="s">
        <v>38</v>
      </c>
      <c r="W463" s="10">
        <v>3</v>
      </c>
      <c r="X463" s="10">
        <v>1</v>
      </c>
      <c r="Y463" s="10">
        <v>1</v>
      </c>
      <c r="Z463" s="10" t="s">
        <v>307</v>
      </c>
      <c r="AA463" s="10">
        <v>1.1100000000000001</v>
      </c>
      <c r="AB463" s="10">
        <v>2.5</v>
      </c>
      <c r="AC463" s="10" t="s">
        <v>308</v>
      </c>
      <c r="AD463" s="10" t="s">
        <v>277</v>
      </c>
      <c r="AE463" s="10">
        <v>0.66300000000000003</v>
      </c>
      <c r="AF463" s="10" t="s">
        <v>309</v>
      </c>
      <c r="AG463" s="10">
        <v>2025</v>
      </c>
      <c r="AH463" s="10" t="s">
        <v>310</v>
      </c>
      <c r="AI463" s="2">
        <v>50</v>
      </c>
      <c r="AJ463" s="2">
        <v>2</v>
      </c>
      <c r="AK463" s="2">
        <v>1</v>
      </c>
    </row>
    <row r="464" spans="1:37" x14ac:dyDescent="0.3">
      <c r="A464" s="11">
        <v>10.3922155688622</v>
      </c>
      <c r="B464" s="11">
        <v>2320.9302325581398</v>
      </c>
      <c r="C464" s="13" t="s">
        <v>33</v>
      </c>
      <c r="D464" s="10" t="s">
        <v>34</v>
      </c>
      <c r="E464" s="10" t="s">
        <v>170</v>
      </c>
      <c r="F464" s="10" t="s">
        <v>34</v>
      </c>
      <c r="G464" s="10">
        <v>0.51</v>
      </c>
      <c r="H464" s="10" t="s">
        <v>34</v>
      </c>
      <c r="I464" s="10" t="s">
        <v>34</v>
      </c>
      <c r="J464" s="10" t="s">
        <v>34</v>
      </c>
      <c r="K464" s="10" t="s">
        <v>34</v>
      </c>
      <c r="L464" s="10">
        <v>0</v>
      </c>
      <c r="M464" s="10">
        <v>62.47</v>
      </c>
      <c r="N464" s="10" t="s">
        <v>34</v>
      </c>
      <c r="O464" s="10">
        <v>1.2110000000000001</v>
      </c>
      <c r="P464" s="10">
        <v>0.69399999999999995</v>
      </c>
      <c r="Q464" s="10">
        <v>33.200000000000003</v>
      </c>
      <c r="R464" s="10">
        <v>2.56</v>
      </c>
      <c r="S464" s="10" t="s">
        <v>34</v>
      </c>
      <c r="T464" s="10" t="s">
        <v>49</v>
      </c>
      <c r="U464" s="10" t="s">
        <v>306</v>
      </c>
      <c r="V464" s="10" t="s">
        <v>38</v>
      </c>
      <c r="W464" s="10">
        <v>4</v>
      </c>
      <c r="X464" s="10">
        <v>1</v>
      </c>
      <c r="Y464" s="10">
        <v>1</v>
      </c>
      <c r="Z464" s="10" t="s">
        <v>307</v>
      </c>
      <c r="AA464" s="10">
        <v>1.1100000000000001</v>
      </c>
      <c r="AB464" s="10">
        <v>2.5</v>
      </c>
      <c r="AC464" s="10" t="s">
        <v>308</v>
      </c>
      <c r="AD464" s="10" t="s">
        <v>277</v>
      </c>
      <c r="AE464" s="10">
        <v>0.66300000000000003</v>
      </c>
      <c r="AF464" s="10" t="s">
        <v>309</v>
      </c>
      <c r="AG464" s="10">
        <v>2025</v>
      </c>
      <c r="AH464" s="10" t="s">
        <v>310</v>
      </c>
      <c r="AI464" s="2">
        <v>50</v>
      </c>
      <c r="AJ464" s="2">
        <v>2</v>
      </c>
      <c r="AK464" s="2">
        <v>1</v>
      </c>
    </row>
    <row r="465" spans="1:37" x14ac:dyDescent="0.3">
      <c r="A465" s="11">
        <v>10.949101796407099</v>
      </c>
      <c r="B465" s="11">
        <v>2127.9069767441802</v>
      </c>
      <c r="C465" s="13" t="s">
        <v>33</v>
      </c>
      <c r="D465" s="10" t="s">
        <v>34</v>
      </c>
      <c r="E465" s="10" t="s">
        <v>170</v>
      </c>
      <c r="F465" s="10" t="s">
        <v>34</v>
      </c>
      <c r="G465" s="10">
        <v>0.51</v>
      </c>
      <c r="H465" s="10" t="s">
        <v>34</v>
      </c>
      <c r="I465" s="10" t="s">
        <v>34</v>
      </c>
      <c r="J465" s="10" t="s">
        <v>34</v>
      </c>
      <c r="K465" s="10" t="s">
        <v>34</v>
      </c>
      <c r="L465" s="10">
        <v>0</v>
      </c>
      <c r="M465" s="10">
        <v>62.47</v>
      </c>
      <c r="N465" s="10" t="s">
        <v>34</v>
      </c>
      <c r="O465" s="10">
        <v>1.2110000000000001</v>
      </c>
      <c r="P465" s="10">
        <v>0.69399999999999995</v>
      </c>
      <c r="Q465" s="10">
        <v>33.200000000000003</v>
      </c>
      <c r="R465" s="10">
        <v>2.56</v>
      </c>
      <c r="S465" s="10" t="s">
        <v>34</v>
      </c>
      <c r="T465" s="10" t="s">
        <v>49</v>
      </c>
      <c r="U465" s="10" t="s">
        <v>306</v>
      </c>
      <c r="V465" s="10" t="s">
        <v>38</v>
      </c>
      <c r="W465" s="10">
        <v>4</v>
      </c>
      <c r="X465" s="10">
        <v>1</v>
      </c>
      <c r="Y465" s="10">
        <v>1</v>
      </c>
      <c r="Z465" s="10" t="s">
        <v>307</v>
      </c>
      <c r="AA465" s="10">
        <v>1.1100000000000001</v>
      </c>
      <c r="AB465" s="10">
        <v>2.5</v>
      </c>
      <c r="AC465" s="10" t="s">
        <v>308</v>
      </c>
      <c r="AD465" s="10" t="s">
        <v>277</v>
      </c>
      <c r="AE465" s="10">
        <v>0.66300000000000003</v>
      </c>
      <c r="AF465" s="10" t="s">
        <v>309</v>
      </c>
      <c r="AG465" s="10">
        <v>2025</v>
      </c>
      <c r="AH465" s="10" t="s">
        <v>310</v>
      </c>
      <c r="AI465" s="2">
        <v>50</v>
      </c>
      <c r="AJ465" s="2">
        <v>2</v>
      </c>
      <c r="AK465" s="2">
        <v>1</v>
      </c>
    </row>
    <row r="466" spans="1:37" x14ac:dyDescent="0.3">
      <c r="A466" s="11">
        <v>11.182634730538901</v>
      </c>
      <c r="B466" s="11">
        <v>2006.9767441860399</v>
      </c>
      <c r="C466" s="13" t="s">
        <v>33</v>
      </c>
      <c r="D466" s="10" t="s">
        <v>34</v>
      </c>
      <c r="E466" s="10" t="s">
        <v>170</v>
      </c>
      <c r="F466" s="10" t="s">
        <v>34</v>
      </c>
      <c r="G466" s="10">
        <v>0.51</v>
      </c>
      <c r="H466" s="10" t="s">
        <v>34</v>
      </c>
      <c r="I466" s="10" t="s">
        <v>34</v>
      </c>
      <c r="J466" s="10" t="s">
        <v>34</v>
      </c>
      <c r="K466" s="10" t="s">
        <v>34</v>
      </c>
      <c r="L466" s="10">
        <v>0</v>
      </c>
      <c r="M466" s="10">
        <v>62.47</v>
      </c>
      <c r="N466" s="10" t="s">
        <v>34</v>
      </c>
      <c r="O466" s="10">
        <v>1.2110000000000001</v>
      </c>
      <c r="P466" s="10">
        <v>0.69399999999999995</v>
      </c>
      <c r="Q466" s="10">
        <v>33.200000000000003</v>
      </c>
      <c r="R466" s="10">
        <v>2.56</v>
      </c>
      <c r="S466" s="10" t="s">
        <v>34</v>
      </c>
      <c r="T466" s="10" t="s">
        <v>49</v>
      </c>
      <c r="U466" s="10" t="s">
        <v>306</v>
      </c>
      <c r="V466" s="10" t="s">
        <v>38</v>
      </c>
      <c r="W466" s="10">
        <v>4</v>
      </c>
      <c r="X466" s="10">
        <v>1</v>
      </c>
      <c r="Y466" s="10">
        <v>1</v>
      </c>
      <c r="Z466" s="10" t="s">
        <v>307</v>
      </c>
      <c r="AA466" s="10">
        <v>1.1100000000000001</v>
      </c>
      <c r="AB466" s="10">
        <v>2.5</v>
      </c>
      <c r="AC466" s="10" t="s">
        <v>308</v>
      </c>
      <c r="AD466" s="10" t="s">
        <v>277</v>
      </c>
      <c r="AE466" s="10">
        <v>0.66300000000000003</v>
      </c>
      <c r="AF466" s="10" t="s">
        <v>309</v>
      </c>
      <c r="AG466" s="10">
        <v>2025</v>
      </c>
      <c r="AH466" s="10" t="s">
        <v>310</v>
      </c>
      <c r="AI466" s="2">
        <v>50</v>
      </c>
      <c r="AJ466" s="2">
        <v>2</v>
      </c>
      <c r="AK466" s="2">
        <v>1</v>
      </c>
    </row>
    <row r="467" spans="1:37" x14ac:dyDescent="0.3">
      <c r="A467" s="11">
        <v>6.4792899408283997</v>
      </c>
      <c r="B467" s="11">
        <v>790.44117647058704</v>
      </c>
      <c r="C467" s="13" t="s">
        <v>33</v>
      </c>
      <c r="D467" s="10" t="s">
        <v>34</v>
      </c>
      <c r="E467" s="10" t="s">
        <v>170</v>
      </c>
      <c r="F467" s="10" t="s">
        <v>34</v>
      </c>
      <c r="G467" s="10">
        <v>0.51</v>
      </c>
      <c r="H467" s="10" t="s">
        <v>34</v>
      </c>
      <c r="I467" s="10" t="s">
        <v>34</v>
      </c>
      <c r="J467" s="10" t="s">
        <v>34</v>
      </c>
      <c r="K467" s="10" t="s">
        <v>34</v>
      </c>
      <c r="L467" s="10">
        <v>0</v>
      </c>
      <c r="M467" s="10">
        <v>62.47</v>
      </c>
      <c r="N467" s="10" t="s">
        <v>34</v>
      </c>
      <c r="O467" s="10">
        <v>1.2110000000000001</v>
      </c>
      <c r="P467" s="10">
        <v>0.69399999999999995</v>
      </c>
      <c r="Q467" s="10">
        <v>33.200000000000003</v>
      </c>
      <c r="R467" s="10">
        <v>2.56</v>
      </c>
      <c r="S467" s="10" t="s">
        <v>34</v>
      </c>
      <c r="T467" s="10" t="s">
        <v>49</v>
      </c>
      <c r="U467" s="10" t="s">
        <v>306</v>
      </c>
      <c r="V467" s="10" t="s">
        <v>38</v>
      </c>
      <c r="W467" s="10">
        <v>3</v>
      </c>
      <c r="X467" s="10">
        <v>1</v>
      </c>
      <c r="Y467" s="10">
        <v>1</v>
      </c>
      <c r="Z467" s="10" t="s">
        <v>307</v>
      </c>
      <c r="AA467" s="10">
        <v>1.1100000000000001</v>
      </c>
      <c r="AB467" s="10">
        <v>1.5</v>
      </c>
      <c r="AC467" s="10" t="s">
        <v>308</v>
      </c>
      <c r="AD467" s="10" t="s">
        <v>277</v>
      </c>
      <c r="AE467" s="10">
        <v>0.66300000000000003</v>
      </c>
      <c r="AF467" s="10" t="s">
        <v>309</v>
      </c>
      <c r="AG467" s="10">
        <v>2025</v>
      </c>
      <c r="AH467" s="10" t="s">
        <v>310</v>
      </c>
      <c r="AI467" s="2">
        <v>50</v>
      </c>
      <c r="AJ467" s="2">
        <v>2</v>
      </c>
      <c r="AK467" s="2">
        <v>1</v>
      </c>
    </row>
    <row r="468" spans="1:37" x14ac:dyDescent="0.3">
      <c r="A468" s="31">
        <v>6.7721893491124199</v>
      </c>
      <c r="B468" s="31">
        <v>631.89338235294099</v>
      </c>
      <c r="C468" s="32" t="s">
        <v>33</v>
      </c>
      <c r="D468" s="33" t="s">
        <v>34</v>
      </c>
      <c r="E468" s="33" t="s">
        <v>170</v>
      </c>
      <c r="F468" s="33" t="s">
        <v>34</v>
      </c>
      <c r="G468" s="33">
        <v>0.51</v>
      </c>
      <c r="H468" s="33" t="s">
        <v>34</v>
      </c>
      <c r="I468" s="33" t="s">
        <v>34</v>
      </c>
      <c r="J468" s="33" t="s">
        <v>34</v>
      </c>
      <c r="K468" s="33" t="s">
        <v>34</v>
      </c>
      <c r="L468" s="33">
        <v>0</v>
      </c>
      <c r="M468" s="33">
        <v>62.47</v>
      </c>
      <c r="N468" s="33" t="s">
        <v>34</v>
      </c>
      <c r="O468" s="33">
        <v>1.2110000000000001</v>
      </c>
      <c r="P468" s="33">
        <v>0.69399999999999995</v>
      </c>
      <c r="Q468" s="33">
        <v>33.200000000000003</v>
      </c>
      <c r="R468" s="33">
        <v>2.56</v>
      </c>
      <c r="S468" s="33" t="s">
        <v>34</v>
      </c>
      <c r="T468" s="33" t="s">
        <v>49</v>
      </c>
      <c r="U468" s="33" t="s">
        <v>306</v>
      </c>
      <c r="V468" s="33" t="s">
        <v>38</v>
      </c>
      <c r="W468" s="33">
        <v>3</v>
      </c>
      <c r="X468" s="33">
        <v>1</v>
      </c>
      <c r="Y468" s="33">
        <v>1</v>
      </c>
      <c r="Z468" s="33" t="s">
        <v>307</v>
      </c>
      <c r="AA468" s="33">
        <v>1.1100000000000001</v>
      </c>
      <c r="AB468" s="33">
        <v>1.5</v>
      </c>
      <c r="AC468" s="33" t="s">
        <v>308</v>
      </c>
      <c r="AD468" s="33" t="s">
        <v>277</v>
      </c>
      <c r="AE468" s="33">
        <v>0.66300000000000003</v>
      </c>
      <c r="AF468" s="33" t="s">
        <v>309</v>
      </c>
      <c r="AG468" s="33">
        <v>2025</v>
      </c>
      <c r="AH468" s="33" t="s">
        <v>310</v>
      </c>
      <c r="AI468" s="2">
        <v>50</v>
      </c>
      <c r="AJ468" s="2">
        <v>2</v>
      </c>
      <c r="AK468" s="2">
        <v>1</v>
      </c>
    </row>
    <row r="469" spans="1:37" s="34" customFormat="1" ht="16.2" thickBot="1" x14ac:dyDescent="0.35">
      <c r="A469" s="17">
        <v>6.5502958579881598</v>
      </c>
      <c r="B469" s="17">
        <v>546.87499999999898</v>
      </c>
      <c r="C469" s="14" t="s">
        <v>33</v>
      </c>
      <c r="D469" s="14" t="s">
        <v>34</v>
      </c>
      <c r="E469" s="14" t="s">
        <v>170</v>
      </c>
      <c r="F469" s="14" t="s">
        <v>34</v>
      </c>
      <c r="G469" s="14">
        <v>0.51</v>
      </c>
      <c r="H469" s="14" t="s">
        <v>34</v>
      </c>
      <c r="I469" s="14" t="s">
        <v>34</v>
      </c>
      <c r="J469" s="14" t="s">
        <v>34</v>
      </c>
      <c r="K469" s="14" t="s">
        <v>34</v>
      </c>
      <c r="L469" s="14">
        <v>0</v>
      </c>
      <c r="M469" s="14">
        <v>62.47</v>
      </c>
      <c r="N469" s="14" t="s">
        <v>34</v>
      </c>
      <c r="O469" s="14">
        <v>1.2110000000000001</v>
      </c>
      <c r="P469" s="14">
        <v>0.69399999999999995</v>
      </c>
      <c r="Q469" s="14">
        <v>33.200000000000003</v>
      </c>
      <c r="R469" s="14">
        <v>2.56</v>
      </c>
      <c r="S469" s="14" t="s">
        <v>34</v>
      </c>
      <c r="T469" s="14" t="s">
        <v>49</v>
      </c>
      <c r="U469" s="14" t="s">
        <v>306</v>
      </c>
      <c r="V469" s="14" t="s">
        <v>38</v>
      </c>
      <c r="W469" s="14">
        <v>3</v>
      </c>
      <c r="X469" s="14">
        <v>1</v>
      </c>
      <c r="Y469" s="14">
        <v>1</v>
      </c>
      <c r="Z469" s="14" t="s">
        <v>307</v>
      </c>
      <c r="AA469" s="14">
        <v>1.1100000000000001</v>
      </c>
      <c r="AB469" s="14">
        <v>1.5</v>
      </c>
      <c r="AC469" s="14" t="s">
        <v>308</v>
      </c>
      <c r="AD469" s="14" t="s">
        <v>277</v>
      </c>
      <c r="AE469" s="14">
        <v>0.66300000000000003</v>
      </c>
      <c r="AF469" s="14" t="s">
        <v>309</v>
      </c>
      <c r="AG469" s="14">
        <v>2025</v>
      </c>
      <c r="AH469" s="14" t="s">
        <v>310</v>
      </c>
      <c r="AI469" s="61">
        <v>50</v>
      </c>
      <c r="AJ469" s="15">
        <v>2</v>
      </c>
      <c r="AK469" s="15">
        <v>1</v>
      </c>
    </row>
    <row r="470" spans="1:37" x14ac:dyDescent="0.3">
      <c r="A470" s="12">
        <v>7.48</v>
      </c>
      <c r="B470" s="12">
        <v>1930</v>
      </c>
      <c r="C470" s="13" t="s">
        <v>311</v>
      </c>
      <c r="D470" s="13" t="s">
        <v>312</v>
      </c>
      <c r="E470" s="13" t="s">
        <v>170</v>
      </c>
      <c r="F470" s="13">
        <v>0.45</v>
      </c>
      <c r="G470" s="13">
        <v>5.65</v>
      </c>
      <c r="H470" s="13">
        <v>1.02</v>
      </c>
      <c r="I470" s="13">
        <v>6.29</v>
      </c>
      <c r="J470" s="13">
        <v>13.98</v>
      </c>
      <c r="K470" s="13">
        <v>0.42</v>
      </c>
      <c r="L470" s="13">
        <v>0.67</v>
      </c>
      <c r="M470" s="13" t="s">
        <v>34</v>
      </c>
      <c r="N470" s="13" t="s">
        <v>34</v>
      </c>
      <c r="O470" s="13" t="s">
        <v>34</v>
      </c>
      <c r="P470" s="13" t="s">
        <v>34</v>
      </c>
      <c r="Q470" s="13">
        <v>0</v>
      </c>
      <c r="R470" s="13" t="s">
        <v>34</v>
      </c>
      <c r="S470" s="13" t="s">
        <v>34</v>
      </c>
      <c r="T470" s="13" t="s">
        <v>49</v>
      </c>
      <c r="U470" s="13" t="s">
        <v>313</v>
      </c>
      <c r="V470" s="13" t="s">
        <v>162</v>
      </c>
      <c r="W470" s="13">
        <v>9</v>
      </c>
      <c r="X470" s="13">
        <v>1</v>
      </c>
      <c r="Y470" s="13">
        <v>1</v>
      </c>
      <c r="Z470" s="13" t="s">
        <v>314</v>
      </c>
      <c r="AA470" s="13">
        <v>0.106</v>
      </c>
      <c r="AB470" s="13" t="s">
        <v>34</v>
      </c>
      <c r="AC470" s="13" t="s">
        <v>40</v>
      </c>
      <c r="AD470" s="13" t="s">
        <v>277</v>
      </c>
      <c r="AE470" s="13">
        <v>0.63300000000000001</v>
      </c>
      <c r="AF470" s="13" t="s">
        <v>315</v>
      </c>
      <c r="AG470" s="13">
        <v>2025</v>
      </c>
      <c r="AH470" s="13" t="s">
        <v>316</v>
      </c>
      <c r="AI470" s="2">
        <v>50</v>
      </c>
      <c r="AJ470" s="2">
        <v>2</v>
      </c>
      <c r="AK470" s="2">
        <v>1</v>
      </c>
    </row>
    <row r="471" spans="1:37" x14ac:dyDescent="0.3">
      <c r="A471" s="11">
        <v>9.8699999999999992</v>
      </c>
      <c r="B471" s="11">
        <v>2390</v>
      </c>
      <c r="C471" s="10" t="s">
        <v>311</v>
      </c>
      <c r="D471" s="10" t="s">
        <v>312</v>
      </c>
      <c r="E471" s="10" t="s">
        <v>170</v>
      </c>
      <c r="F471" s="10">
        <v>0.45</v>
      </c>
      <c r="G471" s="10">
        <v>5.65</v>
      </c>
      <c r="H471" s="10">
        <v>1.02</v>
      </c>
      <c r="I471" s="10">
        <v>6.29</v>
      </c>
      <c r="J471" s="10">
        <v>13.98</v>
      </c>
      <c r="K471" s="10">
        <v>0.42</v>
      </c>
      <c r="L471" s="10">
        <v>0.67</v>
      </c>
      <c r="M471" s="10" t="s">
        <v>34</v>
      </c>
      <c r="N471" s="10" t="s">
        <v>34</v>
      </c>
      <c r="O471" s="10" t="s">
        <v>34</v>
      </c>
      <c r="P471" s="10" t="s">
        <v>34</v>
      </c>
      <c r="Q471" s="10">
        <v>0</v>
      </c>
      <c r="R471" s="10" t="s">
        <v>34</v>
      </c>
      <c r="S471" s="10" t="s">
        <v>34</v>
      </c>
      <c r="T471" s="10" t="s">
        <v>49</v>
      </c>
      <c r="U471" s="10" t="s">
        <v>313</v>
      </c>
      <c r="V471" s="10" t="s">
        <v>162</v>
      </c>
      <c r="W471" s="10">
        <v>12</v>
      </c>
      <c r="X471" s="10">
        <v>1</v>
      </c>
      <c r="Y471" s="10">
        <v>1</v>
      </c>
      <c r="Z471" s="10" t="s">
        <v>314</v>
      </c>
      <c r="AA471" s="10">
        <v>1.1060000000000001</v>
      </c>
      <c r="AB471" s="10" t="s">
        <v>34</v>
      </c>
      <c r="AC471" s="10" t="s">
        <v>40</v>
      </c>
      <c r="AD471" s="10" t="s">
        <v>277</v>
      </c>
      <c r="AE471" s="10">
        <v>0.63300000000000001</v>
      </c>
      <c r="AF471" s="10" t="s">
        <v>315</v>
      </c>
      <c r="AG471" s="10">
        <v>2025</v>
      </c>
      <c r="AH471" s="10" t="s">
        <v>316</v>
      </c>
      <c r="AI471" s="2">
        <v>50</v>
      </c>
      <c r="AJ471" s="2">
        <v>2</v>
      </c>
      <c r="AK471" s="2">
        <v>1</v>
      </c>
    </row>
    <row r="472" spans="1:37" x14ac:dyDescent="0.3">
      <c r="A472" s="11">
        <v>12.06</v>
      </c>
      <c r="B472" s="11">
        <v>4130</v>
      </c>
      <c r="C472" s="10" t="s">
        <v>311</v>
      </c>
      <c r="D472" s="10" t="s">
        <v>312</v>
      </c>
      <c r="E472" s="10" t="s">
        <v>170</v>
      </c>
      <c r="F472" s="10">
        <v>0.45</v>
      </c>
      <c r="G472" s="10">
        <v>5.65</v>
      </c>
      <c r="H472" s="10">
        <v>1.02</v>
      </c>
      <c r="I472" s="10">
        <v>6.29</v>
      </c>
      <c r="J472" s="10">
        <v>13.98</v>
      </c>
      <c r="K472" s="10">
        <v>0.42</v>
      </c>
      <c r="L472" s="10">
        <v>0.67</v>
      </c>
      <c r="M472" s="10" t="s">
        <v>34</v>
      </c>
      <c r="N472" s="10" t="s">
        <v>34</v>
      </c>
      <c r="O472" s="10" t="s">
        <v>34</v>
      </c>
      <c r="P472" s="10" t="s">
        <v>34</v>
      </c>
      <c r="Q472" s="10">
        <v>0</v>
      </c>
      <c r="R472" s="10" t="s">
        <v>34</v>
      </c>
      <c r="S472" s="10" t="s">
        <v>34</v>
      </c>
      <c r="T472" s="10" t="s">
        <v>49</v>
      </c>
      <c r="U472" s="10" t="s">
        <v>313</v>
      </c>
      <c r="V472" s="10" t="s">
        <v>162</v>
      </c>
      <c r="W472" s="10">
        <v>15</v>
      </c>
      <c r="X472" s="10">
        <v>1</v>
      </c>
      <c r="Y472" s="10">
        <v>1</v>
      </c>
      <c r="Z472" s="10" t="s">
        <v>314</v>
      </c>
      <c r="AA472" s="10">
        <v>2.1059999999999999</v>
      </c>
      <c r="AB472" s="10" t="s">
        <v>34</v>
      </c>
      <c r="AC472" s="10" t="s">
        <v>40</v>
      </c>
      <c r="AD472" s="10" t="s">
        <v>277</v>
      </c>
      <c r="AE472" s="10">
        <v>0.63300000000000001</v>
      </c>
      <c r="AF472" s="10" t="s">
        <v>315</v>
      </c>
      <c r="AG472" s="10">
        <v>2025</v>
      </c>
      <c r="AH472" s="10" t="s">
        <v>316</v>
      </c>
      <c r="AI472" s="2">
        <v>50</v>
      </c>
      <c r="AJ472" s="2">
        <v>2</v>
      </c>
      <c r="AK472" s="2">
        <v>1</v>
      </c>
    </row>
    <row r="473" spans="1:37" x14ac:dyDescent="0.3">
      <c r="A473" s="11">
        <v>7.57</v>
      </c>
      <c r="B473" s="11">
        <v>2040</v>
      </c>
      <c r="C473" s="10" t="s">
        <v>311</v>
      </c>
      <c r="D473" s="10" t="s">
        <v>312</v>
      </c>
      <c r="E473" s="10" t="s">
        <v>170</v>
      </c>
      <c r="F473" s="10">
        <v>0.41</v>
      </c>
      <c r="G473" s="10">
        <v>5.0999999999999996</v>
      </c>
      <c r="H473" s="10">
        <v>0.79</v>
      </c>
      <c r="I473" s="10">
        <v>5.84</v>
      </c>
      <c r="J473" s="10">
        <v>14.36</v>
      </c>
      <c r="K473" s="10">
        <v>0.26</v>
      </c>
      <c r="L473" s="10">
        <v>0.57999999999999996</v>
      </c>
      <c r="M473" s="10" t="s">
        <v>34</v>
      </c>
      <c r="N473" s="10" t="s">
        <v>34</v>
      </c>
      <c r="O473" s="10" t="s">
        <v>34</v>
      </c>
      <c r="P473" s="10" t="s">
        <v>34</v>
      </c>
      <c r="Q473" s="10">
        <v>0</v>
      </c>
      <c r="R473" s="10" t="s">
        <v>34</v>
      </c>
      <c r="S473" s="10" t="s">
        <v>34</v>
      </c>
      <c r="T473" s="10" t="s">
        <v>49</v>
      </c>
      <c r="U473" s="10" t="s">
        <v>313</v>
      </c>
      <c r="V473" s="10" t="s">
        <v>162</v>
      </c>
      <c r="W473" s="10">
        <v>9</v>
      </c>
      <c r="X473" s="10">
        <v>1</v>
      </c>
      <c r="Y473" s="10">
        <v>1</v>
      </c>
      <c r="Z473" s="10" t="s">
        <v>314</v>
      </c>
      <c r="AA473" s="10">
        <v>3.1059999999999999</v>
      </c>
      <c r="AB473" s="10" t="s">
        <v>34</v>
      </c>
      <c r="AC473" s="10" t="s">
        <v>40</v>
      </c>
      <c r="AD473" s="10" t="s">
        <v>277</v>
      </c>
      <c r="AE473" s="10">
        <v>0.63300000000000001</v>
      </c>
      <c r="AF473" s="10" t="s">
        <v>315</v>
      </c>
      <c r="AG473" s="10">
        <v>2025</v>
      </c>
      <c r="AH473" s="10" t="s">
        <v>316</v>
      </c>
      <c r="AI473" s="2">
        <v>50</v>
      </c>
      <c r="AJ473" s="2">
        <v>2</v>
      </c>
      <c r="AK473" s="2">
        <v>1</v>
      </c>
    </row>
    <row r="474" spans="1:37" x14ac:dyDescent="0.3">
      <c r="A474" s="11">
        <v>9.94</v>
      </c>
      <c r="B474" s="11">
        <v>3020</v>
      </c>
      <c r="C474" s="10" t="s">
        <v>311</v>
      </c>
      <c r="D474" s="10" t="s">
        <v>312</v>
      </c>
      <c r="E474" s="10" t="s">
        <v>170</v>
      </c>
      <c r="F474" s="10">
        <v>0.41</v>
      </c>
      <c r="G474" s="10">
        <v>5.0999999999999996</v>
      </c>
      <c r="H474" s="10">
        <v>0.79</v>
      </c>
      <c r="I474" s="10">
        <v>5.84</v>
      </c>
      <c r="J474" s="10">
        <v>14.36</v>
      </c>
      <c r="K474" s="10">
        <v>0.26</v>
      </c>
      <c r="L474" s="10">
        <v>0.57999999999999996</v>
      </c>
      <c r="M474" s="10" t="s">
        <v>34</v>
      </c>
      <c r="N474" s="10" t="s">
        <v>34</v>
      </c>
      <c r="O474" s="10" t="s">
        <v>34</v>
      </c>
      <c r="P474" s="10" t="s">
        <v>34</v>
      </c>
      <c r="Q474" s="10">
        <v>0</v>
      </c>
      <c r="R474" s="10" t="s">
        <v>34</v>
      </c>
      <c r="S474" s="10" t="s">
        <v>34</v>
      </c>
      <c r="T474" s="10" t="s">
        <v>49</v>
      </c>
      <c r="U474" s="10" t="s">
        <v>313</v>
      </c>
      <c r="V474" s="10" t="s">
        <v>162</v>
      </c>
      <c r="W474" s="10">
        <v>12</v>
      </c>
      <c r="X474" s="10">
        <v>1</v>
      </c>
      <c r="Y474" s="10">
        <v>1</v>
      </c>
      <c r="Z474" s="10" t="s">
        <v>314</v>
      </c>
      <c r="AA474" s="10">
        <v>4.1059999999999999</v>
      </c>
      <c r="AB474" s="10" t="s">
        <v>34</v>
      </c>
      <c r="AC474" s="10" t="s">
        <v>40</v>
      </c>
      <c r="AD474" s="10" t="s">
        <v>277</v>
      </c>
      <c r="AE474" s="10">
        <v>0.63300000000000001</v>
      </c>
      <c r="AF474" s="10" t="s">
        <v>315</v>
      </c>
      <c r="AG474" s="10">
        <v>2025</v>
      </c>
      <c r="AH474" s="10" t="s">
        <v>316</v>
      </c>
      <c r="AI474" s="2">
        <v>50</v>
      </c>
      <c r="AJ474" s="2">
        <v>2</v>
      </c>
      <c r="AK474" s="2">
        <v>1</v>
      </c>
    </row>
    <row r="475" spans="1:37" x14ac:dyDescent="0.3">
      <c r="A475" s="11">
        <v>11.59</v>
      </c>
      <c r="B475" s="11">
        <v>4180</v>
      </c>
      <c r="C475" s="10" t="s">
        <v>311</v>
      </c>
      <c r="D475" s="10" t="s">
        <v>312</v>
      </c>
      <c r="E475" s="10" t="s">
        <v>170</v>
      </c>
      <c r="F475" s="10">
        <v>0.41</v>
      </c>
      <c r="G475" s="10">
        <v>5.0999999999999996</v>
      </c>
      <c r="H475" s="10">
        <v>0.79</v>
      </c>
      <c r="I475" s="10">
        <v>5.84</v>
      </c>
      <c r="J475" s="10">
        <v>14.36</v>
      </c>
      <c r="K475" s="10">
        <v>0.26</v>
      </c>
      <c r="L475" s="10">
        <v>0.57999999999999996</v>
      </c>
      <c r="M475" s="10" t="s">
        <v>34</v>
      </c>
      <c r="N475" s="10" t="s">
        <v>34</v>
      </c>
      <c r="O475" s="10" t="s">
        <v>34</v>
      </c>
      <c r="P475" s="10" t="s">
        <v>34</v>
      </c>
      <c r="Q475" s="10">
        <v>0</v>
      </c>
      <c r="R475" s="10" t="s">
        <v>34</v>
      </c>
      <c r="S475" s="10" t="s">
        <v>34</v>
      </c>
      <c r="T475" s="10" t="s">
        <v>49</v>
      </c>
      <c r="U475" s="10" t="s">
        <v>313</v>
      </c>
      <c r="V475" s="10" t="s">
        <v>162</v>
      </c>
      <c r="W475" s="10">
        <v>15</v>
      </c>
      <c r="X475" s="10">
        <v>1</v>
      </c>
      <c r="Y475" s="10">
        <v>1</v>
      </c>
      <c r="Z475" s="10" t="s">
        <v>314</v>
      </c>
      <c r="AA475" s="10">
        <v>5.1059999999999999</v>
      </c>
      <c r="AB475" s="10" t="s">
        <v>34</v>
      </c>
      <c r="AC475" s="10" t="s">
        <v>40</v>
      </c>
      <c r="AD475" s="10" t="s">
        <v>277</v>
      </c>
      <c r="AE475" s="10">
        <v>0.63300000000000001</v>
      </c>
      <c r="AF475" s="10" t="s">
        <v>315</v>
      </c>
      <c r="AG475" s="10">
        <v>2025</v>
      </c>
      <c r="AH475" s="10" t="s">
        <v>316</v>
      </c>
      <c r="AI475" s="2">
        <v>50</v>
      </c>
      <c r="AJ475" s="2">
        <v>2</v>
      </c>
      <c r="AK475" s="2">
        <v>1</v>
      </c>
    </row>
    <row r="476" spans="1:37" x14ac:dyDescent="0.3">
      <c r="A476" s="11">
        <v>7.53</v>
      </c>
      <c r="B476" s="11">
        <v>2790</v>
      </c>
      <c r="C476" s="10" t="s">
        <v>33</v>
      </c>
      <c r="D476" s="10" t="s">
        <v>35</v>
      </c>
      <c r="E476" s="10" t="s">
        <v>170</v>
      </c>
      <c r="F476" s="10">
        <v>0.39</v>
      </c>
      <c r="G476" s="10">
        <v>1.2</v>
      </c>
      <c r="H476" s="10">
        <v>0.69</v>
      </c>
      <c r="I476" s="10">
        <v>5.43</v>
      </c>
      <c r="J476" s="10">
        <v>14.02</v>
      </c>
      <c r="K476" s="10">
        <v>0.23</v>
      </c>
      <c r="L476" s="10">
        <v>0.52</v>
      </c>
      <c r="M476" s="10" t="s">
        <v>34</v>
      </c>
      <c r="N476" s="10" t="s">
        <v>34</v>
      </c>
      <c r="O476" s="10" t="s">
        <v>34</v>
      </c>
      <c r="P476" s="10" t="s">
        <v>34</v>
      </c>
      <c r="Q476" s="10">
        <v>0</v>
      </c>
      <c r="R476" s="10" t="s">
        <v>34</v>
      </c>
      <c r="S476" s="10" t="s">
        <v>34</v>
      </c>
      <c r="T476" s="10" t="s">
        <v>49</v>
      </c>
      <c r="U476" s="10" t="s">
        <v>313</v>
      </c>
      <c r="V476" s="10" t="s">
        <v>162</v>
      </c>
      <c r="W476" s="10">
        <v>9</v>
      </c>
      <c r="X476" s="10">
        <v>1</v>
      </c>
      <c r="Y476" s="10">
        <v>1</v>
      </c>
      <c r="Z476" s="10" t="s">
        <v>314</v>
      </c>
      <c r="AA476" s="10">
        <v>6.1059999999999999</v>
      </c>
      <c r="AB476" s="10" t="s">
        <v>34</v>
      </c>
      <c r="AC476" s="10" t="s">
        <v>40</v>
      </c>
      <c r="AD476" s="10" t="s">
        <v>277</v>
      </c>
      <c r="AE476" s="10">
        <v>0.63300000000000001</v>
      </c>
      <c r="AF476" s="10" t="s">
        <v>315</v>
      </c>
      <c r="AG476" s="10">
        <v>2025</v>
      </c>
      <c r="AH476" s="10" t="s">
        <v>316</v>
      </c>
      <c r="AI476" s="2">
        <v>50</v>
      </c>
      <c r="AJ476" s="2">
        <v>2</v>
      </c>
      <c r="AK476" s="2">
        <v>1</v>
      </c>
    </row>
    <row r="477" spans="1:37" x14ac:dyDescent="0.3">
      <c r="A477" s="11">
        <v>9.83</v>
      </c>
      <c r="B477" s="11">
        <v>4080</v>
      </c>
      <c r="C477" s="10" t="s">
        <v>33</v>
      </c>
      <c r="D477" s="10" t="s">
        <v>35</v>
      </c>
      <c r="E477" s="10" t="s">
        <v>170</v>
      </c>
      <c r="F477" s="10">
        <v>0.39</v>
      </c>
      <c r="G477" s="10">
        <v>1.2</v>
      </c>
      <c r="H477" s="10">
        <v>0.69</v>
      </c>
      <c r="I477" s="10">
        <v>5.43</v>
      </c>
      <c r="J477" s="10">
        <v>14.02</v>
      </c>
      <c r="K477" s="10">
        <v>0.23</v>
      </c>
      <c r="L477" s="10">
        <v>0.52</v>
      </c>
      <c r="M477" s="10" t="s">
        <v>34</v>
      </c>
      <c r="N477" s="10" t="s">
        <v>34</v>
      </c>
      <c r="O477" s="10" t="s">
        <v>34</v>
      </c>
      <c r="P477" s="10" t="s">
        <v>34</v>
      </c>
      <c r="Q477" s="10">
        <v>0</v>
      </c>
      <c r="R477" s="10" t="s">
        <v>34</v>
      </c>
      <c r="S477" s="10" t="s">
        <v>34</v>
      </c>
      <c r="T477" s="10" t="s">
        <v>49</v>
      </c>
      <c r="U477" s="10" t="s">
        <v>313</v>
      </c>
      <c r="V477" s="10" t="s">
        <v>162</v>
      </c>
      <c r="W477" s="10">
        <v>12</v>
      </c>
      <c r="X477" s="10">
        <v>1</v>
      </c>
      <c r="Y477" s="10">
        <v>1</v>
      </c>
      <c r="Z477" s="10" t="s">
        <v>314</v>
      </c>
      <c r="AA477" s="10">
        <v>7.1059999999999999</v>
      </c>
      <c r="AB477" s="10" t="s">
        <v>34</v>
      </c>
      <c r="AC477" s="10" t="s">
        <v>40</v>
      </c>
      <c r="AD477" s="10" t="s">
        <v>277</v>
      </c>
      <c r="AE477" s="10">
        <v>0.63300000000000001</v>
      </c>
      <c r="AF477" s="10" t="s">
        <v>315</v>
      </c>
      <c r="AG477" s="10">
        <v>2025</v>
      </c>
      <c r="AH477" s="10" t="s">
        <v>316</v>
      </c>
      <c r="AI477" s="2">
        <v>50</v>
      </c>
      <c r="AJ477" s="2">
        <v>2</v>
      </c>
      <c r="AK477" s="2">
        <v>1</v>
      </c>
    </row>
    <row r="478" spans="1:37" x14ac:dyDescent="0.3">
      <c r="A478" s="11">
        <v>11.07</v>
      </c>
      <c r="B478" s="11">
        <v>4240</v>
      </c>
      <c r="C478" s="10" t="s">
        <v>33</v>
      </c>
      <c r="D478" s="10" t="s">
        <v>35</v>
      </c>
      <c r="E478" s="10" t="s">
        <v>170</v>
      </c>
      <c r="F478" s="10">
        <v>0.39</v>
      </c>
      <c r="G478" s="10">
        <v>1.2</v>
      </c>
      <c r="H478" s="10">
        <v>0.69</v>
      </c>
      <c r="I478" s="10">
        <v>5.43</v>
      </c>
      <c r="J478" s="10">
        <v>14.02</v>
      </c>
      <c r="K478" s="10">
        <v>0.23</v>
      </c>
      <c r="L478" s="10">
        <v>0.52</v>
      </c>
      <c r="M478" s="10" t="s">
        <v>34</v>
      </c>
      <c r="N478" s="10" t="s">
        <v>34</v>
      </c>
      <c r="O478" s="10" t="s">
        <v>34</v>
      </c>
      <c r="P478" s="10" t="s">
        <v>34</v>
      </c>
      <c r="Q478" s="10">
        <v>0</v>
      </c>
      <c r="R478" s="10" t="s">
        <v>34</v>
      </c>
      <c r="S478" s="10" t="s">
        <v>34</v>
      </c>
      <c r="T478" s="10" t="s">
        <v>49</v>
      </c>
      <c r="U478" s="10" t="s">
        <v>313</v>
      </c>
      <c r="V478" s="10" t="s">
        <v>162</v>
      </c>
      <c r="W478" s="10">
        <v>15</v>
      </c>
      <c r="X478" s="10">
        <v>1</v>
      </c>
      <c r="Y478" s="10">
        <v>1</v>
      </c>
      <c r="Z478" s="10" t="s">
        <v>314</v>
      </c>
      <c r="AA478" s="10">
        <v>8.1059999999999999</v>
      </c>
      <c r="AB478" s="10" t="s">
        <v>34</v>
      </c>
      <c r="AC478" s="10" t="s">
        <v>40</v>
      </c>
      <c r="AD478" s="10" t="s">
        <v>277</v>
      </c>
      <c r="AE478" s="10">
        <v>0.63300000000000001</v>
      </c>
      <c r="AF478" s="10" t="s">
        <v>315</v>
      </c>
      <c r="AG478" s="10">
        <v>2025</v>
      </c>
      <c r="AH478" s="10" t="s">
        <v>316</v>
      </c>
      <c r="AI478" s="2">
        <v>50</v>
      </c>
      <c r="AJ478" s="2">
        <v>2</v>
      </c>
      <c r="AK478" s="2">
        <v>1</v>
      </c>
    </row>
    <row r="479" spans="1:37" x14ac:dyDescent="0.3">
      <c r="A479" s="11">
        <v>7.56</v>
      </c>
      <c r="B479" s="11">
        <v>2940</v>
      </c>
      <c r="C479" s="10" t="s">
        <v>33</v>
      </c>
      <c r="D479" s="10" t="s">
        <v>35</v>
      </c>
      <c r="E479" s="10" t="s">
        <v>170</v>
      </c>
      <c r="F479" s="10">
        <v>0.37</v>
      </c>
      <c r="G479" s="10">
        <v>1.08</v>
      </c>
      <c r="H479" s="10">
        <v>0.62</v>
      </c>
      <c r="I479" s="10">
        <v>2.88</v>
      </c>
      <c r="J479" s="10">
        <v>7.68</v>
      </c>
      <c r="K479" s="10">
        <v>0.36</v>
      </c>
      <c r="L479" s="10">
        <v>0.4</v>
      </c>
      <c r="M479" s="10" t="s">
        <v>34</v>
      </c>
      <c r="N479" s="10" t="s">
        <v>34</v>
      </c>
      <c r="O479" s="10" t="s">
        <v>34</v>
      </c>
      <c r="P479" s="10" t="s">
        <v>34</v>
      </c>
      <c r="Q479" s="10">
        <v>0</v>
      </c>
      <c r="R479" s="10" t="s">
        <v>34</v>
      </c>
      <c r="S479" s="10" t="s">
        <v>34</v>
      </c>
      <c r="T479" s="10" t="s">
        <v>49</v>
      </c>
      <c r="U479" s="10" t="s">
        <v>313</v>
      </c>
      <c r="V479" s="10" t="s">
        <v>162</v>
      </c>
      <c r="W479" s="10">
        <v>9</v>
      </c>
      <c r="X479" s="10">
        <v>1</v>
      </c>
      <c r="Y479" s="10">
        <v>1</v>
      </c>
      <c r="Z479" s="10" t="s">
        <v>314</v>
      </c>
      <c r="AA479" s="10">
        <v>9.1059999999999999</v>
      </c>
      <c r="AB479" s="10" t="s">
        <v>34</v>
      </c>
      <c r="AC479" s="10" t="s">
        <v>40</v>
      </c>
      <c r="AD479" s="10" t="s">
        <v>277</v>
      </c>
      <c r="AE479" s="10">
        <v>0.63300000000000001</v>
      </c>
      <c r="AF479" s="10" t="s">
        <v>315</v>
      </c>
      <c r="AG479" s="10">
        <v>2025</v>
      </c>
      <c r="AH479" s="10" t="s">
        <v>316</v>
      </c>
      <c r="AI479" s="2">
        <v>50</v>
      </c>
      <c r="AJ479" s="2">
        <v>2</v>
      </c>
      <c r="AK479" s="2">
        <v>1</v>
      </c>
    </row>
    <row r="480" spans="1:37" x14ac:dyDescent="0.3">
      <c r="A480" s="11">
        <v>9.83</v>
      </c>
      <c r="B480" s="11">
        <v>4160</v>
      </c>
      <c r="C480" s="10" t="s">
        <v>33</v>
      </c>
      <c r="D480" s="10" t="s">
        <v>35</v>
      </c>
      <c r="E480" s="10" t="s">
        <v>170</v>
      </c>
      <c r="F480" s="10">
        <v>0.37</v>
      </c>
      <c r="G480" s="10">
        <v>1.08</v>
      </c>
      <c r="H480" s="10">
        <v>0.62</v>
      </c>
      <c r="I480" s="10">
        <v>2.88</v>
      </c>
      <c r="J480" s="10">
        <v>7.68</v>
      </c>
      <c r="K480" s="10">
        <v>0.36</v>
      </c>
      <c r="L480" s="10">
        <v>0.4</v>
      </c>
      <c r="M480" s="10" t="s">
        <v>34</v>
      </c>
      <c r="N480" s="10" t="s">
        <v>34</v>
      </c>
      <c r="O480" s="10" t="s">
        <v>34</v>
      </c>
      <c r="P480" s="10" t="s">
        <v>34</v>
      </c>
      <c r="Q480" s="10">
        <v>0</v>
      </c>
      <c r="R480" s="10" t="s">
        <v>34</v>
      </c>
      <c r="S480" s="10" t="s">
        <v>34</v>
      </c>
      <c r="T480" s="10" t="s">
        <v>49</v>
      </c>
      <c r="U480" s="10" t="s">
        <v>313</v>
      </c>
      <c r="V480" s="10" t="s">
        <v>162</v>
      </c>
      <c r="W480" s="10">
        <v>12</v>
      </c>
      <c r="X480" s="10">
        <v>1</v>
      </c>
      <c r="Y480" s="10">
        <v>1</v>
      </c>
      <c r="Z480" s="10" t="s">
        <v>314</v>
      </c>
      <c r="AA480" s="10">
        <v>10.106</v>
      </c>
      <c r="AB480" s="10" t="s">
        <v>34</v>
      </c>
      <c r="AC480" s="10" t="s">
        <v>40</v>
      </c>
      <c r="AD480" s="10" t="s">
        <v>277</v>
      </c>
      <c r="AE480" s="10">
        <v>0.63300000000000001</v>
      </c>
      <c r="AF480" s="10" t="s">
        <v>315</v>
      </c>
      <c r="AG480" s="10">
        <v>2025</v>
      </c>
      <c r="AH480" s="10" t="s">
        <v>316</v>
      </c>
      <c r="AI480" s="2">
        <v>50</v>
      </c>
      <c r="AJ480" s="2">
        <v>2</v>
      </c>
      <c r="AK480" s="2">
        <v>1</v>
      </c>
    </row>
    <row r="481" spans="1:37" x14ac:dyDescent="0.3">
      <c r="A481" s="11">
        <v>11.03</v>
      </c>
      <c r="B481" s="11">
        <v>4370</v>
      </c>
      <c r="C481" s="10" t="s">
        <v>33</v>
      </c>
      <c r="D481" s="10" t="s">
        <v>35</v>
      </c>
      <c r="E481" s="10" t="s">
        <v>170</v>
      </c>
      <c r="F481" s="10">
        <v>0.37</v>
      </c>
      <c r="G481" s="10">
        <v>1.08</v>
      </c>
      <c r="H481" s="10">
        <v>0.62</v>
      </c>
      <c r="I481" s="10">
        <v>2.88</v>
      </c>
      <c r="J481" s="10">
        <v>7.68</v>
      </c>
      <c r="K481" s="10">
        <v>0.36</v>
      </c>
      <c r="L481" s="10">
        <v>0.4</v>
      </c>
      <c r="M481" s="10" t="s">
        <v>34</v>
      </c>
      <c r="N481" s="10" t="s">
        <v>34</v>
      </c>
      <c r="O481" s="10" t="s">
        <v>34</v>
      </c>
      <c r="P481" s="10" t="s">
        <v>34</v>
      </c>
      <c r="Q481" s="10">
        <v>0</v>
      </c>
      <c r="R481" s="10" t="s">
        <v>34</v>
      </c>
      <c r="S481" s="10" t="s">
        <v>34</v>
      </c>
      <c r="T481" s="10" t="s">
        <v>49</v>
      </c>
      <c r="U481" s="10" t="s">
        <v>313</v>
      </c>
      <c r="V481" s="10" t="s">
        <v>162</v>
      </c>
      <c r="W481" s="10">
        <v>15</v>
      </c>
      <c r="X481" s="10">
        <v>1</v>
      </c>
      <c r="Y481" s="10">
        <v>1</v>
      </c>
      <c r="Z481" s="10" t="s">
        <v>314</v>
      </c>
      <c r="AA481" s="10">
        <v>11.106</v>
      </c>
      <c r="AB481" s="10" t="s">
        <v>34</v>
      </c>
      <c r="AC481" s="10" t="s">
        <v>40</v>
      </c>
      <c r="AD481" s="10" t="s">
        <v>277</v>
      </c>
      <c r="AE481" s="10">
        <v>0.63300000000000001</v>
      </c>
      <c r="AF481" s="10" t="s">
        <v>315</v>
      </c>
      <c r="AG481" s="10">
        <v>2025</v>
      </c>
      <c r="AH481" s="10" t="s">
        <v>316</v>
      </c>
      <c r="AI481" s="2">
        <v>50</v>
      </c>
      <c r="AJ481" s="2">
        <v>2</v>
      </c>
      <c r="AK481" s="2">
        <v>1</v>
      </c>
    </row>
    <row r="482" spans="1:37" x14ac:dyDescent="0.3">
      <c r="A482" s="11">
        <v>7.57</v>
      </c>
      <c r="B482" s="11">
        <v>3060</v>
      </c>
      <c r="C482" s="10" t="s">
        <v>33</v>
      </c>
      <c r="D482" s="10" t="s">
        <v>35</v>
      </c>
      <c r="E482" s="10" t="s">
        <v>170</v>
      </c>
      <c r="F482" s="10">
        <v>0.37</v>
      </c>
      <c r="G482" s="10">
        <v>0.98</v>
      </c>
      <c r="H482" s="10">
        <v>0.59</v>
      </c>
      <c r="I482" s="10">
        <v>1.2</v>
      </c>
      <c r="J482" s="10">
        <v>3.27</v>
      </c>
      <c r="K482" s="10">
        <v>0.79</v>
      </c>
      <c r="L482" s="10">
        <v>0.43</v>
      </c>
      <c r="M482" s="10" t="s">
        <v>34</v>
      </c>
      <c r="N482" s="10" t="s">
        <v>34</v>
      </c>
      <c r="O482" s="10" t="s">
        <v>34</v>
      </c>
      <c r="P482" s="10" t="s">
        <v>34</v>
      </c>
      <c r="Q482" s="10">
        <v>0</v>
      </c>
      <c r="R482" s="10" t="s">
        <v>34</v>
      </c>
      <c r="S482" s="10" t="s">
        <v>34</v>
      </c>
      <c r="T482" s="10" t="s">
        <v>49</v>
      </c>
      <c r="U482" s="10" t="s">
        <v>313</v>
      </c>
      <c r="V482" s="10" t="s">
        <v>162</v>
      </c>
      <c r="W482" s="10">
        <v>9</v>
      </c>
      <c r="X482" s="10">
        <v>1</v>
      </c>
      <c r="Y482" s="10">
        <v>1</v>
      </c>
      <c r="Z482" s="10" t="s">
        <v>314</v>
      </c>
      <c r="AA482" s="10">
        <v>12.106</v>
      </c>
      <c r="AB482" s="10" t="s">
        <v>34</v>
      </c>
      <c r="AC482" s="10" t="s">
        <v>40</v>
      </c>
      <c r="AD482" s="10" t="s">
        <v>277</v>
      </c>
      <c r="AE482" s="10">
        <v>0.63300000000000001</v>
      </c>
      <c r="AF482" s="10" t="s">
        <v>315</v>
      </c>
      <c r="AG482" s="10">
        <v>2025</v>
      </c>
      <c r="AH482" s="10" t="s">
        <v>316</v>
      </c>
      <c r="AI482" s="2">
        <v>50</v>
      </c>
      <c r="AJ482" s="2">
        <v>2</v>
      </c>
      <c r="AK482" s="2">
        <v>1</v>
      </c>
    </row>
    <row r="483" spans="1:37" x14ac:dyDescent="0.3">
      <c r="A483" s="31">
        <v>10.050000000000001</v>
      </c>
      <c r="B483" s="31">
        <v>4180</v>
      </c>
      <c r="C483" s="33" t="s">
        <v>33</v>
      </c>
      <c r="D483" s="33" t="s">
        <v>35</v>
      </c>
      <c r="E483" s="33" t="s">
        <v>170</v>
      </c>
      <c r="F483" s="33">
        <v>0.37</v>
      </c>
      <c r="G483" s="33">
        <v>0.98</v>
      </c>
      <c r="H483" s="33">
        <v>0.59</v>
      </c>
      <c r="I483" s="33">
        <v>1.2</v>
      </c>
      <c r="J483" s="33">
        <v>3.27</v>
      </c>
      <c r="K483" s="33">
        <v>0.79</v>
      </c>
      <c r="L483" s="33">
        <v>0.43</v>
      </c>
      <c r="M483" s="33" t="s">
        <v>34</v>
      </c>
      <c r="N483" s="33" t="s">
        <v>34</v>
      </c>
      <c r="O483" s="33" t="s">
        <v>34</v>
      </c>
      <c r="P483" s="33" t="s">
        <v>34</v>
      </c>
      <c r="Q483" s="33">
        <v>0</v>
      </c>
      <c r="R483" s="33" t="s">
        <v>34</v>
      </c>
      <c r="S483" s="33" t="s">
        <v>34</v>
      </c>
      <c r="T483" s="33" t="s">
        <v>49</v>
      </c>
      <c r="U483" s="33" t="s">
        <v>313</v>
      </c>
      <c r="V483" s="33" t="s">
        <v>162</v>
      </c>
      <c r="W483" s="33">
        <v>12</v>
      </c>
      <c r="X483" s="33">
        <v>1</v>
      </c>
      <c r="Y483" s="33">
        <v>1</v>
      </c>
      <c r="Z483" s="33" t="s">
        <v>314</v>
      </c>
      <c r="AA483" s="33">
        <v>13.106</v>
      </c>
      <c r="AB483" s="33" t="s">
        <v>34</v>
      </c>
      <c r="AC483" s="33" t="s">
        <v>40</v>
      </c>
      <c r="AD483" s="33" t="s">
        <v>277</v>
      </c>
      <c r="AE483" s="33">
        <v>0.63300000000000001</v>
      </c>
      <c r="AF483" s="33" t="s">
        <v>315</v>
      </c>
      <c r="AG483" s="33">
        <v>2025</v>
      </c>
      <c r="AH483" s="33" t="s">
        <v>316</v>
      </c>
      <c r="AI483" s="2">
        <v>50</v>
      </c>
      <c r="AJ483" s="2">
        <v>2</v>
      </c>
      <c r="AK483" s="2">
        <v>1</v>
      </c>
    </row>
    <row r="484" spans="1:37" s="34" customFormat="1" ht="16.2" thickBot="1" x14ac:dyDescent="0.35">
      <c r="A484" s="17">
        <v>11.06</v>
      </c>
      <c r="B484" s="17">
        <v>4440</v>
      </c>
      <c r="C484" s="14" t="s">
        <v>33</v>
      </c>
      <c r="D484" s="14" t="s">
        <v>35</v>
      </c>
      <c r="E484" s="14" t="s">
        <v>170</v>
      </c>
      <c r="F484" s="14">
        <v>0.37</v>
      </c>
      <c r="G484" s="14">
        <v>0.98</v>
      </c>
      <c r="H484" s="14">
        <v>0.59</v>
      </c>
      <c r="I484" s="14">
        <v>1.2</v>
      </c>
      <c r="J484" s="14">
        <v>3.27</v>
      </c>
      <c r="K484" s="14">
        <v>0.79</v>
      </c>
      <c r="L484" s="14">
        <v>0.43</v>
      </c>
      <c r="M484" s="14" t="s">
        <v>34</v>
      </c>
      <c r="N484" s="14" t="s">
        <v>34</v>
      </c>
      <c r="O484" s="14" t="s">
        <v>34</v>
      </c>
      <c r="P484" s="14" t="s">
        <v>34</v>
      </c>
      <c r="Q484" s="14">
        <v>0</v>
      </c>
      <c r="R484" s="14" t="s">
        <v>34</v>
      </c>
      <c r="S484" s="14" t="s">
        <v>34</v>
      </c>
      <c r="T484" s="14" t="s">
        <v>49</v>
      </c>
      <c r="U484" s="14" t="s">
        <v>313</v>
      </c>
      <c r="V484" s="14" t="s">
        <v>162</v>
      </c>
      <c r="W484" s="14">
        <v>15</v>
      </c>
      <c r="X484" s="14">
        <v>1</v>
      </c>
      <c r="Y484" s="14">
        <v>1</v>
      </c>
      <c r="Z484" s="14" t="s">
        <v>314</v>
      </c>
      <c r="AA484" s="14">
        <v>14.106</v>
      </c>
      <c r="AB484" s="14" t="s">
        <v>34</v>
      </c>
      <c r="AC484" s="14" t="s">
        <v>40</v>
      </c>
      <c r="AD484" s="14" t="s">
        <v>277</v>
      </c>
      <c r="AE484" s="14">
        <v>0.63300000000000001</v>
      </c>
      <c r="AF484" s="14" t="s">
        <v>315</v>
      </c>
      <c r="AG484" s="14">
        <v>2025</v>
      </c>
      <c r="AH484" s="14" t="s">
        <v>316</v>
      </c>
      <c r="AI484" s="61">
        <v>50</v>
      </c>
      <c r="AJ484" s="15">
        <v>2</v>
      </c>
      <c r="AK484" s="15">
        <v>1</v>
      </c>
    </row>
    <row r="485" spans="1:37" x14ac:dyDescent="0.3">
      <c r="A485" s="12">
        <v>0.5</v>
      </c>
      <c r="B485" s="12">
        <v>77.2</v>
      </c>
      <c r="C485" s="13" t="s">
        <v>33</v>
      </c>
      <c r="D485" s="13" t="s">
        <v>341</v>
      </c>
      <c r="E485" s="13" t="s">
        <v>170</v>
      </c>
      <c r="F485" s="13">
        <v>0.23</v>
      </c>
      <c r="G485" s="13">
        <v>0.36</v>
      </c>
      <c r="H485" s="13">
        <v>0.31900000000000001</v>
      </c>
      <c r="I485" s="13">
        <v>0.4</v>
      </c>
      <c r="J485" s="13">
        <v>1.74</v>
      </c>
      <c r="K485" s="13">
        <v>1.1100000000000001</v>
      </c>
      <c r="L485" s="13">
        <v>0</v>
      </c>
      <c r="M485" s="13">
        <v>45</v>
      </c>
      <c r="N485" s="13">
        <v>1632</v>
      </c>
      <c r="O485" s="13">
        <v>0.753</v>
      </c>
      <c r="P485" s="13">
        <v>0.46700000000000003</v>
      </c>
      <c r="Q485" s="13">
        <v>0</v>
      </c>
      <c r="R485" s="13">
        <v>2.65</v>
      </c>
      <c r="S485" s="13">
        <v>8.3300000000000008E-4</v>
      </c>
      <c r="T485" s="13" t="s">
        <v>49</v>
      </c>
      <c r="U485" s="13" t="s">
        <v>262</v>
      </c>
      <c r="V485" s="13" t="s">
        <v>162</v>
      </c>
      <c r="W485" s="13">
        <v>1</v>
      </c>
      <c r="X485" s="13">
        <v>0.5</v>
      </c>
      <c r="Y485" s="13">
        <v>1</v>
      </c>
      <c r="Z485" s="13" t="s">
        <v>262</v>
      </c>
      <c r="AA485" s="13">
        <v>0.45419999999999999</v>
      </c>
      <c r="AB485" s="13" t="s">
        <v>34</v>
      </c>
      <c r="AC485" s="13" t="s">
        <v>40</v>
      </c>
      <c r="AD485" s="13" t="s">
        <v>32</v>
      </c>
      <c r="AE485" s="13">
        <v>0.95209999999999995</v>
      </c>
      <c r="AF485" s="13" t="s">
        <v>342</v>
      </c>
      <c r="AG485" s="13">
        <v>2024</v>
      </c>
      <c r="AH485" s="13" t="s">
        <v>343</v>
      </c>
      <c r="AI485" s="2">
        <v>50</v>
      </c>
      <c r="AJ485" s="2">
        <v>2</v>
      </c>
      <c r="AK485" s="2" t="s">
        <v>34</v>
      </c>
    </row>
    <row r="486" spans="1:37" x14ac:dyDescent="0.3">
      <c r="A486" s="11">
        <v>1</v>
      </c>
      <c r="B486" s="11">
        <v>380.2</v>
      </c>
      <c r="C486" s="10" t="s">
        <v>33</v>
      </c>
      <c r="D486" s="10" t="s">
        <v>341</v>
      </c>
      <c r="E486" s="10" t="s">
        <v>170</v>
      </c>
      <c r="F486" s="10">
        <v>0.23</v>
      </c>
      <c r="G486" s="10">
        <v>0.36</v>
      </c>
      <c r="H486" s="10">
        <v>0.31900000000000001</v>
      </c>
      <c r="I486" s="10">
        <v>0.4</v>
      </c>
      <c r="J486" s="10">
        <v>1.74</v>
      </c>
      <c r="K486" s="10">
        <v>1.1100000000000001</v>
      </c>
      <c r="L486" s="10">
        <v>0</v>
      </c>
      <c r="M486" s="10">
        <v>45</v>
      </c>
      <c r="N486" s="10">
        <v>1632</v>
      </c>
      <c r="O486" s="10">
        <v>0.753</v>
      </c>
      <c r="P486" s="10">
        <v>0.46700000000000003</v>
      </c>
      <c r="Q486" s="10">
        <v>0</v>
      </c>
      <c r="R486" s="10">
        <v>2.65</v>
      </c>
      <c r="S486" s="10">
        <v>8.3300000000000008E-4</v>
      </c>
      <c r="T486" s="10" t="s">
        <v>49</v>
      </c>
      <c r="U486" s="10" t="s">
        <v>262</v>
      </c>
      <c r="V486" s="10" t="s">
        <v>162</v>
      </c>
      <c r="W486" s="10">
        <v>1</v>
      </c>
      <c r="X486" s="10">
        <v>1</v>
      </c>
      <c r="Y486" s="10">
        <v>1</v>
      </c>
      <c r="Z486" s="10" t="s">
        <v>262</v>
      </c>
      <c r="AA486" s="10">
        <v>0.90839999999999999</v>
      </c>
      <c r="AB486" s="10" t="s">
        <v>34</v>
      </c>
      <c r="AC486" s="10" t="s">
        <v>40</v>
      </c>
      <c r="AD486" s="10" t="s">
        <v>32</v>
      </c>
      <c r="AE486" s="10">
        <v>1.9520999999999999</v>
      </c>
      <c r="AF486" s="10" t="s">
        <v>342</v>
      </c>
      <c r="AG486" s="10">
        <v>2024</v>
      </c>
      <c r="AH486" s="10" t="s">
        <v>343</v>
      </c>
      <c r="AI486" s="2">
        <v>50</v>
      </c>
      <c r="AJ486" s="2">
        <v>2</v>
      </c>
      <c r="AK486" s="2" t="s">
        <v>34</v>
      </c>
    </row>
    <row r="487" spans="1:37" x14ac:dyDescent="0.3">
      <c r="A487" s="11">
        <v>1.5</v>
      </c>
      <c r="B487" s="11">
        <v>561.1</v>
      </c>
      <c r="C487" s="10" t="s">
        <v>33</v>
      </c>
      <c r="D487" s="10" t="s">
        <v>341</v>
      </c>
      <c r="E487" s="10" t="s">
        <v>170</v>
      </c>
      <c r="F487" s="10">
        <v>0.23</v>
      </c>
      <c r="G487" s="10">
        <v>0.36</v>
      </c>
      <c r="H487" s="10">
        <v>0.31900000000000001</v>
      </c>
      <c r="I487" s="10">
        <v>0.4</v>
      </c>
      <c r="J487" s="10">
        <v>1.74</v>
      </c>
      <c r="K487" s="10">
        <v>1.1100000000000001</v>
      </c>
      <c r="L487" s="10">
        <v>0</v>
      </c>
      <c r="M487" s="10">
        <v>45</v>
      </c>
      <c r="N487" s="10">
        <v>1632</v>
      </c>
      <c r="O487" s="10">
        <v>0.753</v>
      </c>
      <c r="P487" s="10">
        <v>0.46700000000000003</v>
      </c>
      <c r="Q487" s="10">
        <v>0</v>
      </c>
      <c r="R487" s="10">
        <v>2.65</v>
      </c>
      <c r="S487" s="10">
        <v>8.3300000000000008E-4</v>
      </c>
      <c r="T487" s="10" t="s">
        <v>49</v>
      </c>
      <c r="U487" s="10" t="s">
        <v>262</v>
      </c>
      <c r="V487" s="10" t="s">
        <v>162</v>
      </c>
      <c r="W487" s="10">
        <v>1</v>
      </c>
      <c r="X487" s="10">
        <v>1.5</v>
      </c>
      <c r="Y487" s="10">
        <v>1</v>
      </c>
      <c r="Z487" s="10" t="s">
        <v>262</v>
      </c>
      <c r="AA487" s="10">
        <v>1.3632</v>
      </c>
      <c r="AB487" s="10" t="s">
        <v>34</v>
      </c>
      <c r="AC487" s="10" t="s">
        <v>40</v>
      </c>
      <c r="AD487" s="10" t="s">
        <v>32</v>
      </c>
      <c r="AE487" s="10">
        <v>2.9521000000000002</v>
      </c>
      <c r="AF487" s="10" t="s">
        <v>342</v>
      </c>
      <c r="AG487" s="10">
        <v>2024</v>
      </c>
      <c r="AH487" s="10" t="s">
        <v>343</v>
      </c>
      <c r="AI487" s="2">
        <v>50</v>
      </c>
      <c r="AJ487" s="2">
        <v>2</v>
      </c>
      <c r="AK487" s="2" t="s">
        <v>34</v>
      </c>
    </row>
    <row r="488" spans="1:37" x14ac:dyDescent="0.3">
      <c r="A488" s="11">
        <v>2</v>
      </c>
      <c r="B488" s="11">
        <v>699.2</v>
      </c>
      <c r="C488" s="10" t="s">
        <v>33</v>
      </c>
      <c r="D488" s="10" t="s">
        <v>341</v>
      </c>
      <c r="E488" s="10" t="s">
        <v>170</v>
      </c>
      <c r="F488" s="10">
        <v>0.23</v>
      </c>
      <c r="G488" s="10">
        <v>0.36</v>
      </c>
      <c r="H488" s="10">
        <v>0.31900000000000001</v>
      </c>
      <c r="I488" s="10">
        <v>0.4</v>
      </c>
      <c r="J488" s="10">
        <v>1.74</v>
      </c>
      <c r="K488" s="10">
        <v>1.1100000000000001</v>
      </c>
      <c r="L488" s="10">
        <v>0</v>
      </c>
      <c r="M488" s="10">
        <v>45</v>
      </c>
      <c r="N488" s="10">
        <v>1632</v>
      </c>
      <c r="O488" s="10">
        <v>0.753</v>
      </c>
      <c r="P488" s="10">
        <v>0.46700000000000003</v>
      </c>
      <c r="Q488" s="10">
        <v>0</v>
      </c>
      <c r="R488" s="10">
        <v>2.65</v>
      </c>
      <c r="S488" s="10">
        <v>8.3300000000000008E-4</v>
      </c>
      <c r="T488" s="10" t="s">
        <v>49</v>
      </c>
      <c r="U488" s="10" t="s">
        <v>262</v>
      </c>
      <c r="V488" s="10" t="s">
        <v>162</v>
      </c>
      <c r="W488" s="10">
        <v>1</v>
      </c>
      <c r="X488" s="10">
        <v>2</v>
      </c>
      <c r="Y488" s="10">
        <v>1</v>
      </c>
      <c r="Z488" s="10" t="s">
        <v>262</v>
      </c>
      <c r="AA488" s="10">
        <v>1.8168</v>
      </c>
      <c r="AB488" s="10" t="s">
        <v>34</v>
      </c>
      <c r="AC488" s="10" t="s">
        <v>40</v>
      </c>
      <c r="AD488" s="10" t="s">
        <v>32</v>
      </c>
      <c r="AE488" s="10">
        <v>3.9521000000000002</v>
      </c>
      <c r="AF488" s="10" t="s">
        <v>342</v>
      </c>
      <c r="AG488" s="10">
        <v>2024</v>
      </c>
      <c r="AH488" s="10" t="s">
        <v>343</v>
      </c>
      <c r="AI488" s="2">
        <v>50</v>
      </c>
      <c r="AJ488" s="2">
        <v>2</v>
      </c>
      <c r="AK488" s="2" t="s">
        <v>34</v>
      </c>
    </row>
    <row r="489" spans="1:37" x14ac:dyDescent="0.3">
      <c r="A489" s="11">
        <v>2.5</v>
      </c>
      <c r="B489" s="11">
        <v>1071.7</v>
      </c>
      <c r="C489" s="10" t="s">
        <v>33</v>
      </c>
      <c r="D489" s="10" t="s">
        <v>341</v>
      </c>
      <c r="E489" s="10" t="s">
        <v>170</v>
      </c>
      <c r="F489" s="10">
        <v>0.23</v>
      </c>
      <c r="G489" s="10">
        <v>0.36</v>
      </c>
      <c r="H489" s="10">
        <v>0.31900000000000001</v>
      </c>
      <c r="I489" s="10">
        <v>0.4</v>
      </c>
      <c r="J489" s="10">
        <v>1.74</v>
      </c>
      <c r="K489" s="10">
        <v>1.1100000000000001</v>
      </c>
      <c r="L489" s="10">
        <v>0</v>
      </c>
      <c r="M489" s="10">
        <v>45</v>
      </c>
      <c r="N489" s="10">
        <v>1632</v>
      </c>
      <c r="O489" s="10">
        <v>0.753</v>
      </c>
      <c r="P489" s="10">
        <v>0.46700000000000003</v>
      </c>
      <c r="Q489" s="10">
        <v>0</v>
      </c>
      <c r="R489" s="10">
        <v>2.65</v>
      </c>
      <c r="S489" s="10">
        <v>8.3300000000000008E-4</v>
      </c>
      <c r="T489" s="10" t="s">
        <v>49</v>
      </c>
      <c r="U489" s="10" t="s">
        <v>262</v>
      </c>
      <c r="V489" s="10" t="s">
        <v>162</v>
      </c>
      <c r="W489" s="10">
        <v>1</v>
      </c>
      <c r="X489" s="10">
        <v>2.5</v>
      </c>
      <c r="Y489" s="10">
        <v>1</v>
      </c>
      <c r="Z489" s="10" t="s">
        <v>262</v>
      </c>
      <c r="AA489" s="10">
        <v>2.2709999999999999</v>
      </c>
      <c r="AB489" s="10" t="s">
        <v>34</v>
      </c>
      <c r="AC489" s="10" t="s">
        <v>40</v>
      </c>
      <c r="AD489" s="10" t="s">
        <v>32</v>
      </c>
      <c r="AE489" s="10">
        <v>4.9520999999999997</v>
      </c>
      <c r="AF489" s="10" t="s">
        <v>342</v>
      </c>
      <c r="AG489" s="10">
        <v>2024</v>
      </c>
      <c r="AH489" s="10" t="s">
        <v>343</v>
      </c>
      <c r="AI489" s="2">
        <v>50</v>
      </c>
      <c r="AJ489" s="2">
        <v>2</v>
      </c>
      <c r="AK489" s="2" t="s">
        <v>34</v>
      </c>
    </row>
    <row r="490" spans="1:37" s="15" customFormat="1" ht="16.2" thickBot="1" x14ac:dyDescent="0.35">
      <c r="A490" s="17">
        <v>3</v>
      </c>
      <c r="B490" s="17">
        <v>1823.7</v>
      </c>
      <c r="C490" s="14" t="s">
        <v>33</v>
      </c>
      <c r="D490" s="14" t="s">
        <v>341</v>
      </c>
      <c r="E490" s="14" t="s">
        <v>170</v>
      </c>
      <c r="F490" s="14">
        <v>0.23</v>
      </c>
      <c r="G490" s="14">
        <v>0.36</v>
      </c>
      <c r="H490" s="14">
        <v>0.31900000000000001</v>
      </c>
      <c r="I490" s="14">
        <v>0.4</v>
      </c>
      <c r="J490" s="14">
        <v>1.74</v>
      </c>
      <c r="K490" s="14">
        <v>1.1100000000000001</v>
      </c>
      <c r="L490" s="14">
        <v>0</v>
      </c>
      <c r="M490" s="14">
        <v>45</v>
      </c>
      <c r="N490" s="14">
        <v>1632</v>
      </c>
      <c r="O490" s="14">
        <v>0.753</v>
      </c>
      <c r="P490" s="14">
        <v>0.46700000000000003</v>
      </c>
      <c r="Q490" s="14">
        <v>0</v>
      </c>
      <c r="R490" s="14">
        <v>2.65</v>
      </c>
      <c r="S490" s="14">
        <v>8.3300000000000008E-4</v>
      </c>
      <c r="T490" s="14" t="s">
        <v>49</v>
      </c>
      <c r="U490" s="14" t="s">
        <v>262</v>
      </c>
      <c r="V490" s="14" t="s">
        <v>162</v>
      </c>
      <c r="W490" s="14">
        <v>1</v>
      </c>
      <c r="X490" s="14">
        <v>3</v>
      </c>
      <c r="Y490" s="14">
        <v>1</v>
      </c>
      <c r="Z490" s="14" t="s">
        <v>262</v>
      </c>
      <c r="AA490" s="14">
        <v>2.7252000000000001</v>
      </c>
      <c r="AB490" s="14" t="s">
        <v>34</v>
      </c>
      <c r="AC490" s="14" t="s">
        <v>40</v>
      </c>
      <c r="AD490" s="14" t="s">
        <v>32</v>
      </c>
      <c r="AE490" s="14">
        <v>5.9520999999999997</v>
      </c>
      <c r="AF490" s="14" t="s">
        <v>342</v>
      </c>
      <c r="AG490" s="14">
        <v>2024</v>
      </c>
      <c r="AH490" s="14" t="s">
        <v>343</v>
      </c>
      <c r="AI490" s="61">
        <v>50</v>
      </c>
      <c r="AJ490" s="15">
        <v>2</v>
      </c>
      <c r="AK490" s="15" t="s">
        <v>34</v>
      </c>
    </row>
    <row r="491" spans="1:37" x14ac:dyDescent="0.3">
      <c r="A491" s="12">
        <v>1E-4</v>
      </c>
      <c r="B491" s="12">
        <v>170</v>
      </c>
      <c r="C491" s="13" t="s">
        <v>344</v>
      </c>
      <c r="D491" s="13" t="s">
        <v>345</v>
      </c>
      <c r="E491" s="13" t="s">
        <v>34</v>
      </c>
      <c r="F491" s="13">
        <v>2.5000000000000001E-3</v>
      </c>
      <c r="G491" s="13">
        <v>8.9999999999999993E-3</v>
      </c>
      <c r="H491" s="13">
        <v>8.0000000000000002E-3</v>
      </c>
      <c r="I491" s="13">
        <v>0.03</v>
      </c>
      <c r="J491" s="13">
        <v>12</v>
      </c>
      <c r="K491" s="13">
        <v>0.85</v>
      </c>
      <c r="L491" s="13">
        <v>91</v>
      </c>
      <c r="M491" s="13" t="s">
        <v>34</v>
      </c>
      <c r="N491" s="13" t="s">
        <v>34</v>
      </c>
      <c r="O491" s="13" t="s">
        <v>34</v>
      </c>
      <c r="P491" s="13" t="s">
        <v>34</v>
      </c>
      <c r="Q491" s="13" t="s">
        <v>34</v>
      </c>
      <c r="R491" s="13">
        <v>2.77</v>
      </c>
      <c r="S491" s="13">
        <v>1.5499999999999998E-11</v>
      </c>
      <c r="T491" s="13" t="s">
        <v>49</v>
      </c>
      <c r="U491" s="13" t="s">
        <v>339</v>
      </c>
      <c r="V491" s="13" t="s">
        <v>207</v>
      </c>
      <c r="W491" s="13" t="s">
        <v>34</v>
      </c>
      <c r="X491" s="13">
        <v>0</v>
      </c>
      <c r="Y491" s="13">
        <v>1</v>
      </c>
      <c r="Z491" s="13" t="s">
        <v>339</v>
      </c>
      <c r="AA491" s="13">
        <v>0.9</v>
      </c>
      <c r="AB491" s="13" t="s">
        <v>34</v>
      </c>
      <c r="AC491" s="13" t="s">
        <v>40</v>
      </c>
      <c r="AD491" s="13" t="s">
        <v>32</v>
      </c>
      <c r="AE491" s="13">
        <v>0.99180000000000001</v>
      </c>
      <c r="AF491" s="13" t="s">
        <v>346</v>
      </c>
      <c r="AG491" s="13">
        <v>2025</v>
      </c>
      <c r="AH491" s="13" t="s">
        <v>347</v>
      </c>
      <c r="AI491" s="2">
        <v>38</v>
      </c>
      <c r="AJ491" s="2">
        <v>2</v>
      </c>
      <c r="AK491" s="2">
        <v>1.3149999999999999</v>
      </c>
    </row>
    <row r="492" spans="1:37" x14ac:dyDescent="0.3">
      <c r="A492" s="11">
        <v>4.0999999999999996</v>
      </c>
      <c r="B492" s="11">
        <v>192</v>
      </c>
      <c r="C492" s="10" t="s">
        <v>344</v>
      </c>
      <c r="D492" s="10" t="s">
        <v>345</v>
      </c>
      <c r="E492" s="10" t="s">
        <v>34</v>
      </c>
      <c r="F492" s="10">
        <v>2.5000000000000001E-3</v>
      </c>
      <c r="G492" s="10">
        <v>8.9999999999999993E-3</v>
      </c>
      <c r="H492" s="10">
        <v>8.0000000000000002E-3</v>
      </c>
      <c r="I492" s="10">
        <v>0.03</v>
      </c>
      <c r="J492" s="10">
        <v>12</v>
      </c>
      <c r="K492" s="10">
        <v>0.85</v>
      </c>
      <c r="L492" s="10">
        <v>91</v>
      </c>
      <c r="M492" s="10" t="s">
        <v>34</v>
      </c>
      <c r="N492" s="10" t="s">
        <v>34</v>
      </c>
      <c r="O492" s="10" t="s">
        <v>34</v>
      </c>
      <c r="P492" s="10" t="s">
        <v>34</v>
      </c>
      <c r="Q492" s="10" t="s">
        <v>34</v>
      </c>
      <c r="R492" s="10">
        <v>2.77</v>
      </c>
      <c r="S492" s="10">
        <v>1.5499999999999998E-11</v>
      </c>
      <c r="T492" s="10" t="s">
        <v>49</v>
      </c>
      <c r="U492" s="10" t="s">
        <v>339</v>
      </c>
      <c r="V492" s="10" t="s">
        <v>207</v>
      </c>
      <c r="W492" s="10" t="s">
        <v>34</v>
      </c>
      <c r="X492" s="10">
        <v>0.5</v>
      </c>
      <c r="Y492" s="10">
        <v>1</v>
      </c>
      <c r="Z492" s="10" t="s">
        <v>339</v>
      </c>
      <c r="AA492" s="10">
        <v>0.9</v>
      </c>
      <c r="AB492" s="10" t="s">
        <v>34</v>
      </c>
      <c r="AC492" s="10" t="s">
        <v>40</v>
      </c>
      <c r="AD492" s="10" t="s">
        <v>32</v>
      </c>
      <c r="AE492" s="10">
        <v>1.9918</v>
      </c>
      <c r="AF492" s="10" t="s">
        <v>346</v>
      </c>
      <c r="AG492" s="13">
        <v>2025</v>
      </c>
      <c r="AH492" s="10" t="s">
        <v>347</v>
      </c>
      <c r="AI492" s="2">
        <v>38</v>
      </c>
      <c r="AJ492" s="2">
        <v>2</v>
      </c>
      <c r="AK492" s="2">
        <v>1.3149999999999999</v>
      </c>
    </row>
    <row r="493" spans="1:37" x14ac:dyDescent="0.3">
      <c r="A493" s="11">
        <v>5.19</v>
      </c>
      <c r="B493" s="11">
        <v>193.97</v>
      </c>
      <c r="C493" s="10" t="s">
        <v>344</v>
      </c>
      <c r="D493" s="10" t="s">
        <v>345</v>
      </c>
      <c r="E493" s="10" t="s">
        <v>34</v>
      </c>
      <c r="F493" s="10">
        <v>2.5000000000000001E-3</v>
      </c>
      <c r="G493" s="10">
        <v>8.9999999999999993E-3</v>
      </c>
      <c r="H493" s="10">
        <v>8.0000000000000002E-3</v>
      </c>
      <c r="I493" s="10">
        <v>0.03</v>
      </c>
      <c r="J493" s="10">
        <v>12</v>
      </c>
      <c r="K493" s="10">
        <v>0.85</v>
      </c>
      <c r="L493" s="10">
        <v>91</v>
      </c>
      <c r="M493" s="10" t="s">
        <v>34</v>
      </c>
      <c r="N493" s="10" t="s">
        <v>34</v>
      </c>
      <c r="O493" s="10" t="s">
        <v>34</v>
      </c>
      <c r="P493" s="10" t="s">
        <v>34</v>
      </c>
      <c r="Q493" s="10" t="s">
        <v>34</v>
      </c>
      <c r="R493" s="10">
        <v>2.77</v>
      </c>
      <c r="S493" s="10">
        <v>1.5499999999999998E-11</v>
      </c>
      <c r="T493" s="10" t="s">
        <v>49</v>
      </c>
      <c r="U493" s="10" t="s">
        <v>339</v>
      </c>
      <c r="V493" s="10" t="s">
        <v>207</v>
      </c>
      <c r="W493" s="10" t="s">
        <v>34</v>
      </c>
      <c r="X493" s="10">
        <v>0.75</v>
      </c>
      <c r="Y493" s="10">
        <v>1</v>
      </c>
      <c r="Z493" s="10" t="s">
        <v>339</v>
      </c>
      <c r="AA493" s="10">
        <v>0.9</v>
      </c>
      <c r="AB493" s="10" t="s">
        <v>34</v>
      </c>
      <c r="AC493" s="10" t="s">
        <v>40</v>
      </c>
      <c r="AD493" s="10" t="s">
        <v>32</v>
      </c>
      <c r="AE493" s="10">
        <v>2.9918</v>
      </c>
      <c r="AF493" s="10" t="s">
        <v>346</v>
      </c>
      <c r="AG493" s="13">
        <v>2025</v>
      </c>
      <c r="AH493" s="10" t="s">
        <v>347</v>
      </c>
      <c r="AI493" s="2">
        <v>38</v>
      </c>
      <c r="AJ493" s="2">
        <v>2</v>
      </c>
      <c r="AK493" s="2">
        <v>1.3149999999999999</v>
      </c>
    </row>
    <row r="494" spans="1:37" x14ac:dyDescent="0.3">
      <c r="A494" s="11">
        <v>5.69</v>
      </c>
      <c r="B494" s="11">
        <v>195</v>
      </c>
      <c r="C494" s="10" t="s">
        <v>344</v>
      </c>
      <c r="D494" s="10" t="s">
        <v>345</v>
      </c>
      <c r="E494" s="10" t="s">
        <v>34</v>
      </c>
      <c r="F494" s="10">
        <v>2.5000000000000001E-3</v>
      </c>
      <c r="G494" s="10">
        <v>8.9999999999999993E-3</v>
      </c>
      <c r="H494" s="10">
        <v>8.0000000000000002E-3</v>
      </c>
      <c r="I494" s="10">
        <v>0.03</v>
      </c>
      <c r="J494" s="10">
        <v>12</v>
      </c>
      <c r="K494" s="10">
        <v>0.85</v>
      </c>
      <c r="L494" s="10">
        <v>91</v>
      </c>
      <c r="M494" s="10" t="s">
        <v>34</v>
      </c>
      <c r="N494" s="10" t="s">
        <v>34</v>
      </c>
      <c r="O494" s="10" t="s">
        <v>34</v>
      </c>
      <c r="P494" s="10" t="s">
        <v>34</v>
      </c>
      <c r="Q494" s="10" t="s">
        <v>34</v>
      </c>
      <c r="R494" s="10">
        <v>2.77</v>
      </c>
      <c r="S494" s="10">
        <v>1.5499999999999998E-11</v>
      </c>
      <c r="T494" s="10" t="s">
        <v>49</v>
      </c>
      <c r="U494" s="10" t="s">
        <v>339</v>
      </c>
      <c r="V494" s="10" t="s">
        <v>207</v>
      </c>
      <c r="W494" s="10" t="s">
        <v>34</v>
      </c>
      <c r="X494" s="10">
        <v>1</v>
      </c>
      <c r="Y494" s="10">
        <v>1</v>
      </c>
      <c r="Z494" s="10" t="s">
        <v>339</v>
      </c>
      <c r="AA494" s="10">
        <v>0.9</v>
      </c>
      <c r="AB494" s="10" t="s">
        <v>34</v>
      </c>
      <c r="AC494" s="10" t="s">
        <v>40</v>
      </c>
      <c r="AD494" s="10" t="s">
        <v>32</v>
      </c>
      <c r="AE494" s="10">
        <v>3.9918</v>
      </c>
      <c r="AF494" s="10" t="s">
        <v>346</v>
      </c>
      <c r="AG494" s="13">
        <v>2025</v>
      </c>
      <c r="AH494" s="10" t="s">
        <v>347</v>
      </c>
      <c r="AI494" s="57">
        <v>38</v>
      </c>
      <c r="AJ494" s="2">
        <v>2</v>
      </c>
      <c r="AK494" s="2">
        <v>1.3149999999999999</v>
      </c>
    </row>
    <row r="495" spans="1:37" s="15" customFormat="1" ht="16.2" thickBot="1" x14ac:dyDescent="0.35">
      <c r="A495" s="17">
        <v>6.1</v>
      </c>
      <c r="B495" s="17">
        <v>195.5</v>
      </c>
      <c r="C495" s="14" t="s">
        <v>344</v>
      </c>
      <c r="D495" s="14" t="s">
        <v>345</v>
      </c>
      <c r="E495" s="14" t="s">
        <v>34</v>
      </c>
      <c r="F495" s="14">
        <v>2.5000000000000001E-3</v>
      </c>
      <c r="G495" s="14">
        <v>8.9999999999999993E-3</v>
      </c>
      <c r="H495" s="14">
        <v>8.0000000000000002E-3</v>
      </c>
      <c r="I495" s="14">
        <v>0.03</v>
      </c>
      <c r="J495" s="14">
        <v>12</v>
      </c>
      <c r="K495" s="14">
        <v>0.85</v>
      </c>
      <c r="L495" s="14">
        <v>91</v>
      </c>
      <c r="M495" s="14" t="s">
        <v>34</v>
      </c>
      <c r="N495" s="14" t="s">
        <v>34</v>
      </c>
      <c r="O495" s="14" t="s">
        <v>34</v>
      </c>
      <c r="P495" s="14" t="s">
        <v>34</v>
      </c>
      <c r="Q495" s="14" t="s">
        <v>34</v>
      </c>
      <c r="R495" s="14">
        <v>2.77</v>
      </c>
      <c r="S495" s="14">
        <v>1.5499999999999998E-11</v>
      </c>
      <c r="T495" s="14" t="s">
        <v>49</v>
      </c>
      <c r="U495" s="14" t="s">
        <v>339</v>
      </c>
      <c r="V495" s="14" t="s">
        <v>207</v>
      </c>
      <c r="W495" s="14" t="s">
        <v>34</v>
      </c>
      <c r="X495" s="14">
        <v>1.5</v>
      </c>
      <c r="Y495" s="14">
        <v>1</v>
      </c>
      <c r="Z495" s="14" t="s">
        <v>339</v>
      </c>
      <c r="AA495" s="14">
        <v>0.9</v>
      </c>
      <c r="AB495" s="14" t="s">
        <v>34</v>
      </c>
      <c r="AC495" s="14" t="s">
        <v>40</v>
      </c>
      <c r="AD495" s="14" t="s">
        <v>32</v>
      </c>
      <c r="AE495" s="14">
        <v>4.9917999999999996</v>
      </c>
      <c r="AF495" s="14" t="s">
        <v>346</v>
      </c>
      <c r="AG495" s="14">
        <v>2025</v>
      </c>
      <c r="AH495" s="14" t="s">
        <v>347</v>
      </c>
      <c r="AI495" s="61">
        <v>38</v>
      </c>
      <c r="AJ495" s="15">
        <v>2</v>
      </c>
      <c r="AK495" s="15">
        <v>1.3149999999999999</v>
      </c>
    </row>
    <row r="496" spans="1:37" x14ac:dyDescent="0.3">
      <c r="A496" s="12">
        <v>1.4271653543306999</v>
      </c>
      <c r="B496" s="12">
        <v>127.854330708661</v>
      </c>
      <c r="C496" s="13" t="s">
        <v>33</v>
      </c>
      <c r="D496" s="13" t="s">
        <v>348</v>
      </c>
      <c r="E496" s="13" t="s">
        <v>34</v>
      </c>
      <c r="F496" s="13">
        <v>0.123</v>
      </c>
      <c r="G496" s="13">
        <v>0.16700000000000001</v>
      </c>
      <c r="H496" s="13">
        <v>0.15</v>
      </c>
      <c r="I496" s="13">
        <v>0.17499999999999999</v>
      </c>
      <c r="J496" s="13">
        <v>1.73</v>
      </c>
      <c r="K496" s="13">
        <v>1.04</v>
      </c>
      <c r="L496" s="13">
        <v>0</v>
      </c>
      <c r="M496" s="13">
        <v>45</v>
      </c>
      <c r="N496" s="13">
        <v>1554.15</v>
      </c>
      <c r="O496" s="13">
        <v>0.84699999999999998</v>
      </c>
      <c r="P496" s="13">
        <v>0.54600000000000004</v>
      </c>
      <c r="Q496" s="13">
        <v>0</v>
      </c>
      <c r="R496" s="13">
        <v>2.66</v>
      </c>
      <c r="S496" s="13" t="s">
        <v>34</v>
      </c>
      <c r="T496" s="13" t="s">
        <v>49</v>
      </c>
      <c r="U496" s="13" t="s">
        <v>339</v>
      </c>
      <c r="V496" s="13" t="s">
        <v>162</v>
      </c>
      <c r="W496" s="13">
        <v>1</v>
      </c>
      <c r="X496" s="13">
        <v>0.6</v>
      </c>
      <c r="Y496" s="13">
        <v>1</v>
      </c>
      <c r="Z496" s="13" t="s">
        <v>339</v>
      </c>
      <c r="AA496" s="13">
        <v>0.33179999999999998</v>
      </c>
      <c r="AB496" s="13" t="s">
        <v>34</v>
      </c>
      <c r="AC496" s="13" t="s">
        <v>40</v>
      </c>
      <c r="AD496" s="13" t="s">
        <v>32</v>
      </c>
      <c r="AE496" s="13">
        <v>0.98870000000000002</v>
      </c>
      <c r="AF496" s="13" t="s">
        <v>342</v>
      </c>
      <c r="AG496" s="13">
        <v>2023</v>
      </c>
      <c r="AH496" s="13" t="s">
        <v>349</v>
      </c>
      <c r="AI496" s="2">
        <v>50</v>
      </c>
      <c r="AJ496" s="63">
        <v>1.75</v>
      </c>
      <c r="AK496" s="2">
        <v>1.45</v>
      </c>
    </row>
    <row r="497" spans="1:37" x14ac:dyDescent="0.3">
      <c r="A497" s="11">
        <v>1.7962598425196801</v>
      </c>
      <c r="B497" s="11">
        <v>183.07086614173201</v>
      </c>
      <c r="C497" s="10" t="s">
        <v>33</v>
      </c>
      <c r="D497" s="10" t="s">
        <v>348</v>
      </c>
      <c r="E497" s="10" t="s">
        <v>34</v>
      </c>
      <c r="F497" s="10">
        <v>0.123</v>
      </c>
      <c r="G497" s="10">
        <v>0.16700000000000001</v>
      </c>
      <c r="H497" s="10">
        <v>0.15</v>
      </c>
      <c r="I497" s="10">
        <v>0.17499999999999999</v>
      </c>
      <c r="J497" s="10">
        <v>1.73</v>
      </c>
      <c r="K497" s="10">
        <v>1.04</v>
      </c>
      <c r="L497" s="10">
        <v>0</v>
      </c>
      <c r="M497" s="10">
        <v>45</v>
      </c>
      <c r="N497" s="10">
        <v>1554.15</v>
      </c>
      <c r="O497" s="10">
        <v>0.84699999999999998</v>
      </c>
      <c r="P497" s="10">
        <v>0.54600000000000004</v>
      </c>
      <c r="Q497" s="10">
        <v>0</v>
      </c>
      <c r="R497" s="10">
        <v>2.66</v>
      </c>
      <c r="S497" s="10" t="s">
        <v>34</v>
      </c>
      <c r="T497" s="10" t="s">
        <v>49</v>
      </c>
      <c r="U497" s="10" t="s">
        <v>339</v>
      </c>
      <c r="V497" s="10" t="s">
        <v>162</v>
      </c>
      <c r="W497" s="10">
        <v>1</v>
      </c>
      <c r="X497" s="10">
        <v>1</v>
      </c>
      <c r="Y497" s="10">
        <v>1</v>
      </c>
      <c r="Z497" s="10" t="s">
        <v>339</v>
      </c>
      <c r="AA497" s="10">
        <v>0.33179999999999998</v>
      </c>
      <c r="AB497" s="10" t="s">
        <v>34</v>
      </c>
      <c r="AC497" s="10" t="s">
        <v>40</v>
      </c>
      <c r="AD497" s="10" t="s">
        <v>32</v>
      </c>
      <c r="AE497" s="10">
        <v>1.9886999999999999</v>
      </c>
      <c r="AF497" s="10" t="s">
        <v>342</v>
      </c>
      <c r="AG497" s="10">
        <v>2023</v>
      </c>
      <c r="AH497" s="10" t="s">
        <v>349</v>
      </c>
      <c r="AI497" s="2">
        <v>50</v>
      </c>
      <c r="AJ497" s="63">
        <v>1.75</v>
      </c>
      <c r="AK497" s="2">
        <v>1.45</v>
      </c>
    </row>
    <row r="498" spans="1:37" s="15" customFormat="1" ht="16.2" thickBot="1" x14ac:dyDescent="0.35">
      <c r="A498" s="17">
        <v>1.8700787401574701</v>
      </c>
      <c r="B498" s="17">
        <v>186.909448818897</v>
      </c>
      <c r="C498" s="14" t="s">
        <v>33</v>
      </c>
      <c r="D498" s="14" t="s">
        <v>348</v>
      </c>
      <c r="E498" s="14" t="s">
        <v>34</v>
      </c>
      <c r="F498" s="14">
        <v>0.123</v>
      </c>
      <c r="G498" s="14">
        <v>0.16700000000000001</v>
      </c>
      <c r="H498" s="14">
        <v>0.15</v>
      </c>
      <c r="I498" s="14">
        <v>0.17499999999999999</v>
      </c>
      <c r="J498" s="14">
        <v>1.73</v>
      </c>
      <c r="K498" s="14">
        <v>1.04</v>
      </c>
      <c r="L498" s="14">
        <v>0</v>
      </c>
      <c r="M498" s="14">
        <v>45</v>
      </c>
      <c r="N498" s="14">
        <v>1554.15</v>
      </c>
      <c r="O498" s="14">
        <v>0.84699999999999998</v>
      </c>
      <c r="P498" s="14">
        <v>0.54600000000000004</v>
      </c>
      <c r="Q498" s="14">
        <v>0</v>
      </c>
      <c r="R498" s="14">
        <v>2.66</v>
      </c>
      <c r="S498" s="14" t="s">
        <v>34</v>
      </c>
      <c r="T498" s="14" t="s">
        <v>49</v>
      </c>
      <c r="U498" s="14" t="s">
        <v>339</v>
      </c>
      <c r="V498" s="14" t="s">
        <v>162</v>
      </c>
      <c r="W498" s="14">
        <v>1</v>
      </c>
      <c r="X498" s="14">
        <v>1.4</v>
      </c>
      <c r="Y498" s="14">
        <v>1</v>
      </c>
      <c r="Z498" s="14" t="s">
        <v>339</v>
      </c>
      <c r="AA498" s="14">
        <v>0.33179999999999998</v>
      </c>
      <c r="AB498" s="14" t="s">
        <v>34</v>
      </c>
      <c r="AC498" s="14" t="s">
        <v>40</v>
      </c>
      <c r="AD498" s="14" t="s">
        <v>32</v>
      </c>
      <c r="AE498" s="14">
        <v>2.9887000000000001</v>
      </c>
      <c r="AF498" s="14" t="s">
        <v>342</v>
      </c>
      <c r="AG498" s="14">
        <v>2023</v>
      </c>
      <c r="AH498" s="14" t="s">
        <v>349</v>
      </c>
      <c r="AI498" s="61">
        <v>50</v>
      </c>
      <c r="AJ498" s="64">
        <v>1.75</v>
      </c>
      <c r="AK498" s="15">
        <v>1.45</v>
      </c>
    </row>
    <row r="499" spans="1:37" x14ac:dyDescent="0.3">
      <c r="A499" s="12">
        <v>4.26</v>
      </c>
      <c r="B499" s="12">
        <v>679.287853857193</v>
      </c>
      <c r="C499" s="13" t="s">
        <v>255</v>
      </c>
      <c r="D499" s="13" t="s">
        <v>381</v>
      </c>
      <c r="E499" s="13" t="s">
        <v>382</v>
      </c>
      <c r="F499" s="13" t="s">
        <v>34</v>
      </c>
      <c r="G499" s="13">
        <v>0.11</v>
      </c>
      <c r="H499" s="13" t="s">
        <v>34</v>
      </c>
      <c r="I499" s="13" t="s">
        <v>34</v>
      </c>
      <c r="J499" s="13">
        <v>6</v>
      </c>
      <c r="K499" s="13">
        <v>2</v>
      </c>
      <c r="L499" s="13">
        <v>29.73</v>
      </c>
      <c r="M499" s="13"/>
      <c r="N499" s="13"/>
      <c r="O499" s="13">
        <v>0.93</v>
      </c>
      <c r="P499" s="13">
        <v>0.67</v>
      </c>
      <c r="Q499" s="13">
        <v>0</v>
      </c>
      <c r="R499" s="13">
        <v>2.68</v>
      </c>
      <c r="S499" s="13" t="s">
        <v>34</v>
      </c>
      <c r="T499" s="13" t="s">
        <v>36</v>
      </c>
      <c r="U499" s="13" t="s">
        <v>383</v>
      </c>
      <c r="V499" s="13" t="s">
        <v>38</v>
      </c>
      <c r="W499" s="13">
        <v>10</v>
      </c>
      <c r="X499" s="13">
        <v>0.35</v>
      </c>
      <c r="Y499" s="13">
        <v>1.4</v>
      </c>
      <c r="Z499" s="13" t="s">
        <v>34</v>
      </c>
      <c r="AA499" s="13" t="s">
        <v>34</v>
      </c>
      <c r="AB499" s="13" t="s">
        <v>34</v>
      </c>
      <c r="AC499" s="13" t="s">
        <v>34</v>
      </c>
      <c r="AD499" s="13" t="s">
        <v>277</v>
      </c>
      <c r="AE499" s="13">
        <v>1.6E-2</v>
      </c>
      <c r="AF499" s="13" t="s">
        <v>384</v>
      </c>
      <c r="AG499" s="13">
        <v>2025</v>
      </c>
      <c r="AH499" s="13" t="s">
        <v>385</v>
      </c>
      <c r="AI499" s="2">
        <v>76.2</v>
      </c>
      <c r="AJ499" s="2">
        <v>2</v>
      </c>
      <c r="AK499" s="2">
        <v>1</v>
      </c>
    </row>
    <row r="500" spans="1:37" x14ac:dyDescent="0.3">
      <c r="A500" s="11">
        <v>5.1999999999999966</v>
      </c>
      <c r="B500" s="11">
        <v>577.49906835680997</v>
      </c>
      <c r="C500" s="10" t="s">
        <v>255</v>
      </c>
      <c r="D500" s="10" t="s">
        <v>381</v>
      </c>
      <c r="E500" s="10" t="s">
        <v>382</v>
      </c>
      <c r="F500" s="10" t="s">
        <v>34</v>
      </c>
      <c r="G500" s="10">
        <v>0.11</v>
      </c>
      <c r="H500" s="10" t="s">
        <v>34</v>
      </c>
      <c r="I500" s="10" t="s">
        <v>34</v>
      </c>
      <c r="J500" s="10">
        <v>6</v>
      </c>
      <c r="K500" s="10">
        <v>2</v>
      </c>
      <c r="L500" s="10">
        <v>29.73</v>
      </c>
      <c r="O500" s="10">
        <v>0.93</v>
      </c>
      <c r="P500" s="10">
        <v>0.67</v>
      </c>
      <c r="Q500" s="10">
        <v>0</v>
      </c>
      <c r="R500" s="10">
        <v>2.68</v>
      </c>
      <c r="S500" s="10" t="s">
        <v>34</v>
      </c>
      <c r="T500" s="10" t="s">
        <v>36</v>
      </c>
      <c r="U500" s="10" t="s">
        <v>383</v>
      </c>
      <c r="V500" s="10" t="s">
        <v>38</v>
      </c>
      <c r="W500" s="10">
        <v>10</v>
      </c>
      <c r="X500" s="10">
        <v>0.35</v>
      </c>
      <c r="Y500" s="10">
        <v>1.4</v>
      </c>
      <c r="Z500" s="10" t="s">
        <v>34</v>
      </c>
      <c r="AA500" s="10" t="s">
        <v>34</v>
      </c>
      <c r="AB500" s="10" t="s">
        <v>34</v>
      </c>
      <c r="AC500" s="10" t="s">
        <v>34</v>
      </c>
      <c r="AD500" s="10" t="s">
        <v>277</v>
      </c>
      <c r="AE500" s="10">
        <v>1.6E-2</v>
      </c>
      <c r="AF500" s="10" t="s">
        <v>384</v>
      </c>
      <c r="AG500" s="10">
        <v>2025</v>
      </c>
      <c r="AH500" s="10" t="s">
        <v>385</v>
      </c>
      <c r="AI500" s="2">
        <v>76.2</v>
      </c>
      <c r="AJ500" s="2">
        <v>2</v>
      </c>
      <c r="AK500" s="2">
        <v>1</v>
      </c>
    </row>
    <row r="501" spans="1:37" s="15" customFormat="1" ht="16.2" thickBot="1" x14ac:dyDescent="0.35">
      <c r="A501" s="17">
        <v>4.2851485148514801</v>
      </c>
      <c r="B501" s="17">
        <v>402.485807121101</v>
      </c>
      <c r="C501" s="14" t="s">
        <v>255</v>
      </c>
      <c r="D501" s="14" t="s">
        <v>381</v>
      </c>
      <c r="E501" s="14" t="s">
        <v>382</v>
      </c>
      <c r="F501" s="14" t="s">
        <v>34</v>
      </c>
      <c r="G501" s="14">
        <v>0.11</v>
      </c>
      <c r="H501" s="14" t="s">
        <v>34</v>
      </c>
      <c r="I501" s="14" t="s">
        <v>34</v>
      </c>
      <c r="J501" s="14">
        <v>6</v>
      </c>
      <c r="K501" s="14">
        <v>2</v>
      </c>
      <c r="L501" s="14">
        <v>29.73</v>
      </c>
      <c r="M501" s="14"/>
      <c r="N501" s="14"/>
      <c r="O501" s="14">
        <v>0.93</v>
      </c>
      <c r="P501" s="14">
        <v>0.67</v>
      </c>
      <c r="Q501" s="14">
        <v>0</v>
      </c>
      <c r="R501" s="14">
        <v>2.68</v>
      </c>
      <c r="S501" s="14" t="s">
        <v>34</v>
      </c>
      <c r="T501" s="14" t="s">
        <v>36</v>
      </c>
      <c r="U501" s="14" t="s">
        <v>383</v>
      </c>
      <c r="V501" s="14" t="s">
        <v>38</v>
      </c>
      <c r="W501" s="14">
        <v>10</v>
      </c>
      <c r="X501" s="14">
        <v>0.25</v>
      </c>
      <c r="Y501" s="14">
        <v>1</v>
      </c>
      <c r="Z501" s="14" t="s">
        <v>34</v>
      </c>
      <c r="AA501" s="14" t="s">
        <v>34</v>
      </c>
      <c r="AB501" s="14" t="s">
        <v>34</v>
      </c>
      <c r="AC501" s="14" t="s">
        <v>34</v>
      </c>
      <c r="AD501" s="14" t="s">
        <v>277</v>
      </c>
      <c r="AE501" s="14">
        <v>1.6E-2</v>
      </c>
      <c r="AF501" s="14" t="s">
        <v>384</v>
      </c>
      <c r="AG501" s="14">
        <v>2025</v>
      </c>
      <c r="AH501" s="14" t="s">
        <v>385</v>
      </c>
      <c r="AI501" s="15">
        <v>76.2</v>
      </c>
      <c r="AJ501" s="15">
        <v>2</v>
      </c>
      <c r="AK501" s="15">
        <v>1</v>
      </c>
    </row>
    <row r="502" spans="1:37" x14ac:dyDescent="0.3">
      <c r="A502" s="65">
        <v>15.226793770897515</v>
      </c>
      <c r="B502" s="65">
        <v>211.83206106870099</v>
      </c>
      <c r="C502" s="66" t="s">
        <v>33</v>
      </c>
      <c r="D502" s="66" t="s">
        <v>386</v>
      </c>
      <c r="E502" s="66" t="s">
        <v>387</v>
      </c>
      <c r="F502" s="66">
        <v>0.13800000000000001</v>
      </c>
      <c r="G502" s="66">
        <v>0.30199999999999999</v>
      </c>
      <c r="H502" s="66">
        <v>0.215</v>
      </c>
      <c r="I502" s="66">
        <v>0.34399999999999997</v>
      </c>
      <c r="J502" s="66">
        <v>2.1800000000000002</v>
      </c>
      <c r="K502" s="66">
        <v>0.92</v>
      </c>
      <c r="L502" s="66">
        <v>0</v>
      </c>
      <c r="M502" s="66">
        <v>40</v>
      </c>
      <c r="N502" s="66">
        <v>1075.05</v>
      </c>
      <c r="O502" s="66">
        <v>1.75</v>
      </c>
      <c r="P502" s="66">
        <v>1.27</v>
      </c>
      <c r="Q502" s="66">
        <v>0</v>
      </c>
      <c r="R502" s="66">
        <v>2.75</v>
      </c>
      <c r="S502" s="66">
        <v>4.4500000000000003E-4</v>
      </c>
      <c r="T502" s="66" t="s">
        <v>36</v>
      </c>
      <c r="U502" s="66" t="s">
        <v>388</v>
      </c>
      <c r="V502" s="66" t="s">
        <v>38</v>
      </c>
      <c r="W502" s="66">
        <v>3</v>
      </c>
      <c r="X502" s="66">
        <v>1</v>
      </c>
      <c r="Y502" s="66">
        <v>1</v>
      </c>
      <c r="Z502" s="66" t="s">
        <v>33</v>
      </c>
      <c r="AA502" s="66">
        <v>9.6000000000000002E-2</v>
      </c>
      <c r="AB502" s="66" t="s">
        <v>34</v>
      </c>
      <c r="AC502" s="66" t="s">
        <v>40</v>
      </c>
      <c r="AD502" s="66" t="s">
        <v>277</v>
      </c>
      <c r="AE502" s="66">
        <v>0.96779999999999999</v>
      </c>
      <c r="AF502" s="66" t="s">
        <v>342</v>
      </c>
      <c r="AG502" s="13">
        <v>2017</v>
      </c>
      <c r="AH502" s="66" t="s">
        <v>389</v>
      </c>
      <c r="AI502" s="67">
        <v>40</v>
      </c>
      <c r="AJ502" s="67">
        <v>2</v>
      </c>
      <c r="AK502" s="67">
        <v>1.25</v>
      </c>
    </row>
    <row r="503" spans="1:37" x14ac:dyDescent="0.3">
      <c r="A503" s="11">
        <v>21.396037787715557</v>
      </c>
      <c r="B503" s="11">
        <v>563.931297709923</v>
      </c>
      <c r="C503" s="10" t="s">
        <v>33</v>
      </c>
      <c r="D503" s="10" t="s">
        <v>386</v>
      </c>
      <c r="E503" s="10" t="s">
        <v>387</v>
      </c>
      <c r="F503" s="10">
        <v>0.13800000000000001</v>
      </c>
      <c r="G503" s="10">
        <v>0.30199999999999999</v>
      </c>
      <c r="H503" s="10">
        <v>0.215</v>
      </c>
      <c r="I503" s="10">
        <v>0.34399999999999997</v>
      </c>
      <c r="J503" s="10">
        <v>2.1800000000000002</v>
      </c>
      <c r="K503" s="10">
        <v>0.92</v>
      </c>
      <c r="L503" s="10">
        <v>0</v>
      </c>
      <c r="M503" s="10">
        <v>40</v>
      </c>
      <c r="N503" s="10">
        <v>1075.05</v>
      </c>
      <c r="O503" s="10">
        <v>1.75</v>
      </c>
      <c r="P503" s="10">
        <v>1.27</v>
      </c>
      <c r="Q503" s="10">
        <v>0</v>
      </c>
      <c r="R503" s="10">
        <v>2.75</v>
      </c>
      <c r="S503" s="10">
        <v>4.4500000000000003E-4</v>
      </c>
      <c r="T503" s="10" t="s">
        <v>36</v>
      </c>
      <c r="U503" s="10" t="s">
        <v>388</v>
      </c>
      <c r="V503" s="10" t="s">
        <v>38</v>
      </c>
      <c r="W503" s="10">
        <v>3</v>
      </c>
      <c r="X503" s="10">
        <v>1</v>
      </c>
      <c r="Y503" s="10">
        <v>1</v>
      </c>
      <c r="Z503" s="10" t="s">
        <v>33</v>
      </c>
      <c r="AA503" s="10">
        <v>9.6000000000000002E-2</v>
      </c>
      <c r="AB503" s="10" t="s">
        <v>34</v>
      </c>
      <c r="AC503" s="10" t="s">
        <v>40</v>
      </c>
      <c r="AD503" s="10" t="s">
        <v>277</v>
      </c>
      <c r="AE503" s="10">
        <v>0.96779999999999999</v>
      </c>
      <c r="AF503" s="10" t="s">
        <v>342</v>
      </c>
      <c r="AG503" s="10">
        <v>2017</v>
      </c>
      <c r="AH503" s="10" t="s">
        <v>389</v>
      </c>
      <c r="AI503" s="2">
        <v>40</v>
      </c>
      <c r="AJ503" s="2">
        <v>2</v>
      </c>
      <c r="AK503" s="2">
        <v>1.25</v>
      </c>
    </row>
    <row r="504" spans="1:37" x14ac:dyDescent="0.3">
      <c r="A504" s="11">
        <v>27.851099810925518</v>
      </c>
      <c r="B504" s="11">
        <v>1067.7480916030499</v>
      </c>
      <c r="C504" s="10" t="s">
        <v>33</v>
      </c>
      <c r="D504" s="10" t="s">
        <v>386</v>
      </c>
      <c r="E504" s="10" t="s">
        <v>387</v>
      </c>
      <c r="F504" s="10">
        <v>0.13800000000000001</v>
      </c>
      <c r="G504" s="10">
        <v>0.30199999999999999</v>
      </c>
      <c r="H504" s="10">
        <v>0.215</v>
      </c>
      <c r="I504" s="10">
        <v>0.34399999999999997</v>
      </c>
      <c r="J504" s="10">
        <v>2.1800000000000002</v>
      </c>
      <c r="K504" s="10">
        <v>0.92</v>
      </c>
      <c r="L504" s="10">
        <v>0</v>
      </c>
      <c r="M504" s="10">
        <v>40</v>
      </c>
      <c r="N504" s="10">
        <v>1075.05</v>
      </c>
      <c r="O504" s="10">
        <v>1.75</v>
      </c>
      <c r="P504" s="10">
        <v>1.27</v>
      </c>
      <c r="Q504" s="10">
        <v>0</v>
      </c>
      <c r="R504" s="10">
        <v>2.75</v>
      </c>
      <c r="S504" s="10">
        <v>4.4500000000000003E-4</v>
      </c>
      <c r="T504" s="10" t="s">
        <v>36</v>
      </c>
      <c r="U504" s="10" t="s">
        <v>388</v>
      </c>
      <c r="V504" s="10" t="s">
        <v>38</v>
      </c>
      <c r="W504" s="10">
        <v>3</v>
      </c>
      <c r="X504" s="10">
        <v>1</v>
      </c>
      <c r="Y504" s="10">
        <v>1</v>
      </c>
      <c r="Z504" s="10" t="s">
        <v>33</v>
      </c>
      <c r="AA504" s="10">
        <v>9.6000000000000002E-2</v>
      </c>
      <c r="AB504" s="10" t="s">
        <v>34</v>
      </c>
      <c r="AC504" s="10" t="s">
        <v>40</v>
      </c>
      <c r="AD504" s="10" t="s">
        <v>277</v>
      </c>
      <c r="AE504" s="10">
        <v>0.96779999999999999</v>
      </c>
      <c r="AF504" s="10" t="s">
        <v>342</v>
      </c>
      <c r="AG504" s="10">
        <v>2017</v>
      </c>
      <c r="AH504" s="10" t="s">
        <v>389</v>
      </c>
      <c r="AI504" s="2">
        <v>40</v>
      </c>
      <c r="AJ504" s="2">
        <v>2</v>
      </c>
      <c r="AK504" s="2">
        <v>1.25</v>
      </c>
    </row>
    <row r="505" spans="1:37" x14ac:dyDescent="0.3">
      <c r="A505" s="11">
        <v>32.268898498016881</v>
      </c>
      <c r="B505" s="11">
        <v>2301.5267175572499</v>
      </c>
      <c r="C505" s="10" t="s">
        <v>33</v>
      </c>
      <c r="D505" s="10" t="s">
        <v>386</v>
      </c>
      <c r="E505" s="10" t="s">
        <v>387</v>
      </c>
      <c r="F505" s="10">
        <v>0.13800000000000001</v>
      </c>
      <c r="G505" s="10">
        <v>0.30199999999999999</v>
      </c>
      <c r="H505" s="10">
        <v>0.215</v>
      </c>
      <c r="I505" s="10">
        <v>0.34399999999999997</v>
      </c>
      <c r="J505" s="10">
        <v>2.1800000000000002</v>
      </c>
      <c r="K505" s="10">
        <v>0.92</v>
      </c>
      <c r="L505" s="10">
        <v>0</v>
      </c>
      <c r="M505" s="10">
        <v>40</v>
      </c>
      <c r="N505" s="10">
        <v>1075.05</v>
      </c>
      <c r="O505" s="10">
        <v>1.75</v>
      </c>
      <c r="P505" s="10">
        <v>1.27</v>
      </c>
      <c r="Q505" s="10">
        <v>0</v>
      </c>
      <c r="R505" s="10">
        <v>2.75</v>
      </c>
      <c r="S505" s="10">
        <v>4.4500000000000003E-4</v>
      </c>
      <c r="T505" s="10" t="s">
        <v>36</v>
      </c>
      <c r="U505" s="10" t="s">
        <v>388</v>
      </c>
      <c r="V505" s="10" t="s">
        <v>38</v>
      </c>
      <c r="W505" s="10">
        <v>3</v>
      </c>
      <c r="X505" s="10">
        <v>1</v>
      </c>
      <c r="Y505" s="10">
        <v>1</v>
      </c>
      <c r="Z505" s="10" t="s">
        <v>33</v>
      </c>
      <c r="AA505" s="10">
        <v>9.6000000000000002E-2</v>
      </c>
      <c r="AB505" s="10" t="s">
        <v>34</v>
      </c>
      <c r="AC505" s="10" t="s">
        <v>40</v>
      </c>
      <c r="AD505" s="10" t="s">
        <v>277</v>
      </c>
      <c r="AE505" s="10">
        <v>0.96779999999999999</v>
      </c>
      <c r="AF505" s="10" t="s">
        <v>342</v>
      </c>
      <c r="AG505" s="10">
        <v>2017</v>
      </c>
      <c r="AH505" s="10" t="s">
        <v>389</v>
      </c>
      <c r="AI505" s="2">
        <v>40</v>
      </c>
      <c r="AJ505" s="2">
        <v>2</v>
      </c>
      <c r="AK505" s="2">
        <v>1.25</v>
      </c>
    </row>
    <row r="506" spans="1:37" x14ac:dyDescent="0.3">
      <c r="A506" s="11">
        <v>17.139533882066328</v>
      </c>
      <c r="B506" s="11">
        <v>312.02290076335902</v>
      </c>
      <c r="C506" s="10" t="s">
        <v>33</v>
      </c>
      <c r="D506" s="10" t="s">
        <v>386</v>
      </c>
      <c r="E506" s="10" t="s">
        <v>387</v>
      </c>
      <c r="F506" s="10">
        <v>0.13800000000000001</v>
      </c>
      <c r="G506" s="10">
        <v>0.30199999999999999</v>
      </c>
      <c r="H506" s="10">
        <v>0.215</v>
      </c>
      <c r="I506" s="10">
        <v>0.34399999999999997</v>
      </c>
      <c r="J506" s="10">
        <v>2.1800000000000002</v>
      </c>
      <c r="K506" s="10">
        <v>0.92</v>
      </c>
      <c r="L506" s="10">
        <v>0</v>
      </c>
      <c r="M506" s="10">
        <v>40</v>
      </c>
      <c r="N506" s="10">
        <v>1075.05</v>
      </c>
      <c r="O506" s="10">
        <v>1.75</v>
      </c>
      <c r="P506" s="10">
        <v>1.27</v>
      </c>
      <c r="Q506" s="10">
        <v>0</v>
      </c>
      <c r="R506" s="10">
        <v>2.75</v>
      </c>
      <c r="S506" s="10">
        <v>4.4500000000000003E-4</v>
      </c>
      <c r="T506" s="10" t="s">
        <v>36</v>
      </c>
      <c r="U506" s="10" t="s">
        <v>388</v>
      </c>
      <c r="V506" s="10" t="s">
        <v>38</v>
      </c>
      <c r="W506" s="10">
        <v>3</v>
      </c>
      <c r="X506" s="10">
        <v>1</v>
      </c>
      <c r="Y506" s="10">
        <v>1</v>
      </c>
      <c r="Z506" s="10" t="s">
        <v>33</v>
      </c>
      <c r="AA506" s="10">
        <v>9.6000000000000002E-2</v>
      </c>
      <c r="AB506" s="10" t="s">
        <v>34</v>
      </c>
      <c r="AC506" s="10" t="s">
        <v>390</v>
      </c>
      <c r="AD506" s="10" t="s">
        <v>277</v>
      </c>
      <c r="AE506" s="10">
        <v>0.96779999999999999</v>
      </c>
      <c r="AF506" s="10" t="s">
        <v>342</v>
      </c>
      <c r="AG506" s="10">
        <v>2017</v>
      </c>
      <c r="AH506" s="10" t="s">
        <v>389</v>
      </c>
      <c r="AI506" s="2">
        <v>40</v>
      </c>
      <c r="AJ506" s="2">
        <v>2</v>
      </c>
      <c r="AK506" s="2">
        <v>1.25</v>
      </c>
    </row>
    <row r="507" spans="1:37" x14ac:dyDescent="0.3">
      <c r="A507" s="11">
        <v>24.030246338742874</v>
      </c>
      <c r="B507" s="11">
        <v>941.79389312977105</v>
      </c>
      <c r="C507" s="10" t="s">
        <v>33</v>
      </c>
      <c r="D507" s="10" t="s">
        <v>386</v>
      </c>
      <c r="E507" s="10" t="s">
        <v>387</v>
      </c>
      <c r="F507" s="10">
        <v>0.13800000000000001</v>
      </c>
      <c r="G507" s="10">
        <v>0.30199999999999999</v>
      </c>
      <c r="H507" s="10">
        <v>0.215</v>
      </c>
      <c r="I507" s="10">
        <v>0.34399999999999997</v>
      </c>
      <c r="J507" s="10">
        <v>2.1800000000000002</v>
      </c>
      <c r="K507" s="10">
        <v>0.92</v>
      </c>
      <c r="L507" s="10">
        <v>0</v>
      </c>
      <c r="M507" s="10">
        <v>40</v>
      </c>
      <c r="N507" s="10">
        <v>1075.05</v>
      </c>
      <c r="O507" s="10">
        <v>1.75</v>
      </c>
      <c r="P507" s="10">
        <v>1.27</v>
      </c>
      <c r="Q507" s="10">
        <v>0</v>
      </c>
      <c r="R507" s="10">
        <v>2.75</v>
      </c>
      <c r="S507" s="10">
        <v>4.4500000000000003E-4</v>
      </c>
      <c r="T507" s="10" t="s">
        <v>36</v>
      </c>
      <c r="U507" s="10" t="s">
        <v>388</v>
      </c>
      <c r="V507" s="10" t="s">
        <v>38</v>
      </c>
      <c r="W507" s="10">
        <v>3</v>
      </c>
      <c r="X507" s="10">
        <v>1</v>
      </c>
      <c r="Y507" s="10">
        <v>1</v>
      </c>
      <c r="Z507" s="10" t="s">
        <v>33</v>
      </c>
      <c r="AA507" s="10">
        <v>9.6000000000000002E-2</v>
      </c>
      <c r="AB507" s="10" t="s">
        <v>34</v>
      </c>
      <c r="AC507" s="10" t="s">
        <v>390</v>
      </c>
      <c r="AD507" s="10" t="s">
        <v>277</v>
      </c>
      <c r="AE507" s="10">
        <v>0.96779999999999999</v>
      </c>
      <c r="AF507" s="10" t="s">
        <v>342</v>
      </c>
      <c r="AG507" s="10">
        <v>2017</v>
      </c>
      <c r="AH507" s="10" t="s">
        <v>389</v>
      </c>
      <c r="AI507" s="2">
        <v>40</v>
      </c>
      <c r="AJ507" s="2">
        <v>2</v>
      </c>
      <c r="AK507" s="2">
        <v>1.25</v>
      </c>
    </row>
    <row r="508" spans="1:37" x14ac:dyDescent="0.3">
      <c r="A508" s="11">
        <v>29.295736504123308</v>
      </c>
      <c r="B508" s="11">
        <v>1468.5114503816701</v>
      </c>
      <c r="C508" s="10" t="s">
        <v>33</v>
      </c>
      <c r="D508" s="10" t="s">
        <v>386</v>
      </c>
      <c r="E508" s="10" t="s">
        <v>387</v>
      </c>
      <c r="F508" s="10">
        <v>0.13800000000000001</v>
      </c>
      <c r="G508" s="10">
        <v>0.30199999999999999</v>
      </c>
      <c r="H508" s="10">
        <v>0.215</v>
      </c>
      <c r="I508" s="10">
        <v>0.34399999999999997</v>
      </c>
      <c r="J508" s="10">
        <v>2.1800000000000002</v>
      </c>
      <c r="K508" s="10">
        <v>0.92</v>
      </c>
      <c r="L508" s="10">
        <v>0</v>
      </c>
      <c r="M508" s="10">
        <v>40</v>
      </c>
      <c r="N508" s="10">
        <v>1075.05</v>
      </c>
      <c r="O508" s="10">
        <v>1.75</v>
      </c>
      <c r="P508" s="10">
        <v>1.27</v>
      </c>
      <c r="Q508" s="10">
        <v>0</v>
      </c>
      <c r="R508" s="10">
        <v>2.75</v>
      </c>
      <c r="S508" s="10">
        <v>4.4500000000000003E-4</v>
      </c>
      <c r="T508" s="10" t="s">
        <v>36</v>
      </c>
      <c r="U508" s="10" t="s">
        <v>388</v>
      </c>
      <c r="V508" s="10" t="s">
        <v>38</v>
      </c>
      <c r="W508" s="10">
        <v>3</v>
      </c>
      <c r="X508" s="10">
        <v>1</v>
      </c>
      <c r="Y508" s="10">
        <v>1</v>
      </c>
      <c r="Z508" s="10" t="s">
        <v>33</v>
      </c>
      <c r="AA508" s="10">
        <v>9.6000000000000002E-2</v>
      </c>
      <c r="AB508" s="10" t="s">
        <v>34</v>
      </c>
      <c r="AC508" s="10" t="s">
        <v>390</v>
      </c>
      <c r="AD508" s="10" t="s">
        <v>277</v>
      </c>
      <c r="AE508" s="10">
        <v>0.96779999999999999</v>
      </c>
      <c r="AF508" s="10" t="s">
        <v>342</v>
      </c>
      <c r="AG508" s="10">
        <v>2017</v>
      </c>
      <c r="AH508" s="10" t="s">
        <v>389</v>
      </c>
      <c r="AI508" s="2">
        <v>40</v>
      </c>
      <c r="AJ508" s="2">
        <v>2</v>
      </c>
      <c r="AK508" s="2">
        <v>1.25</v>
      </c>
    </row>
    <row r="509" spans="1:37" ht="16.2" thickBot="1" x14ac:dyDescent="0.35">
      <c r="A509" s="17">
        <v>32.740284568562458</v>
      </c>
      <c r="B509" s="17">
        <v>2458.96946564885</v>
      </c>
      <c r="C509" s="14" t="s">
        <v>33</v>
      </c>
      <c r="D509" s="14" t="s">
        <v>386</v>
      </c>
      <c r="E509" s="14" t="s">
        <v>387</v>
      </c>
      <c r="F509" s="14">
        <v>0.13800000000000001</v>
      </c>
      <c r="G509" s="14">
        <v>0.30199999999999999</v>
      </c>
      <c r="H509" s="14">
        <v>0.215</v>
      </c>
      <c r="I509" s="14">
        <v>0.34399999999999997</v>
      </c>
      <c r="J509" s="14">
        <v>2.1800000000000002</v>
      </c>
      <c r="K509" s="14">
        <v>0.92</v>
      </c>
      <c r="L509" s="14">
        <v>0</v>
      </c>
      <c r="M509" s="14">
        <v>40</v>
      </c>
      <c r="N509" s="14">
        <v>1075.05</v>
      </c>
      <c r="O509" s="14">
        <v>1.75</v>
      </c>
      <c r="P509" s="14">
        <v>1.27</v>
      </c>
      <c r="Q509" s="14">
        <v>0</v>
      </c>
      <c r="R509" s="14">
        <v>2.75</v>
      </c>
      <c r="S509" s="14">
        <v>4.4500000000000003E-4</v>
      </c>
      <c r="T509" s="14" t="s">
        <v>36</v>
      </c>
      <c r="U509" s="14" t="s">
        <v>388</v>
      </c>
      <c r="V509" s="14" t="s">
        <v>38</v>
      </c>
      <c r="W509" s="14">
        <v>3</v>
      </c>
      <c r="X509" s="14">
        <v>1</v>
      </c>
      <c r="Y509" s="14">
        <v>1</v>
      </c>
      <c r="Z509" s="14" t="s">
        <v>33</v>
      </c>
      <c r="AA509" s="14">
        <v>9.6000000000000002E-2</v>
      </c>
      <c r="AB509" s="14" t="s">
        <v>34</v>
      </c>
      <c r="AC509" s="14" t="s">
        <v>390</v>
      </c>
      <c r="AD509" s="14" t="s">
        <v>277</v>
      </c>
      <c r="AE509" s="14">
        <v>0.96779999999999999</v>
      </c>
      <c r="AF509" s="14" t="s">
        <v>342</v>
      </c>
      <c r="AG509" s="14">
        <v>2017</v>
      </c>
      <c r="AH509" s="14" t="s">
        <v>389</v>
      </c>
      <c r="AI509" s="15">
        <v>40</v>
      </c>
      <c r="AJ509" s="15">
        <v>2</v>
      </c>
      <c r="AK509" s="15">
        <v>1.25</v>
      </c>
    </row>
    <row r="510" spans="1:37" ht="16.2" thickBot="1" x14ac:dyDescent="0.35">
      <c r="A510" s="19">
        <v>15.98</v>
      </c>
      <c r="B510" s="19">
        <v>1343</v>
      </c>
      <c r="C510" s="18" t="s">
        <v>33</v>
      </c>
      <c r="D510" s="18" t="s">
        <v>35</v>
      </c>
      <c r="E510" s="18" t="s">
        <v>387</v>
      </c>
      <c r="F510" s="18">
        <v>0.26</v>
      </c>
      <c r="G510" s="18">
        <v>0.54400000000000004</v>
      </c>
      <c r="H510" s="29">
        <v>0.42</v>
      </c>
      <c r="I510" s="18">
        <v>0.57999999999999996</v>
      </c>
      <c r="J510" s="18">
        <v>2.2309999999999999</v>
      </c>
      <c r="K510" s="18">
        <v>1.17</v>
      </c>
      <c r="L510" s="18">
        <v>0</v>
      </c>
      <c r="M510" s="18">
        <v>48</v>
      </c>
      <c r="N510" s="18">
        <v>1355</v>
      </c>
      <c r="O510" s="18">
        <v>1.244</v>
      </c>
      <c r="P510" s="18">
        <v>0.81100000000000005</v>
      </c>
      <c r="Q510" s="18">
        <v>0</v>
      </c>
      <c r="R510" s="18">
        <v>2.76</v>
      </c>
      <c r="S510" s="18" t="s">
        <v>34</v>
      </c>
      <c r="T510" s="18" t="s">
        <v>36</v>
      </c>
      <c r="U510" s="18" t="s">
        <v>388</v>
      </c>
      <c r="V510" s="18" t="s">
        <v>38</v>
      </c>
      <c r="W510" s="18">
        <v>4</v>
      </c>
      <c r="X510" s="18">
        <v>0.5</v>
      </c>
      <c r="Y510" s="18">
        <v>1</v>
      </c>
      <c r="Z510" s="18" t="s">
        <v>33</v>
      </c>
      <c r="AA510" s="18">
        <v>0.28499999999999998</v>
      </c>
      <c r="AB510" s="18" t="s">
        <v>34</v>
      </c>
      <c r="AC510" s="18" t="s">
        <v>391</v>
      </c>
      <c r="AD510" s="18" t="s">
        <v>34</v>
      </c>
      <c r="AE510" s="18" t="s">
        <v>34</v>
      </c>
      <c r="AF510" s="18" t="s">
        <v>125</v>
      </c>
      <c r="AG510" s="18">
        <v>2021</v>
      </c>
      <c r="AH510" s="18" t="s">
        <v>392</v>
      </c>
      <c r="AI510" s="15">
        <v>39.1</v>
      </c>
      <c r="AJ510" s="15">
        <v>2.0499999999999998</v>
      </c>
      <c r="AK510" s="15">
        <v>1.25</v>
      </c>
    </row>
    <row r="511" spans="1:37" ht="16.2" thickBot="1" x14ac:dyDescent="0.35">
      <c r="A511" s="65">
        <v>11.386639676113299</v>
      </c>
      <c r="B511" s="65">
        <v>3515.70415400202</v>
      </c>
      <c r="C511" s="66" t="s">
        <v>33</v>
      </c>
      <c r="D511" s="66" t="s">
        <v>35</v>
      </c>
      <c r="E511" s="66" t="s">
        <v>387</v>
      </c>
      <c r="F511" s="66">
        <v>0.23</v>
      </c>
      <c r="G511" s="66">
        <v>0.4</v>
      </c>
      <c r="H511" s="13">
        <v>0.32</v>
      </c>
      <c r="I511" s="66">
        <v>0.42</v>
      </c>
      <c r="J511" s="66">
        <v>1.83</v>
      </c>
      <c r="K511" s="66">
        <v>1.06</v>
      </c>
      <c r="L511" s="66">
        <v>0</v>
      </c>
      <c r="M511" s="66">
        <v>30</v>
      </c>
      <c r="N511" s="66">
        <v>1311.1888111888113</v>
      </c>
      <c r="O511" s="66">
        <v>1.1599999999999999</v>
      </c>
      <c r="P511" s="66">
        <v>0.82399999999999995</v>
      </c>
      <c r="Q511" s="66">
        <v>39.229629629629628</v>
      </c>
      <c r="R511" s="66">
        <v>2.7</v>
      </c>
      <c r="S511" s="66" t="s">
        <v>34</v>
      </c>
      <c r="T511" s="66" t="s">
        <v>36</v>
      </c>
      <c r="U511" s="66" t="s">
        <v>388</v>
      </c>
      <c r="V511" s="66" t="s">
        <v>38</v>
      </c>
      <c r="W511" s="66">
        <v>6</v>
      </c>
      <c r="X511" s="66">
        <v>1</v>
      </c>
      <c r="Y511" s="66">
        <v>1</v>
      </c>
      <c r="Z511" s="66" t="s">
        <v>33</v>
      </c>
      <c r="AA511" s="66">
        <v>0.38219999999999998</v>
      </c>
      <c r="AB511" s="66" t="s">
        <v>34</v>
      </c>
      <c r="AC511" s="66" t="s">
        <v>40</v>
      </c>
      <c r="AD511" s="66" t="s">
        <v>277</v>
      </c>
      <c r="AE511" s="66">
        <v>0.67649999999999999</v>
      </c>
      <c r="AF511" s="66" t="s">
        <v>309</v>
      </c>
      <c r="AG511" s="66">
        <v>2023</v>
      </c>
      <c r="AH511" s="66" t="s">
        <v>393</v>
      </c>
      <c r="AI511" s="67">
        <v>40</v>
      </c>
      <c r="AJ511" s="67">
        <v>2</v>
      </c>
      <c r="AK511" s="67">
        <v>1.25</v>
      </c>
    </row>
    <row r="512" spans="1:37" ht="16.2" thickBot="1" x14ac:dyDescent="0.35">
      <c r="A512" s="11">
        <v>13.486842105263101</v>
      </c>
      <c r="B512" s="11">
        <v>6433.6372847011098</v>
      </c>
      <c r="C512" s="10" t="s">
        <v>33</v>
      </c>
      <c r="D512" s="10" t="s">
        <v>35</v>
      </c>
      <c r="E512" s="10" t="s">
        <v>387</v>
      </c>
      <c r="F512" s="10">
        <v>0.23</v>
      </c>
      <c r="G512" s="10">
        <v>0.4</v>
      </c>
      <c r="H512" s="10">
        <v>0.32</v>
      </c>
      <c r="I512" s="10">
        <v>0.42</v>
      </c>
      <c r="J512" s="10">
        <v>1.83</v>
      </c>
      <c r="K512" s="10">
        <v>1.06</v>
      </c>
      <c r="L512" s="10">
        <v>0</v>
      </c>
      <c r="M512" s="10">
        <v>40</v>
      </c>
      <c r="N512" s="10">
        <v>1332.9383886255923</v>
      </c>
      <c r="O512" s="10">
        <v>1.1599999999999999</v>
      </c>
      <c r="P512" s="10">
        <v>0.82399999999999995</v>
      </c>
      <c r="Q512" s="10">
        <v>37.985185185185181</v>
      </c>
      <c r="R512" s="10">
        <v>2.7</v>
      </c>
      <c r="S512" s="10" t="s">
        <v>34</v>
      </c>
      <c r="T512" s="10" t="s">
        <v>36</v>
      </c>
      <c r="U512" s="10" t="s">
        <v>388</v>
      </c>
      <c r="V512" s="10" t="s">
        <v>38</v>
      </c>
      <c r="W512" s="10">
        <v>6</v>
      </c>
      <c r="X512" s="10">
        <v>1</v>
      </c>
      <c r="Y512" s="10">
        <v>1</v>
      </c>
      <c r="Z512" s="10" t="s">
        <v>33</v>
      </c>
      <c r="AA512" s="10">
        <v>0.38219999999999998</v>
      </c>
      <c r="AB512" s="10" t="s">
        <v>34</v>
      </c>
      <c r="AC512" s="10" t="s">
        <v>40</v>
      </c>
      <c r="AD512" s="10" t="s">
        <v>277</v>
      </c>
      <c r="AE512" s="10">
        <v>1.6765000000000001</v>
      </c>
      <c r="AF512" s="10" t="s">
        <v>309</v>
      </c>
      <c r="AG512" s="66">
        <v>2023</v>
      </c>
      <c r="AH512" s="10" t="s">
        <v>393</v>
      </c>
      <c r="AI512" s="2">
        <v>40</v>
      </c>
      <c r="AJ512" s="2">
        <v>2</v>
      </c>
      <c r="AK512" s="2">
        <v>1.25</v>
      </c>
    </row>
    <row r="513" spans="1:37" ht="16.2" thickBot="1" x14ac:dyDescent="0.35">
      <c r="A513" s="11">
        <v>16.523279352226702</v>
      </c>
      <c r="B513" s="11">
        <v>8581.5602836879407</v>
      </c>
      <c r="C513" s="10" t="s">
        <v>33</v>
      </c>
      <c r="D513" s="10" t="s">
        <v>35</v>
      </c>
      <c r="E513" s="10" t="s">
        <v>387</v>
      </c>
      <c r="F513" s="10">
        <v>0.23</v>
      </c>
      <c r="G513" s="10">
        <v>0.4</v>
      </c>
      <c r="H513" s="10">
        <v>0.32</v>
      </c>
      <c r="I513" s="10">
        <v>0.42</v>
      </c>
      <c r="J513" s="10">
        <v>1.83</v>
      </c>
      <c r="K513" s="10">
        <v>1.06</v>
      </c>
      <c r="L513" s="10">
        <v>0</v>
      </c>
      <c r="M513" s="10">
        <v>50</v>
      </c>
      <c r="N513" s="10">
        <v>1355.4216867469879</v>
      </c>
      <c r="O513" s="10">
        <v>1.1599999999999999</v>
      </c>
      <c r="P513" s="10">
        <v>0.82399999999999995</v>
      </c>
      <c r="Q513" s="10">
        <v>36.74074074074074</v>
      </c>
      <c r="R513" s="10">
        <v>2.7</v>
      </c>
      <c r="S513" s="10" t="s">
        <v>34</v>
      </c>
      <c r="T513" s="10" t="s">
        <v>36</v>
      </c>
      <c r="U513" s="10" t="s">
        <v>388</v>
      </c>
      <c r="V513" s="10" t="s">
        <v>38</v>
      </c>
      <c r="W513" s="10">
        <v>6</v>
      </c>
      <c r="X513" s="10">
        <v>1</v>
      </c>
      <c r="Y513" s="10">
        <v>1</v>
      </c>
      <c r="Z513" s="10" t="s">
        <v>33</v>
      </c>
      <c r="AA513" s="10">
        <v>0.38219999999999998</v>
      </c>
      <c r="AB513" s="10" t="s">
        <v>34</v>
      </c>
      <c r="AC513" s="10" t="s">
        <v>40</v>
      </c>
      <c r="AD513" s="10" t="s">
        <v>277</v>
      </c>
      <c r="AE513" s="10">
        <v>2.6764999999999999</v>
      </c>
      <c r="AF513" s="10" t="s">
        <v>309</v>
      </c>
      <c r="AG513" s="66">
        <v>2023</v>
      </c>
      <c r="AH513" s="10" t="s">
        <v>393</v>
      </c>
      <c r="AI513" s="2">
        <v>40</v>
      </c>
      <c r="AJ513" s="2">
        <v>2</v>
      </c>
      <c r="AK513" s="2">
        <v>1.25</v>
      </c>
    </row>
    <row r="514" spans="1:37" ht="16.2" thickBot="1" x14ac:dyDescent="0.35">
      <c r="A514" s="11">
        <v>17.484817813765101</v>
      </c>
      <c r="B514" s="11">
        <v>9027.3556231003004</v>
      </c>
      <c r="C514" s="10" t="s">
        <v>33</v>
      </c>
      <c r="D514" s="10" t="s">
        <v>35</v>
      </c>
      <c r="E514" s="10" t="s">
        <v>387</v>
      </c>
      <c r="F514" s="10">
        <v>0.23</v>
      </c>
      <c r="G514" s="10">
        <v>0.4</v>
      </c>
      <c r="H514" s="10">
        <v>0.32</v>
      </c>
      <c r="I514" s="10">
        <v>0.42</v>
      </c>
      <c r="J514" s="10">
        <v>1.83</v>
      </c>
      <c r="K514" s="10">
        <v>1.06</v>
      </c>
      <c r="L514" s="10">
        <v>0</v>
      </c>
      <c r="M514" s="10">
        <v>60</v>
      </c>
      <c r="N514" s="10">
        <v>1378.6764705882354</v>
      </c>
      <c r="O514" s="10">
        <v>1.1599999999999999</v>
      </c>
      <c r="P514" s="10">
        <v>0.82399999999999995</v>
      </c>
      <c r="Q514" s="10">
        <v>35.496296296296293</v>
      </c>
      <c r="R514" s="10">
        <v>2.7</v>
      </c>
      <c r="S514" s="10" t="s">
        <v>34</v>
      </c>
      <c r="T514" s="10" t="s">
        <v>36</v>
      </c>
      <c r="U514" s="10" t="s">
        <v>388</v>
      </c>
      <c r="V514" s="10" t="s">
        <v>38</v>
      </c>
      <c r="W514" s="10">
        <v>6</v>
      </c>
      <c r="X514" s="10">
        <v>1</v>
      </c>
      <c r="Y514" s="10">
        <v>1</v>
      </c>
      <c r="Z514" s="10" t="s">
        <v>33</v>
      </c>
      <c r="AA514" s="10">
        <v>0.38219999999999998</v>
      </c>
      <c r="AB514" s="10" t="s">
        <v>34</v>
      </c>
      <c r="AC514" s="10" t="s">
        <v>40</v>
      </c>
      <c r="AD514" s="10" t="s">
        <v>277</v>
      </c>
      <c r="AE514" s="10">
        <v>3.6764999999999999</v>
      </c>
      <c r="AF514" s="10" t="s">
        <v>309</v>
      </c>
      <c r="AG514" s="66">
        <v>2023</v>
      </c>
      <c r="AH514" s="10" t="s">
        <v>393</v>
      </c>
      <c r="AI514" s="2">
        <v>40</v>
      </c>
      <c r="AJ514" s="2">
        <v>2</v>
      </c>
      <c r="AK514" s="2">
        <v>1.25</v>
      </c>
    </row>
    <row r="515" spans="1:37" ht="16.2" thickBot="1" x14ac:dyDescent="0.35">
      <c r="A515" s="11">
        <v>19.1295546558704</v>
      </c>
      <c r="B515" s="11">
        <v>5643.3637284701099</v>
      </c>
      <c r="C515" s="10" t="s">
        <v>33</v>
      </c>
      <c r="D515" s="10" t="s">
        <v>35</v>
      </c>
      <c r="E515" s="10" t="s">
        <v>387</v>
      </c>
      <c r="F515" s="10">
        <v>0.23</v>
      </c>
      <c r="G515" s="10">
        <v>0.4</v>
      </c>
      <c r="H515" s="10">
        <v>0.32</v>
      </c>
      <c r="I515" s="10">
        <v>0.42</v>
      </c>
      <c r="J515" s="10">
        <v>1.83</v>
      </c>
      <c r="K515" s="10">
        <v>1.06</v>
      </c>
      <c r="L515" s="10">
        <v>0</v>
      </c>
      <c r="M515" s="10">
        <v>70</v>
      </c>
      <c r="N515" s="10">
        <v>1402.7431421446383</v>
      </c>
      <c r="O515" s="10">
        <v>1.1599999999999999</v>
      </c>
      <c r="P515" s="10">
        <v>0.82399999999999995</v>
      </c>
      <c r="Q515" s="10">
        <v>34.251851851851853</v>
      </c>
      <c r="R515" s="10">
        <v>2.7</v>
      </c>
      <c r="S515" s="10" t="s">
        <v>34</v>
      </c>
      <c r="T515" s="10" t="s">
        <v>36</v>
      </c>
      <c r="U515" s="10" t="s">
        <v>388</v>
      </c>
      <c r="V515" s="10" t="s">
        <v>38</v>
      </c>
      <c r="W515" s="10">
        <v>6</v>
      </c>
      <c r="X515" s="10">
        <v>1</v>
      </c>
      <c r="Y515" s="10">
        <v>1</v>
      </c>
      <c r="Z515" s="10" t="s">
        <v>33</v>
      </c>
      <c r="AA515" s="10">
        <v>0.38219999999999998</v>
      </c>
      <c r="AB515" s="10" t="s">
        <v>34</v>
      </c>
      <c r="AC515" s="10" t="s">
        <v>40</v>
      </c>
      <c r="AD515" s="10" t="s">
        <v>277</v>
      </c>
      <c r="AE515" s="10">
        <v>4.6764999999999999</v>
      </c>
      <c r="AF515" s="10" t="s">
        <v>309</v>
      </c>
      <c r="AG515" s="66">
        <v>2023</v>
      </c>
      <c r="AH515" s="10" t="s">
        <v>393</v>
      </c>
      <c r="AI515" s="2">
        <v>40</v>
      </c>
      <c r="AJ515" s="2">
        <v>2</v>
      </c>
      <c r="AK515" s="2">
        <v>1.25</v>
      </c>
    </row>
    <row r="516" spans="1:37" ht="16.2" thickBot="1" x14ac:dyDescent="0.35">
      <c r="A516" s="11">
        <v>20.799595141700401</v>
      </c>
      <c r="B516" s="11">
        <v>4083.0800405268501</v>
      </c>
      <c r="C516" s="10" t="s">
        <v>33</v>
      </c>
      <c r="D516" s="10" t="s">
        <v>35</v>
      </c>
      <c r="E516" s="10" t="s">
        <v>387</v>
      </c>
      <c r="F516" s="10">
        <v>0.23</v>
      </c>
      <c r="G516" s="10">
        <v>0.4</v>
      </c>
      <c r="H516" s="10">
        <v>0.32</v>
      </c>
      <c r="I516" s="10">
        <v>0.42</v>
      </c>
      <c r="J516" s="10">
        <v>1.83</v>
      </c>
      <c r="K516" s="10">
        <v>1.06</v>
      </c>
      <c r="L516" s="10">
        <v>0</v>
      </c>
      <c r="M516" s="10">
        <v>80</v>
      </c>
      <c r="N516" s="10">
        <v>1427.6649746192893</v>
      </c>
      <c r="O516" s="10">
        <v>1.1599999999999999</v>
      </c>
      <c r="P516" s="10">
        <v>0.82399999999999995</v>
      </c>
      <c r="Q516" s="10">
        <v>33.007407407407406</v>
      </c>
      <c r="R516" s="10">
        <v>2.7</v>
      </c>
      <c r="S516" s="10" t="s">
        <v>34</v>
      </c>
      <c r="T516" s="10" t="s">
        <v>36</v>
      </c>
      <c r="U516" s="10" t="s">
        <v>388</v>
      </c>
      <c r="V516" s="10" t="s">
        <v>38</v>
      </c>
      <c r="W516" s="10">
        <v>6</v>
      </c>
      <c r="X516" s="10">
        <v>1</v>
      </c>
      <c r="Y516" s="10">
        <v>1</v>
      </c>
      <c r="Z516" s="10" t="s">
        <v>33</v>
      </c>
      <c r="AA516" s="10">
        <v>0.38219999999999998</v>
      </c>
      <c r="AB516" s="10" t="s">
        <v>34</v>
      </c>
      <c r="AC516" s="10" t="s">
        <v>40</v>
      </c>
      <c r="AD516" s="10" t="s">
        <v>277</v>
      </c>
      <c r="AE516" s="10">
        <v>5.6764999999999999</v>
      </c>
      <c r="AF516" s="10" t="s">
        <v>309</v>
      </c>
      <c r="AG516" s="66">
        <v>2023</v>
      </c>
      <c r="AH516" s="10" t="s">
        <v>393</v>
      </c>
      <c r="AI516" s="2">
        <v>40</v>
      </c>
      <c r="AJ516" s="2">
        <v>2</v>
      </c>
      <c r="AK516" s="2">
        <v>1.25</v>
      </c>
    </row>
    <row r="517" spans="1:37" ht="16.2" thickBot="1" x14ac:dyDescent="0.35">
      <c r="A517" s="11">
        <v>6.4832535885167397</v>
      </c>
      <c r="B517" s="11">
        <v>736.84210526315997</v>
      </c>
      <c r="C517" s="10" t="s">
        <v>33</v>
      </c>
      <c r="D517" s="10" t="s">
        <v>35</v>
      </c>
      <c r="E517" s="10" t="s">
        <v>387</v>
      </c>
      <c r="F517" s="10">
        <v>0.23</v>
      </c>
      <c r="G517" s="10">
        <v>0.4</v>
      </c>
      <c r="H517" s="10">
        <v>0.32</v>
      </c>
      <c r="I517" s="10">
        <v>0.42</v>
      </c>
      <c r="J517" s="10">
        <v>1.83</v>
      </c>
      <c r="K517" s="10">
        <v>1.06</v>
      </c>
      <c r="L517" s="10">
        <v>0</v>
      </c>
      <c r="M517" s="10">
        <v>50</v>
      </c>
      <c r="N517" s="10">
        <v>1355.4216867469879</v>
      </c>
      <c r="O517" s="10">
        <v>1.1599999999999999</v>
      </c>
      <c r="P517" s="10">
        <v>0.82399999999999995</v>
      </c>
      <c r="Q517" s="10">
        <v>36.74074074074074</v>
      </c>
      <c r="R517" s="10">
        <v>2.7</v>
      </c>
      <c r="S517" s="10" t="s">
        <v>34</v>
      </c>
      <c r="T517" s="10" t="s">
        <v>36</v>
      </c>
      <c r="U517" s="10" t="s">
        <v>388</v>
      </c>
      <c r="V517" s="10" t="s">
        <v>38</v>
      </c>
      <c r="W517" s="10">
        <v>6</v>
      </c>
      <c r="X517" s="10">
        <v>0.25</v>
      </c>
      <c r="Y517" s="10">
        <v>1</v>
      </c>
      <c r="Z517" s="10" t="s">
        <v>33</v>
      </c>
      <c r="AA517" s="10">
        <v>0.38219999999999998</v>
      </c>
      <c r="AB517" s="10" t="s">
        <v>34</v>
      </c>
      <c r="AC517" s="10" t="s">
        <v>40</v>
      </c>
      <c r="AD517" s="10" t="s">
        <v>277</v>
      </c>
      <c r="AE517" s="10">
        <v>6.6764999999999999</v>
      </c>
      <c r="AF517" s="10" t="s">
        <v>309</v>
      </c>
      <c r="AG517" s="66">
        <v>2023</v>
      </c>
      <c r="AH517" s="10" t="s">
        <v>393</v>
      </c>
      <c r="AI517" s="2">
        <v>40</v>
      </c>
      <c r="AJ517" s="2">
        <v>2</v>
      </c>
      <c r="AK517" s="2">
        <v>1.25</v>
      </c>
    </row>
    <row r="518" spans="1:37" ht="16.2" thickBot="1" x14ac:dyDescent="0.35">
      <c r="A518" s="11">
        <v>9.0909090909090899</v>
      </c>
      <c r="B518" s="11">
        <v>1492.8229665071699</v>
      </c>
      <c r="C518" s="10" t="s">
        <v>33</v>
      </c>
      <c r="D518" s="10" t="s">
        <v>35</v>
      </c>
      <c r="E518" s="10" t="s">
        <v>387</v>
      </c>
      <c r="F518" s="10">
        <v>0.23</v>
      </c>
      <c r="G518" s="10">
        <v>0.4</v>
      </c>
      <c r="H518" s="10">
        <v>0.32</v>
      </c>
      <c r="I518" s="10">
        <v>0.42</v>
      </c>
      <c r="J518" s="10">
        <v>1.83</v>
      </c>
      <c r="K518" s="10">
        <v>1.06</v>
      </c>
      <c r="L518" s="10">
        <v>0</v>
      </c>
      <c r="M518" s="10">
        <v>50</v>
      </c>
      <c r="N518" s="10">
        <v>1355.4216867469879</v>
      </c>
      <c r="O518" s="10">
        <v>1.1599999999999999</v>
      </c>
      <c r="P518" s="10">
        <v>0.82399999999999995</v>
      </c>
      <c r="Q518" s="10">
        <v>36.74074074074074</v>
      </c>
      <c r="R518" s="10">
        <v>2.7</v>
      </c>
      <c r="S518" s="10" t="s">
        <v>34</v>
      </c>
      <c r="T518" s="10" t="s">
        <v>36</v>
      </c>
      <c r="U518" s="10" t="s">
        <v>388</v>
      </c>
      <c r="V518" s="10" t="s">
        <v>38</v>
      </c>
      <c r="W518" s="10">
        <v>6</v>
      </c>
      <c r="X518" s="10">
        <v>0.5</v>
      </c>
      <c r="Y518" s="10">
        <v>1</v>
      </c>
      <c r="Z518" s="10" t="s">
        <v>33</v>
      </c>
      <c r="AA518" s="10">
        <v>0.38219999999999998</v>
      </c>
      <c r="AB518" s="10" t="s">
        <v>34</v>
      </c>
      <c r="AC518" s="10" t="s">
        <v>40</v>
      </c>
      <c r="AD518" s="10" t="s">
        <v>277</v>
      </c>
      <c r="AE518" s="10">
        <v>7.6764999999999999</v>
      </c>
      <c r="AF518" s="10" t="s">
        <v>309</v>
      </c>
      <c r="AG518" s="66">
        <v>2023</v>
      </c>
      <c r="AH518" s="10" t="s">
        <v>393</v>
      </c>
      <c r="AI518" s="2">
        <v>40</v>
      </c>
      <c r="AJ518" s="2">
        <v>2</v>
      </c>
      <c r="AK518" s="2">
        <v>1.25</v>
      </c>
    </row>
    <row r="519" spans="1:37" ht="16.2" thickBot="1" x14ac:dyDescent="0.35">
      <c r="A519" s="11">
        <v>12.511961722488</v>
      </c>
      <c r="B519" s="11">
        <v>5732.0574162679404</v>
      </c>
      <c r="C519" s="10" t="s">
        <v>33</v>
      </c>
      <c r="D519" s="10" t="s">
        <v>35</v>
      </c>
      <c r="E519" s="10" t="s">
        <v>387</v>
      </c>
      <c r="F519" s="10">
        <v>0.23</v>
      </c>
      <c r="G519" s="10">
        <v>0.4</v>
      </c>
      <c r="H519" s="10">
        <v>0.32</v>
      </c>
      <c r="I519" s="10">
        <v>0.42</v>
      </c>
      <c r="J519" s="10">
        <v>1.83</v>
      </c>
      <c r="K519" s="10">
        <v>1.06</v>
      </c>
      <c r="L519" s="10">
        <v>0</v>
      </c>
      <c r="M519" s="10">
        <v>50</v>
      </c>
      <c r="N519" s="10">
        <v>1355.4216867469879</v>
      </c>
      <c r="O519" s="10">
        <v>1.1599999999999999</v>
      </c>
      <c r="P519" s="10">
        <v>0.82399999999999995</v>
      </c>
      <c r="Q519" s="10">
        <v>36.74074074074074</v>
      </c>
      <c r="R519" s="10">
        <v>2.7</v>
      </c>
      <c r="S519" s="10" t="s">
        <v>34</v>
      </c>
      <c r="T519" s="10" t="s">
        <v>36</v>
      </c>
      <c r="U519" s="10" t="s">
        <v>388</v>
      </c>
      <c r="V519" s="10" t="s">
        <v>38</v>
      </c>
      <c r="W519" s="10">
        <v>6</v>
      </c>
      <c r="X519" s="10">
        <v>0.75</v>
      </c>
      <c r="Y519" s="10">
        <v>1</v>
      </c>
      <c r="Z519" s="10" t="s">
        <v>33</v>
      </c>
      <c r="AA519" s="10">
        <v>0.38219999999999998</v>
      </c>
      <c r="AB519" s="10" t="s">
        <v>34</v>
      </c>
      <c r="AC519" s="10" t="s">
        <v>40</v>
      </c>
      <c r="AD519" s="10" t="s">
        <v>277</v>
      </c>
      <c r="AE519" s="10">
        <v>8.6765000000000008</v>
      </c>
      <c r="AF519" s="10" t="s">
        <v>309</v>
      </c>
      <c r="AG519" s="66">
        <v>2023</v>
      </c>
      <c r="AH519" s="10" t="s">
        <v>393</v>
      </c>
      <c r="AI519" s="2">
        <v>40</v>
      </c>
      <c r="AJ519" s="2">
        <v>2</v>
      </c>
      <c r="AK519" s="2">
        <v>1.25</v>
      </c>
    </row>
    <row r="520" spans="1:37" ht="16.2" thickBot="1" x14ac:dyDescent="0.35">
      <c r="A520" s="11">
        <v>16.507177033492798</v>
      </c>
      <c r="B520" s="11">
        <v>8593.3014354067</v>
      </c>
      <c r="C520" s="10" t="s">
        <v>33</v>
      </c>
      <c r="D520" s="10" t="s">
        <v>35</v>
      </c>
      <c r="E520" s="10" t="s">
        <v>387</v>
      </c>
      <c r="F520" s="10">
        <v>0.23</v>
      </c>
      <c r="G520" s="10">
        <v>0.4</v>
      </c>
      <c r="H520" s="10">
        <v>0.32</v>
      </c>
      <c r="I520" s="10">
        <v>0.42</v>
      </c>
      <c r="J520" s="10">
        <v>1.83</v>
      </c>
      <c r="K520" s="10">
        <v>1.06</v>
      </c>
      <c r="L520" s="10">
        <v>0</v>
      </c>
      <c r="M520" s="10">
        <v>50</v>
      </c>
      <c r="N520" s="10">
        <v>1355.4216867469879</v>
      </c>
      <c r="O520" s="10">
        <v>1.1599999999999999</v>
      </c>
      <c r="P520" s="10">
        <v>0.82399999999999995</v>
      </c>
      <c r="Q520" s="10">
        <v>36.74074074074074</v>
      </c>
      <c r="R520" s="10">
        <v>2.7</v>
      </c>
      <c r="S520" s="10" t="s">
        <v>34</v>
      </c>
      <c r="T520" s="10" t="s">
        <v>36</v>
      </c>
      <c r="U520" s="10" t="s">
        <v>388</v>
      </c>
      <c r="V520" s="10" t="s">
        <v>38</v>
      </c>
      <c r="W520" s="10">
        <v>6</v>
      </c>
      <c r="X520" s="10">
        <v>1</v>
      </c>
      <c r="Y520" s="10">
        <v>1</v>
      </c>
      <c r="Z520" s="10" t="s">
        <v>33</v>
      </c>
      <c r="AA520" s="10">
        <v>0.38219999999999998</v>
      </c>
      <c r="AB520" s="10" t="s">
        <v>34</v>
      </c>
      <c r="AC520" s="10" t="s">
        <v>40</v>
      </c>
      <c r="AD520" s="10" t="s">
        <v>277</v>
      </c>
      <c r="AE520" s="10">
        <v>9.6765000000000008</v>
      </c>
      <c r="AF520" s="10" t="s">
        <v>309</v>
      </c>
      <c r="AG520" s="66">
        <v>2023</v>
      </c>
      <c r="AH520" s="10" t="s">
        <v>393</v>
      </c>
      <c r="AI520" s="2">
        <v>40</v>
      </c>
      <c r="AJ520" s="2">
        <v>2</v>
      </c>
      <c r="AK520" s="2">
        <v>1.25</v>
      </c>
    </row>
    <row r="521" spans="1:37" ht="16.2" thickBot="1" x14ac:dyDescent="0.35">
      <c r="A521" s="11">
        <v>17.511961722488</v>
      </c>
      <c r="B521" s="11">
        <v>6220.0956937799001</v>
      </c>
      <c r="C521" s="10" t="s">
        <v>33</v>
      </c>
      <c r="D521" s="10" t="s">
        <v>35</v>
      </c>
      <c r="E521" s="10" t="s">
        <v>387</v>
      </c>
      <c r="F521" s="10">
        <v>0.23</v>
      </c>
      <c r="G521" s="10">
        <v>0.4</v>
      </c>
      <c r="H521" s="10">
        <v>0.32</v>
      </c>
      <c r="I521" s="10">
        <v>0.42</v>
      </c>
      <c r="J521" s="10">
        <v>1.83</v>
      </c>
      <c r="K521" s="10">
        <v>1.06</v>
      </c>
      <c r="L521" s="10">
        <v>0</v>
      </c>
      <c r="M521" s="10">
        <v>50</v>
      </c>
      <c r="N521" s="10">
        <v>1355.4216867469879</v>
      </c>
      <c r="O521" s="10">
        <v>1.1599999999999999</v>
      </c>
      <c r="P521" s="10">
        <v>0.82399999999999995</v>
      </c>
      <c r="Q521" s="10">
        <v>36.74074074074074</v>
      </c>
      <c r="R521" s="10">
        <v>2.7</v>
      </c>
      <c r="S521" s="10" t="s">
        <v>34</v>
      </c>
      <c r="T521" s="10" t="s">
        <v>36</v>
      </c>
      <c r="U521" s="10" t="s">
        <v>388</v>
      </c>
      <c r="V521" s="10" t="s">
        <v>38</v>
      </c>
      <c r="W521" s="10">
        <v>6</v>
      </c>
      <c r="X521" s="10">
        <v>1.25</v>
      </c>
      <c r="Y521" s="10">
        <v>1</v>
      </c>
      <c r="Z521" s="10" t="s">
        <v>33</v>
      </c>
      <c r="AA521" s="10">
        <v>0.38219999999999998</v>
      </c>
      <c r="AB521" s="10" t="s">
        <v>34</v>
      </c>
      <c r="AC521" s="10" t="s">
        <v>40</v>
      </c>
      <c r="AD521" s="10" t="s">
        <v>277</v>
      </c>
      <c r="AE521" s="10">
        <v>10.676500000000001</v>
      </c>
      <c r="AF521" s="10" t="s">
        <v>309</v>
      </c>
      <c r="AG521" s="66">
        <v>2023</v>
      </c>
      <c r="AH521" s="10" t="s">
        <v>393</v>
      </c>
      <c r="AI521" s="2">
        <v>40</v>
      </c>
      <c r="AJ521" s="2">
        <v>2</v>
      </c>
      <c r="AK521" s="2">
        <v>1.25</v>
      </c>
    </row>
    <row r="522" spans="1:37" ht="16.2" thickBot="1" x14ac:dyDescent="0.35">
      <c r="A522" s="11">
        <v>15.2392344497607</v>
      </c>
      <c r="B522" s="11">
        <v>4755.9808612440202</v>
      </c>
      <c r="C522" s="10" t="s">
        <v>33</v>
      </c>
      <c r="D522" s="10" t="s">
        <v>35</v>
      </c>
      <c r="E522" s="10" t="s">
        <v>387</v>
      </c>
      <c r="F522" s="10">
        <v>0.23</v>
      </c>
      <c r="G522" s="10">
        <v>0.4</v>
      </c>
      <c r="H522" s="10">
        <v>0.32</v>
      </c>
      <c r="I522" s="10">
        <v>0.42</v>
      </c>
      <c r="J522" s="10">
        <v>1.83</v>
      </c>
      <c r="K522" s="10">
        <v>1.06</v>
      </c>
      <c r="L522" s="10">
        <v>0</v>
      </c>
      <c r="M522" s="10">
        <v>50</v>
      </c>
      <c r="N522" s="10">
        <v>1355.4216867469879</v>
      </c>
      <c r="O522" s="10">
        <v>1.1599999999999999</v>
      </c>
      <c r="P522" s="10">
        <v>0.82399999999999995</v>
      </c>
      <c r="Q522" s="10">
        <v>36.74074074074074</v>
      </c>
      <c r="R522" s="10">
        <v>2.7</v>
      </c>
      <c r="S522" s="10" t="s">
        <v>34</v>
      </c>
      <c r="T522" s="10" t="s">
        <v>36</v>
      </c>
      <c r="U522" s="10" t="s">
        <v>388</v>
      </c>
      <c r="V522" s="10" t="s">
        <v>38</v>
      </c>
      <c r="W522" s="10">
        <v>6</v>
      </c>
      <c r="X522" s="10">
        <v>1.5</v>
      </c>
      <c r="Y522" s="10">
        <v>1</v>
      </c>
      <c r="Z522" s="10" t="s">
        <v>33</v>
      </c>
      <c r="AA522" s="10">
        <v>0.38219999999999998</v>
      </c>
      <c r="AB522" s="10" t="s">
        <v>34</v>
      </c>
      <c r="AC522" s="10" t="s">
        <v>40</v>
      </c>
      <c r="AD522" s="10" t="s">
        <v>277</v>
      </c>
      <c r="AE522" s="10">
        <v>11.676500000000001</v>
      </c>
      <c r="AF522" s="10" t="s">
        <v>309</v>
      </c>
      <c r="AG522" s="66">
        <v>2023</v>
      </c>
      <c r="AH522" s="10" t="s">
        <v>393</v>
      </c>
      <c r="AI522" s="2">
        <v>40</v>
      </c>
      <c r="AJ522" s="2">
        <v>2</v>
      </c>
      <c r="AK522" s="2">
        <v>1.25</v>
      </c>
    </row>
    <row r="523" spans="1:37" ht="16.2" thickBot="1" x14ac:dyDescent="0.35">
      <c r="A523" s="11">
        <v>13.1100478468899</v>
      </c>
      <c r="B523" s="11">
        <v>2516.7464114832501</v>
      </c>
      <c r="C523" s="10" t="s">
        <v>33</v>
      </c>
      <c r="D523" s="10" t="s">
        <v>35</v>
      </c>
      <c r="E523" s="10" t="s">
        <v>387</v>
      </c>
      <c r="F523" s="10">
        <v>0.23</v>
      </c>
      <c r="G523" s="10">
        <v>0.4</v>
      </c>
      <c r="H523" s="10">
        <v>0.32</v>
      </c>
      <c r="I523" s="10">
        <v>0.42</v>
      </c>
      <c r="J523" s="10">
        <v>1.83</v>
      </c>
      <c r="K523" s="10">
        <v>1.06</v>
      </c>
      <c r="L523" s="10">
        <v>0</v>
      </c>
      <c r="M523" s="10">
        <v>50</v>
      </c>
      <c r="N523" s="10">
        <v>1355.4216867469879</v>
      </c>
      <c r="O523" s="10">
        <v>1.1599999999999999</v>
      </c>
      <c r="P523" s="10">
        <v>0.82399999999999995</v>
      </c>
      <c r="Q523" s="10">
        <v>36.74074074074074</v>
      </c>
      <c r="R523" s="10">
        <v>2.7</v>
      </c>
      <c r="S523" s="10" t="s">
        <v>34</v>
      </c>
      <c r="T523" s="10" t="s">
        <v>36</v>
      </c>
      <c r="U523" s="10" t="s">
        <v>388</v>
      </c>
      <c r="V523" s="10" t="s">
        <v>38</v>
      </c>
      <c r="W523" s="10">
        <v>6</v>
      </c>
      <c r="X523" s="10">
        <v>1.75</v>
      </c>
      <c r="Y523" s="10">
        <v>1</v>
      </c>
      <c r="Z523" s="10" t="s">
        <v>33</v>
      </c>
      <c r="AA523" s="10">
        <v>0.38219999999999998</v>
      </c>
      <c r="AB523" s="10" t="s">
        <v>34</v>
      </c>
      <c r="AC523" s="10" t="s">
        <v>40</v>
      </c>
      <c r="AD523" s="10" t="s">
        <v>277</v>
      </c>
      <c r="AE523" s="10">
        <v>12.676500000000001</v>
      </c>
      <c r="AF523" s="10" t="s">
        <v>309</v>
      </c>
      <c r="AG523" s="66">
        <v>2023</v>
      </c>
      <c r="AH523" s="10" t="s">
        <v>393</v>
      </c>
      <c r="AI523" s="2">
        <v>40</v>
      </c>
      <c r="AJ523" s="2">
        <v>2</v>
      </c>
      <c r="AK523" s="2">
        <v>1.25</v>
      </c>
    </row>
    <row r="524" spans="1:37" ht="16.2" thickBot="1" x14ac:dyDescent="0.35">
      <c r="A524" s="11">
        <v>6.2862669245647904</v>
      </c>
      <c r="B524" s="11">
        <v>560.92843326883303</v>
      </c>
      <c r="C524" s="10" t="s">
        <v>33</v>
      </c>
      <c r="D524" s="10" t="s">
        <v>35</v>
      </c>
      <c r="E524" s="10" t="s">
        <v>387</v>
      </c>
      <c r="F524" s="10">
        <v>0.23</v>
      </c>
      <c r="G524" s="10">
        <v>0.4</v>
      </c>
      <c r="H524" s="10">
        <v>0.32</v>
      </c>
      <c r="I524" s="10">
        <v>0.42</v>
      </c>
      <c r="J524" s="10">
        <v>1.83</v>
      </c>
      <c r="K524" s="10">
        <v>1.06</v>
      </c>
      <c r="L524" s="10">
        <v>0</v>
      </c>
      <c r="M524" s="10">
        <v>50</v>
      </c>
      <c r="N524" s="10">
        <v>1355.4216867469879</v>
      </c>
      <c r="O524" s="10">
        <v>1.1599999999999999</v>
      </c>
      <c r="P524" s="10">
        <v>0.82399999999999995</v>
      </c>
      <c r="Q524" s="10">
        <v>36.74074074074074</v>
      </c>
      <c r="R524" s="10">
        <v>2.7</v>
      </c>
      <c r="S524" s="10" t="s">
        <v>34</v>
      </c>
      <c r="T524" s="10" t="s">
        <v>36</v>
      </c>
      <c r="U524" s="10" t="s">
        <v>388</v>
      </c>
      <c r="V524" s="10" t="s">
        <v>38</v>
      </c>
      <c r="W524" s="10">
        <v>3</v>
      </c>
      <c r="X524" s="10">
        <v>1</v>
      </c>
      <c r="Y524" s="10">
        <v>1</v>
      </c>
      <c r="Z524" s="10" t="s">
        <v>33</v>
      </c>
      <c r="AA524" s="10">
        <v>0.38219999999999998</v>
      </c>
      <c r="AB524" s="10" t="s">
        <v>34</v>
      </c>
      <c r="AC524" s="10" t="s">
        <v>40</v>
      </c>
      <c r="AD524" s="10" t="s">
        <v>277</v>
      </c>
      <c r="AE524" s="10">
        <v>13.676500000000001</v>
      </c>
      <c r="AF524" s="10" t="s">
        <v>309</v>
      </c>
      <c r="AG524" s="66">
        <v>2023</v>
      </c>
      <c r="AH524" s="10" t="s">
        <v>393</v>
      </c>
      <c r="AI524" s="2">
        <v>40</v>
      </c>
      <c r="AJ524" s="2">
        <v>2</v>
      </c>
      <c r="AK524" s="2">
        <v>1.25</v>
      </c>
    </row>
    <row r="525" spans="1:37" ht="16.2" thickBot="1" x14ac:dyDescent="0.35">
      <c r="A525" s="11">
        <v>9.3810444874274594</v>
      </c>
      <c r="B525" s="11">
        <v>1199.2263056092499</v>
      </c>
      <c r="C525" s="10" t="s">
        <v>33</v>
      </c>
      <c r="D525" s="10" t="s">
        <v>35</v>
      </c>
      <c r="E525" s="10" t="s">
        <v>387</v>
      </c>
      <c r="F525" s="10">
        <v>0.23</v>
      </c>
      <c r="G525" s="10">
        <v>0.4</v>
      </c>
      <c r="H525" s="10">
        <v>0.32</v>
      </c>
      <c r="I525" s="10">
        <v>0.42</v>
      </c>
      <c r="J525" s="10">
        <v>1.83</v>
      </c>
      <c r="K525" s="10">
        <v>1.06</v>
      </c>
      <c r="L525" s="10">
        <v>0</v>
      </c>
      <c r="M525" s="10">
        <v>50</v>
      </c>
      <c r="N525" s="10">
        <v>1355.4216867469879</v>
      </c>
      <c r="O525" s="10">
        <v>1.1599999999999999</v>
      </c>
      <c r="P525" s="10">
        <v>0.82399999999999995</v>
      </c>
      <c r="Q525" s="10">
        <v>36.74074074074074</v>
      </c>
      <c r="R525" s="10">
        <v>2.7</v>
      </c>
      <c r="S525" s="10" t="s">
        <v>34</v>
      </c>
      <c r="T525" s="10" t="s">
        <v>36</v>
      </c>
      <c r="U525" s="10" t="s">
        <v>388</v>
      </c>
      <c r="V525" s="10" t="s">
        <v>38</v>
      </c>
      <c r="W525" s="10">
        <v>5</v>
      </c>
      <c r="X525" s="10">
        <v>1</v>
      </c>
      <c r="Y525" s="10">
        <v>1</v>
      </c>
      <c r="Z525" s="10" t="s">
        <v>33</v>
      </c>
      <c r="AA525" s="10">
        <v>0.38219999999999998</v>
      </c>
      <c r="AB525" s="10" t="s">
        <v>34</v>
      </c>
      <c r="AC525" s="10" t="s">
        <v>40</v>
      </c>
      <c r="AD525" s="10" t="s">
        <v>277</v>
      </c>
      <c r="AE525" s="10">
        <v>14.676500000000001</v>
      </c>
      <c r="AF525" s="10" t="s">
        <v>309</v>
      </c>
      <c r="AG525" s="66">
        <v>2023</v>
      </c>
      <c r="AH525" s="10" t="s">
        <v>393</v>
      </c>
      <c r="AI525" s="2">
        <v>40</v>
      </c>
      <c r="AJ525" s="2">
        <v>2</v>
      </c>
      <c r="AK525" s="2">
        <v>1.25</v>
      </c>
    </row>
    <row r="526" spans="1:37" ht="16.2" thickBot="1" x14ac:dyDescent="0.35">
      <c r="A526" s="11">
        <v>12.693423597678899</v>
      </c>
      <c r="B526" s="11">
        <v>6402.3210831721299</v>
      </c>
      <c r="C526" s="10" t="s">
        <v>33</v>
      </c>
      <c r="D526" s="10" t="s">
        <v>35</v>
      </c>
      <c r="E526" s="10" t="s">
        <v>387</v>
      </c>
      <c r="F526" s="10">
        <v>0.23</v>
      </c>
      <c r="G526" s="10">
        <v>0.4</v>
      </c>
      <c r="H526" s="10">
        <v>0.32</v>
      </c>
      <c r="I526" s="10">
        <v>0.42</v>
      </c>
      <c r="J526" s="10">
        <v>1.83</v>
      </c>
      <c r="K526" s="10">
        <v>1.06</v>
      </c>
      <c r="L526" s="10">
        <v>0</v>
      </c>
      <c r="M526" s="10">
        <v>50</v>
      </c>
      <c r="N526" s="10">
        <v>1355.4216867469879</v>
      </c>
      <c r="O526" s="10">
        <v>1.1599999999999999</v>
      </c>
      <c r="P526" s="10">
        <v>0.82399999999999995</v>
      </c>
      <c r="Q526" s="10">
        <v>36.74074074074074</v>
      </c>
      <c r="R526" s="10">
        <v>2.7</v>
      </c>
      <c r="S526" s="10" t="s">
        <v>34</v>
      </c>
      <c r="T526" s="10" t="s">
        <v>36</v>
      </c>
      <c r="U526" s="10" t="s">
        <v>388</v>
      </c>
      <c r="V526" s="10" t="s">
        <v>38</v>
      </c>
      <c r="W526" s="10">
        <v>7</v>
      </c>
      <c r="X526" s="10">
        <v>1</v>
      </c>
      <c r="Y526" s="10">
        <v>1</v>
      </c>
      <c r="Z526" s="10" t="s">
        <v>33</v>
      </c>
      <c r="AA526" s="10">
        <v>0.38219999999999998</v>
      </c>
      <c r="AB526" s="10" t="s">
        <v>34</v>
      </c>
      <c r="AC526" s="10" t="s">
        <v>40</v>
      </c>
      <c r="AD526" s="10" t="s">
        <v>277</v>
      </c>
      <c r="AE526" s="10">
        <v>15.676500000000001</v>
      </c>
      <c r="AF526" s="10" t="s">
        <v>309</v>
      </c>
      <c r="AG526" s="66">
        <v>2023</v>
      </c>
      <c r="AH526" s="10" t="s">
        <v>393</v>
      </c>
      <c r="AI526" s="2">
        <v>40</v>
      </c>
      <c r="AJ526" s="2">
        <v>2</v>
      </c>
      <c r="AK526" s="2">
        <v>1.25</v>
      </c>
    </row>
    <row r="527" spans="1:37" ht="16.2" thickBot="1" x14ac:dyDescent="0.35">
      <c r="A527" s="11">
        <v>18.5203094777562</v>
      </c>
      <c r="B527" s="11">
        <v>11547.3887814313</v>
      </c>
      <c r="C527" s="10" t="s">
        <v>33</v>
      </c>
      <c r="D527" s="10" t="s">
        <v>35</v>
      </c>
      <c r="E527" s="10" t="s">
        <v>387</v>
      </c>
      <c r="F527" s="10">
        <v>0.23</v>
      </c>
      <c r="G527" s="10">
        <v>0.4</v>
      </c>
      <c r="H527" s="10">
        <v>0.32</v>
      </c>
      <c r="I527" s="10">
        <v>0.42</v>
      </c>
      <c r="J527" s="10">
        <v>1.83</v>
      </c>
      <c r="K527" s="10">
        <v>1.06</v>
      </c>
      <c r="L527" s="10">
        <v>0</v>
      </c>
      <c r="M527" s="10">
        <v>50</v>
      </c>
      <c r="N527" s="10">
        <v>1355.4216867469879</v>
      </c>
      <c r="O527" s="10">
        <v>1.1599999999999999</v>
      </c>
      <c r="P527" s="10">
        <v>0.82399999999999995</v>
      </c>
      <c r="Q527" s="10">
        <v>36.74074074074074</v>
      </c>
      <c r="R527" s="10">
        <v>2.7</v>
      </c>
      <c r="S527" s="10" t="s">
        <v>34</v>
      </c>
      <c r="T527" s="10" t="s">
        <v>36</v>
      </c>
      <c r="U527" s="10" t="s">
        <v>388</v>
      </c>
      <c r="V527" s="10" t="s">
        <v>38</v>
      </c>
      <c r="W527" s="10">
        <v>13</v>
      </c>
      <c r="X527" s="10">
        <v>1</v>
      </c>
      <c r="Y527" s="10">
        <v>1</v>
      </c>
      <c r="Z527" s="10" t="s">
        <v>33</v>
      </c>
      <c r="AA527" s="10">
        <v>0.38219999999999998</v>
      </c>
      <c r="AB527" s="10" t="s">
        <v>34</v>
      </c>
      <c r="AC527" s="10" t="s">
        <v>40</v>
      </c>
      <c r="AD527" s="10" t="s">
        <v>277</v>
      </c>
      <c r="AE527" s="10">
        <v>16.676500000000001</v>
      </c>
      <c r="AF527" s="10" t="s">
        <v>309</v>
      </c>
      <c r="AG527" s="66">
        <v>2023</v>
      </c>
      <c r="AH527" s="10" t="s">
        <v>393</v>
      </c>
      <c r="AI527" s="2">
        <v>40</v>
      </c>
      <c r="AJ527" s="2">
        <v>2</v>
      </c>
      <c r="AK527" s="2">
        <v>1.25</v>
      </c>
    </row>
    <row r="528" spans="1:37" ht="16.2" thickBot="1" x14ac:dyDescent="0.35">
      <c r="A528" s="11">
        <v>20.382011605415801</v>
      </c>
      <c r="B528" s="11">
        <v>13771.7601547388</v>
      </c>
      <c r="C528" s="10" t="s">
        <v>33</v>
      </c>
      <c r="D528" s="10" t="s">
        <v>35</v>
      </c>
      <c r="E528" s="10" t="s">
        <v>387</v>
      </c>
      <c r="F528" s="10">
        <v>0.23</v>
      </c>
      <c r="G528" s="10">
        <v>0.4</v>
      </c>
      <c r="H528" s="10">
        <v>0.32</v>
      </c>
      <c r="I528" s="10">
        <v>0.42</v>
      </c>
      <c r="J528" s="10">
        <v>1.83</v>
      </c>
      <c r="K528" s="10">
        <v>1.06</v>
      </c>
      <c r="L528" s="10">
        <v>0</v>
      </c>
      <c r="M528" s="10">
        <v>50</v>
      </c>
      <c r="N528" s="10">
        <v>1355.4216867469879</v>
      </c>
      <c r="O528" s="10">
        <v>1.1599999999999999</v>
      </c>
      <c r="P528" s="10">
        <v>0.82399999999999995</v>
      </c>
      <c r="Q528" s="10">
        <v>36.74074074074074</v>
      </c>
      <c r="R528" s="10">
        <v>2.7</v>
      </c>
      <c r="S528" s="10" t="s">
        <v>34</v>
      </c>
      <c r="T528" s="10" t="s">
        <v>36</v>
      </c>
      <c r="U528" s="10" t="s">
        <v>388</v>
      </c>
      <c r="V528" s="10" t="s">
        <v>38</v>
      </c>
      <c r="W528" s="10">
        <v>15</v>
      </c>
      <c r="X528" s="10">
        <v>1</v>
      </c>
      <c r="Y528" s="10">
        <v>1</v>
      </c>
      <c r="Z528" s="10" t="s">
        <v>33</v>
      </c>
      <c r="AA528" s="10">
        <v>0.38219999999999998</v>
      </c>
      <c r="AB528" s="10" t="s">
        <v>34</v>
      </c>
      <c r="AC528" s="10" t="s">
        <v>40</v>
      </c>
      <c r="AD528" s="10" t="s">
        <v>277</v>
      </c>
      <c r="AE528" s="10">
        <v>17.676500000000001</v>
      </c>
      <c r="AF528" s="10" t="s">
        <v>309</v>
      </c>
      <c r="AG528" s="66">
        <v>2023</v>
      </c>
      <c r="AH528" s="10" t="s">
        <v>393</v>
      </c>
      <c r="AI528" s="2">
        <v>40</v>
      </c>
      <c r="AJ528" s="2">
        <v>2</v>
      </c>
      <c r="AK528" s="2">
        <v>1.25</v>
      </c>
    </row>
    <row r="529" spans="1:37" ht="16.2" thickBot="1" x14ac:dyDescent="0.35">
      <c r="A529" s="11">
        <v>21.179883945841301</v>
      </c>
      <c r="B529" s="11">
        <v>14603.4816247582</v>
      </c>
      <c r="C529" s="10" t="s">
        <v>33</v>
      </c>
      <c r="D529" s="10" t="s">
        <v>35</v>
      </c>
      <c r="E529" s="10" t="s">
        <v>387</v>
      </c>
      <c r="F529" s="10">
        <v>0.23</v>
      </c>
      <c r="G529" s="10">
        <v>0.4</v>
      </c>
      <c r="H529" s="10">
        <v>0.32</v>
      </c>
      <c r="I529" s="10">
        <v>0.42</v>
      </c>
      <c r="J529" s="10">
        <v>1.83</v>
      </c>
      <c r="K529" s="10">
        <v>1.06</v>
      </c>
      <c r="L529" s="10">
        <v>0</v>
      </c>
      <c r="M529" s="10">
        <v>50</v>
      </c>
      <c r="N529" s="10">
        <v>1355.4216867469879</v>
      </c>
      <c r="O529" s="10">
        <v>1.1599999999999999</v>
      </c>
      <c r="P529" s="10">
        <v>0.82399999999999995</v>
      </c>
      <c r="Q529" s="10">
        <v>36.74074074074074</v>
      </c>
      <c r="R529" s="10">
        <v>2.7</v>
      </c>
      <c r="S529" s="10" t="s">
        <v>34</v>
      </c>
      <c r="T529" s="10" t="s">
        <v>36</v>
      </c>
      <c r="U529" s="10" t="s">
        <v>388</v>
      </c>
      <c r="V529" s="10" t="s">
        <v>38</v>
      </c>
      <c r="W529" s="10">
        <v>17</v>
      </c>
      <c r="X529" s="10">
        <v>1</v>
      </c>
      <c r="Y529" s="10">
        <v>1</v>
      </c>
      <c r="Z529" s="10" t="s">
        <v>33</v>
      </c>
      <c r="AA529" s="10">
        <v>0.38219999999999998</v>
      </c>
      <c r="AB529" s="10" t="s">
        <v>34</v>
      </c>
      <c r="AC529" s="10" t="s">
        <v>40</v>
      </c>
      <c r="AD529" s="10" t="s">
        <v>277</v>
      </c>
      <c r="AE529" s="10">
        <v>18.676500000000001</v>
      </c>
      <c r="AF529" s="10" t="s">
        <v>309</v>
      </c>
      <c r="AG529" s="66">
        <v>2023</v>
      </c>
      <c r="AH529" s="10" t="s">
        <v>393</v>
      </c>
      <c r="AI529" s="2">
        <v>40</v>
      </c>
      <c r="AJ529" s="2">
        <v>2</v>
      </c>
      <c r="AK529" s="2">
        <v>1.25</v>
      </c>
    </row>
    <row r="530" spans="1:37" ht="16.2" thickBot="1" x14ac:dyDescent="0.35">
      <c r="A530" s="17">
        <v>21.784332688588002</v>
      </c>
      <c r="B530" s="17">
        <v>15183.7524177949</v>
      </c>
      <c r="C530" s="14" t="s">
        <v>33</v>
      </c>
      <c r="D530" s="14" t="s">
        <v>35</v>
      </c>
      <c r="E530" s="14" t="s">
        <v>387</v>
      </c>
      <c r="F530" s="14">
        <v>0.23</v>
      </c>
      <c r="G530" s="14">
        <v>0.4</v>
      </c>
      <c r="H530" s="14">
        <v>0.32</v>
      </c>
      <c r="I530" s="14">
        <v>0.42</v>
      </c>
      <c r="J530" s="14">
        <v>1.83</v>
      </c>
      <c r="K530" s="14">
        <v>1.06</v>
      </c>
      <c r="L530" s="14">
        <v>0</v>
      </c>
      <c r="M530" s="14">
        <v>50</v>
      </c>
      <c r="N530" s="14">
        <v>1355.4216867469879</v>
      </c>
      <c r="O530" s="14">
        <v>1.1599999999999999</v>
      </c>
      <c r="P530" s="14">
        <v>0.82399999999999995</v>
      </c>
      <c r="Q530" s="14">
        <v>36.74074074074074</v>
      </c>
      <c r="R530" s="14">
        <v>2.7</v>
      </c>
      <c r="S530" s="14" t="s">
        <v>34</v>
      </c>
      <c r="T530" s="14" t="s">
        <v>36</v>
      </c>
      <c r="U530" s="14" t="s">
        <v>388</v>
      </c>
      <c r="V530" s="14" t="s">
        <v>38</v>
      </c>
      <c r="W530" s="14">
        <v>19</v>
      </c>
      <c r="X530" s="14">
        <v>1</v>
      </c>
      <c r="Y530" s="14">
        <v>1</v>
      </c>
      <c r="Z530" s="14" t="s">
        <v>33</v>
      </c>
      <c r="AA530" s="14">
        <v>0.38219999999999998</v>
      </c>
      <c r="AB530" s="14" t="s">
        <v>34</v>
      </c>
      <c r="AC530" s="14" t="s">
        <v>40</v>
      </c>
      <c r="AD530" s="14" t="s">
        <v>277</v>
      </c>
      <c r="AE530" s="14">
        <v>19.676500000000001</v>
      </c>
      <c r="AF530" s="14" t="s">
        <v>309</v>
      </c>
      <c r="AG530" s="66">
        <v>2023</v>
      </c>
      <c r="AH530" s="14" t="s">
        <v>393</v>
      </c>
      <c r="AI530" s="15">
        <v>40</v>
      </c>
      <c r="AJ530" s="15">
        <v>2</v>
      </c>
      <c r="AK530" s="15">
        <v>1.25</v>
      </c>
    </row>
    <row r="531" spans="1:37" x14ac:dyDescent="0.3">
      <c r="A531" s="65">
        <v>1.0201691607026599</v>
      </c>
      <c r="B531" s="65">
        <v>4.8426150121067604</v>
      </c>
      <c r="C531" s="66" t="s">
        <v>34</v>
      </c>
      <c r="D531" s="66" t="s">
        <v>394</v>
      </c>
      <c r="E531" s="66" t="s">
        <v>387</v>
      </c>
      <c r="F531" s="66" t="s">
        <v>34</v>
      </c>
      <c r="G531" s="66" t="s">
        <v>34</v>
      </c>
      <c r="H531" s="13" t="s">
        <v>34</v>
      </c>
      <c r="I531" s="66" t="s">
        <v>34</v>
      </c>
      <c r="J531" s="66" t="s">
        <v>34</v>
      </c>
      <c r="K531" s="66" t="s">
        <v>34</v>
      </c>
      <c r="L531" s="66">
        <v>0</v>
      </c>
      <c r="M531" s="66">
        <v>34.1</v>
      </c>
      <c r="N531" s="66">
        <v>1400.49</v>
      </c>
      <c r="O531" s="66">
        <v>1.143</v>
      </c>
      <c r="P531" s="66">
        <v>0.84099999999999997</v>
      </c>
      <c r="Q531" s="66">
        <v>36.4</v>
      </c>
      <c r="R531" s="66">
        <v>2.8570000000000002</v>
      </c>
      <c r="S531" s="66" t="s">
        <v>34</v>
      </c>
      <c r="T531" s="66" t="s">
        <v>49</v>
      </c>
      <c r="U531" s="66" t="s">
        <v>362</v>
      </c>
      <c r="V531" s="66" t="s">
        <v>38</v>
      </c>
      <c r="W531" s="66" t="s">
        <v>43</v>
      </c>
      <c r="X531" s="66">
        <v>0.5</v>
      </c>
      <c r="Y531" s="66">
        <v>1</v>
      </c>
      <c r="Z531" s="66" t="s">
        <v>339</v>
      </c>
      <c r="AA531" s="66">
        <v>0.47339999999999999</v>
      </c>
      <c r="AB531" s="66" t="s">
        <v>34</v>
      </c>
      <c r="AC531" s="66" t="s">
        <v>391</v>
      </c>
      <c r="AD531" s="66" t="s">
        <v>277</v>
      </c>
      <c r="AE531" s="66">
        <v>0.86780000000000002</v>
      </c>
      <c r="AF531" s="66" t="s">
        <v>395</v>
      </c>
      <c r="AG531" s="66">
        <v>2024</v>
      </c>
      <c r="AH531" s="66" t="s">
        <v>396</v>
      </c>
      <c r="AI531" s="67">
        <v>50</v>
      </c>
      <c r="AJ531" s="67">
        <v>2</v>
      </c>
      <c r="AK531" s="67" t="s">
        <v>34</v>
      </c>
    </row>
    <row r="532" spans="1:37" x14ac:dyDescent="0.3">
      <c r="A532" s="11">
        <v>1.5510735198438499</v>
      </c>
      <c r="B532" s="11">
        <v>5.6497175141243998</v>
      </c>
      <c r="C532" s="10" t="s">
        <v>34</v>
      </c>
      <c r="D532" s="10" t="s">
        <v>394</v>
      </c>
      <c r="E532" s="10" t="s">
        <v>387</v>
      </c>
      <c r="F532" s="10" t="s">
        <v>34</v>
      </c>
      <c r="G532" s="10" t="s">
        <v>34</v>
      </c>
      <c r="H532" s="10" t="s">
        <v>34</v>
      </c>
      <c r="I532" s="10" t="s">
        <v>34</v>
      </c>
      <c r="J532" s="10" t="s">
        <v>34</v>
      </c>
      <c r="K532" s="10" t="s">
        <v>34</v>
      </c>
      <c r="L532" s="10">
        <v>0</v>
      </c>
      <c r="M532" s="10">
        <v>34.1</v>
      </c>
      <c r="N532" s="10">
        <v>1400.49</v>
      </c>
      <c r="O532" s="10">
        <v>1.143</v>
      </c>
      <c r="P532" s="10">
        <v>0.84099999999999997</v>
      </c>
      <c r="Q532" s="10">
        <v>36.4</v>
      </c>
      <c r="R532" s="10">
        <v>2.8570000000000002</v>
      </c>
      <c r="S532" s="10" t="s">
        <v>34</v>
      </c>
      <c r="T532" s="10" t="s">
        <v>49</v>
      </c>
      <c r="U532" s="10" t="s">
        <v>362</v>
      </c>
      <c r="V532" s="10" t="s">
        <v>38</v>
      </c>
      <c r="W532" s="10" t="s">
        <v>43</v>
      </c>
      <c r="X532" s="10">
        <v>0.5</v>
      </c>
      <c r="Y532" s="10">
        <v>1</v>
      </c>
      <c r="Z532" s="10" t="s">
        <v>339</v>
      </c>
      <c r="AA532" s="10">
        <v>0.47339999999999999</v>
      </c>
      <c r="AB532" s="10" t="s">
        <v>34</v>
      </c>
      <c r="AC532" s="10" t="s">
        <v>391</v>
      </c>
      <c r="AD532" s="10" t="s">
        <v>277</v>
      </c>
      <c r="AE532" s="10">
        <v>0.86780000000000002</v>
      </c>
      <c r="AF532" s="10" t="s">
        <v>395</v>
      </c>
      <c r="AG532" s="10">
        <v>2024</v>
      </c>
      <c r="AH532" s="10" t="s">
        <v>396</v>
      </c>
      <c r="AI532" s="2">
        <v>50</v>
      </c>
      <c r="AJ532" s="2">
        <v>2</v>
      </c>
      <c r="AK532" s="2" t="s">
        <v>34</v>
      </c>
    </row>
    <row r="533" spans="1:37" x14ac:dyDescent="0.3">
      <c r="A533" s="11">
        <v>2.6441119063109899</v>
      </c>
      <c r="B533" s="11">
        <v>16.9491525423729</v>
      </c>
      <c r="C533" s="10" t="s">
        <v>34</v>
      </c>
      <c r="D533" s="10" t="s">
        <v>394</v>
      </c>
      <c r="E533" s="10" t="s">
        <v>387</v>
      </c>
      <c r="F533" s="10" t="s">
        <v>34</v>
      </c>
      <c r="G533" s="10" t="s">
        <v>34</v>
      </c>
      <c r="H533" s="10" t="s">
        <v>34</v>
      </c>
      <c r="I533" s="10" t="s">
        <v>34</v>
      </c>
      <c r="J533" s="10" t="s">
        <v>34</v>
      </c>
      <c r="K533" s="10" t="s">
        <v>34</v>
      </c>
      <c r="L533" s="10">
        <v>0</v>
      </c>
      <c r="M533" s="10">
        <v>34.1</v>
      </c>
      <c r="N533" s="10">
        <v>1400.49</v>
      </c>
      <c r="O533" s="10">
        <v>1.143</v>
      </c>
      <c r="P533" s="10">
        <v>0.84099999999999997</v>
      </c>
      <c r="Q533" s="10">
        <v>36.4</v>
      </c>
      <c r="R533" s="10">
        <v>2.8570000000000002</v>
      </c>
      <c r="S533" s="10" t="s">
        <v>34</v>
      </c>
      <c r="T533" s="10" t="s">
        <v>49</v>
      </c>
      <c r="U533" s="10" t="s">
        <v>362</v>
      </c>
      <c r="V533" s="10" t="s">
        <v>38</v>
      </c>
      <c r="W533" s="10" t="s">
        <v>43</v>
      </c>
      <c r="X533" s="10">
        <v>0.5</v>
      </c>
      <c r="Y533" s="10">
        <v>1</v>
      </c>
      <c r="Z533" s="10" t="s">
        <v>339</v>
      </c>
      <c r="AA533" s="10">
        <v>0.47339999999999999</v>
      </c>
      <c r="AB533" s="10" t="s">
        <v>34</v>
      </c>
      <c r="AC533" s="10" t="s">
        <v>391</v>
      </c>
      <c r="AD533" s="10" t="s">
        <v>277</v>
      </c>
      <c r="AE533" s="10">
        <v>0.86780000000000002</v>
      </c>
      <c r="AF533" s="10" t="s">
        <v>395</v>
      </c>
      <c r="AG533" s="10">
        <v>2024</v>
      </c>
      <c r="AH533" s="10" t="s">
        <v>396</v>
      </c>
      <c r="AI533" s="2">
        <v>50</v>
      </c>
      <c r="AJ533" s="2">
        <v>2</v>
      </c>
      <c r="AK533" s="2" t="s">
        <v>34</v>
      </c>
    </row>
    <row r="534" spans="1:37" x14ac:dyDescent="0.3">
      <c r="A534" s="11">
        <v>3.38321405335068</v>
      </c>
      <c r="B534" s="11">
        <v>21.791767554479499</v>
      </c>
      <c r="C534" s="10" t="s">
        <v>34</v>
      </c>
      <c r="D534" s="10" t="s">
        <v>394</v>
      </c>
      <c r="E534" s="10" t="s">
        <v>387</v>
      </c>
      <c r="F534" s="10" t="s">
        <v>34</v>
      </c>
      <c r="G534" s="10" t="s">
        <v>34</v>
      </c>
      <c r="H534" s="10" t="s">
        <v>34</v>
      </c>
      <c r="I534" s="10" t="s">
        <v>34</v>
      </c>
      <c r="J534" s="10" t="s">
        <v>34</v>
      </c>
      <c r="K534" s="10" t="s">
        <v>34</v>
      </c>
      <c r="L534" s="10">
        <v>0</v>
      </c>
      <c r="M534" s="10">
        <v>34.1</v>
      </c>
      <c r="N534" s="10">
        <v>1400.49</v>
      </c>
      <c r="O534" s="10">
        <v>1.143</v>
      </c>
      <c r="P534" s="10">
        <v>0.84099999999999997</v>
      </c>
      <c r="Q534" s="10">
        <v>36.4</v>
      </c>
      <c r="R534" s="10">
        <v>2.8570000000000002</v>
      </c>
      <c r="S534" s="10" t="s">
        <v>34</v>
      </c>
      <c r="T534" s="10" t="s">
        <v>49</v>
      </c>
      <c r="U534" s="10" t="s">
        <v>362</v>
      </c>
      <c r="V534" s="10" t="s">
        <v>38</v>
      </c>
      <c r="W534" s="10" t="s">
        <v>43</v>
      </c>
      <c r="X534" s="10">
        <v>0.5</v>
      </c>
      <c r="Y534" s="10">
        <v>1</v>
      </c>
      <c r="Z534" s="10" t="s">
        <v>339</v>
      </c>
      <c r="AA534" s="10">
        <v>0.47339999999999999</v>
      </c>
      <c r="AB534" s="10" t="s">
        <v>34</v>
      </c>
      <c r="AC534" s="10" t="s">
        <v>391</v>
      </c>
      <c r="AD534" s="10" t="s">
        <v>277</v>
      </c>
      <c r="AE534" s="10">
        <v>0.86780000000000002</v>
      </c>
      <c r="AF534" s="10" t="s">
        <v>395</v>
      </c>
      <c r="AG534" s="10">
        <v>2024</v>
      </c>
      <c r="AH534" s="10" t="s">
        <v>396</v>
      </c>
      <c r="AI534" s="2">
        <v>50</v>
      </c>
      <c r="AJ534" s="2">
        <v>2</v>
      </c>
      <c r="AK534" s="2" t="s">
        <v>34</v>
      </c>
    </row>
    <row r="535" spans="1:37" x14ac:dyDescent="0.3">
      <c r="A535" s="11">
        <v>4.5178919973975296</v>
      </c>
      <c r="B535" s="11">
        <v>27.4414850686039</v>
      </c>
      <c r="C535" s="10" t="s">
        <v>34</v>
      </c>
      <c r="D535" s="10" t="s">
        <v>394</v>
      </c>
      <c r="E535" s="10" t="s">
        <v>387</v>
      </c>
      <c r="F535" s="10" t="s">
        <v>34</v>
      </c>
      <c r="G535" s="10" t="s">
        <v>34</v>
      </c>
      <c r="H535" s="10" t="s">
        <v>34</v>
      </c>
      <c r="I535" s="10" t="s">
        <v>34</v>
      </c>
      <c r="J535" s="10" t="s">
        <v>34</v>
      </c>
      <c r="K535" s="10" t="s">
        <v>34</v>
      </c>
      <c r="L535" s="10">
        <v>0</v>
      </c>
      <c r="M535" s="10">
        <v>34.1</v>
      </c>
      <c r="N535" s="10">
        <v>1400.49</v>
      </c>
      <c r="O535" s="10">
        <v>1.143</v>
      </c>
      <c r="P535" s="10">
        <v>0.84099999999999997</v>
      </c>
      <c r="Q535" s="10">
        <v>36.4</v>
      </c>
      <c r="R535" s="10">
        <v>2.8570000000000002</v>
      </c>
      <c r="S535" s="10" t="s">
        <v>34</v>
      </c>
      <c r="T535" s="10" t="s">
        <v>49</v>
      </c>
      <c r="U535" s="10" t="s">
        <v>362</v>
      </c>
      <c r="V535" s="10" t="s">
        <v>38</v>
      </c>
      <c r="W535" s="10" t="s">
        <v>43</v>
      </c>
      <c r="X535" s="10">
        <v>0.5</v>
      </c>
      <c r="Y535" s="10">
        <v>1</v>
      </c>
      <c r="Z535" s="10" t="s">
        <v>339</v>
      </c>
      <c r="AA535" s="10">
        <v>0.47339999999999999</v>
      </c>
      <c r="AB535" s="10" t="s">
        <v>34</v>
      </c>
      <c r="AC535" s="10" t="s">
        <v>391</v>
      </c>
      <c r="AD535" s="10" t="s">
        <v>277</v>
      </c>
      <c r="AE535" s="10">
        <v>0.86780000000000002</v>
      </c>
      <c r="AF535" s="10" t="s">
        <v>395</v>
      </c>
      <c r="AG535" s="10">
        <v>2024</v>
      </c>
      <c r="AH535" s="10" t="s">
        <v>396</v>
      </c>
      <c r="AI535" s="2">
        <v>50</v>
      </c>
      <c r="AJ535" s="2">
        <v>2</v>
      </c>
      <c r="AK535" s="2" t="s">
        <v>34</v>
      </c>
    </row>
    <row r="536" spans="1:37" x14ac:dyDescent="0.3">
      <c r="A536" s="11">
        <v>5.17371502927781</v>
      </c>
      <c r="B536" s="11">
        <v>38.7409200968522</v>
      </c>
      <c r="C536" s="10" t="s">
        <v>34</v>
      </c>
      <c r="D536" s="10" t="s">
        <v>394</v>
      </c>
      <c r="E536" s="10" t="s">
        <v>387</v>
      </c>
      <c r="F536" s="10" t="s">
        <v>34</v>
      </c>
      <c r="G536" s="10" t="s">
        <v>34</v>
      </c>
      <c r="H536" s="10" t="s">
        <v>34</v>
      </c>
      <c r="I536" s="10" t="s">
        <v>34</v>
      </c>
      <c r="J536" s="10" t="s">
        <v>34</v>
      </c>
      <c r="K536" s="10" t="s">
        <v>34</v>
      </c>
      <c r="L536" s="10">
        <v>0</v>
      </c>
      <c r="M536" s="10">
        <v>34.1</v>
      </c>
      <c r="N536" s="10">
        <v>1400.49</v>
      </c>
      <c r="O536" s="10">
        <v>1.143</v>
      </c>
      <c r="P536" s="10">
        <v>0.84099999999999997</v>
      </c>
      <c r="Q536" s="10">
        <v>36.4</v>
      </c>
      <c r="R536" s="10">
        <v>2.8570000000000002</v>
      </c>
      <c r="S536" s="10" t="s">
        <v>34</v>
      </c>
      <c r="T536" s="10" t="s">
        <v>49</v>
      </c>
      <c r="U536" s="10" t="s">
        <v>362</v>
      </c>
      <c r="V536" s="10" t="s">
        <v>38</v>
      </c>
      <c r="W536" s="10" t="s">
        <v>43</v>
      </c>
      <c r="X536" s="10">
        <v>0.5</v>
      </c>
      <c r="Y536" s="10">
        <v>1</v>
      </c>
      <c r="Z536" s="10" t="s">
        <v>339</v>
      </c>
      <c r="AA536" s="10">
        <v>0.47339999999999999</v>
      </c>
      <c r="AB536" s="10" t="s">
        <v>34</v>
      </c>
      <c r="AC536" s="10" t="s">
        <v>391</v>
      </c>
      <c r="AD536" s="10" t="s">
        <v>277</v>
      </c>
      <c r="AE536" s="10">
        <v>0.86780000000000002</v>
      </c>
      <c r="AF536" s="10" t="s">
        <v>395</v>
      </c>
      <c r="AG536" s="10">
        <v>2024</v>
      </c>
      <c r="AH536" s="10" t="s">
        <v>396</v>
      </c>
      <c r="AI536" s="2">
        <v>50</v>
      </c>
      <c r="AJ536" s="2">
        <v>2</v>
      </c>
      <c r="AK536" s="2" t="s">
        <v>34</v>
      </c>
    </row>
    <row r="537" spans="1:37" x14ac:dyDescent="0.3">
      <c r="A537" s="11">
        <v>5.8295380611581002</v>
      </c>
      <c r="B537" s="11">
        <v>58.111380145278503</v>
      </c>
      <c r="C537" s="10" t="s">
        <v>34</v>
      </c>
      <c r="D537" s="10" t="s">
        <v>394</v>
      </c>
      <c r="E537" s="10" t="s">
        <v>387</v>
      </c>
      <c r="F537" s="10" t="s">
        <v>34</v>
      </c>
      <c r="G537" s="10" t="s">
        <v>34</v>
      </c>
      <c r="H537" s="10" t="s">
        <v>34</v>
      </c>
      <c r="I537" s="10" t="s">
        <v>34</v>
      </c>
      <c r="J537" s="10" t="s">
        <v>34</v>
      </c>
      <c r="K537" s="10" t="s">
        <v>34</v>
      </c>
      <c r="L537" s="10">
        <v>0</v>
      </c>
      <c r="M537" s="10">
        <v>34.1</v>
      </c>
      <c r="N537" s="10">
        <v>1400.49</v>
      </c>
      <c r="O537" s="10">
        <v>1.143</v>
      </c>
      <c r="P537" s="10">
        <v>0.84099999999999997</v>
      </c>
      <c r="Q537" s="10">
        <v>36.4</v>
      </c>
      <c r="R537" s="10">
        <v>2.8570000000000002</v>
      </c>
      <c r="S537" s="10" t="s">
        <v>34</v>
      </c>
      <c r="T537" s="10" t="s">
        <v>49</v>
      </c>
      <c r="U537" s="10" t="s">
        <v>362</v>
      </c>
      <c r="V537" s="10" t="s">
        <v>38</v>
      </c>
      <c r="W537" s="10" t="s">
        <v>43</v>
      </c>
      <c r="X537" s="10">
        <v>0.5</v>
      </c>
      <c r="Y537" s="10">
        <v>1</v>
      </c>
      <c r="Z537" s="10" t="s">
        <v>339</v>
      </c>
      <c r="AA537" s="10">
        <v>0.47339999999999999</v>
      </c>
      <c r="AB537" s="10" t="s">
        <v>34</v>
      </c>
      <c r="AC537" s="10" t="s">
        <v>391</v>
      </c>
      <c r="AD537" s="10" t="s">
        <v>277</v>
      </c>
      <c r="AE537" s="10">
        <v>0.86780000000000002</v>
      </c>
      <c r="AF537" s="10" t="s">
        <v>395</v>
      </c>
      <c r="AG537" s="10">
        <v>2024</v>
      </c>
      <c r="AH537" s="10" t="s">
        <v>396</v>
      </c>
      <c r="AI537" s="2">
        <v>50</v>
      </c>
      <c r="AJ537" s="2">
        <v>2</v>
      </c>
      <c r="AK537" s="2" t="s">
        <v>34</v>
      </c>
    </row>
    <row r="538" spans="1:37" x14ac:dyDescent="0.3">
      <c r="A538" s="11">
        <v>6.91216655823031</v>
      </c>
      <c r="B538" s="11">
        <v>30.669895076674901</v>
      </c>
      <c r="C538" s="10" t="s">
        <v>34</v>
      </c>
      <c r="D538" s="10" t="s">
        <v>394</v>
      </c>
      <c r="E538" s="10" t="s">
        <v>387</v>
      </c>
      <c r="F538" s="10" t="s">
        <v>34</v>
      </c>
      <c r="G538" s="10" t="s">
        <v>34</v>
      </c>
      <c r="H538" s="10" t="s">
        <v>34</v>
      </c>
      <c r="I538" s="10" t="s">
        <v>34</v>
      </c>
      <c r="J538" s="10" t="s">
        <v>34</v>
      </c>
      <c r="K538" s="10" t="s">
        <v>34</v>
      </c>
      <c r="L538" s="10">
        <v>0</v>
      </c>
      <c r="M538" s="10">
        <v>34.1</v>
      </c>
      <c r="N538" s="10">
        <v>1400.49</v>
      </c>
      <c r="O538" s="10">
        <v>1.143</v>
      </c>
      <c r="P538" s="10">
        <v>0.84099999999999997</v>
      </c>
      <c r="Q538" s="10">
        <v>36.4</v>
      </c>
      <c r="R538" s="10">
        <v>2.8570000000000002</v>
      </c>
      <c r="S538" s="10" t="s">
        <v>34</v>
      </c>
      <c r="T538" s="10" t="s">
        <v>49</v>
      </c>
      <c r="U538" s="10" t="s">
        <v>362</v>
      </c>
      <c r="V538" s="10" t="s">
        <v>38</v>
      </c>
      <c r="W538" s="10" t="s">
        <v>43</v>
      </c>
      <c r="X538" s="10">
        <v>0.5</v>
      </c>
      <c r="Y538" s="10">
        <v>1</v>
      </c>
      <c r="Z538" s="10" t="s">
        <v>339</v>
      </c>
      <c r="AA538" s="10">
        <v>0.47339999999999999</v>
      </c>
      <c r="AB538" s="10" t="s">
        <v>34</v>
      </c>
      <c r="AC538" s="10" t="s">
        <v>391</v>
      </c>
      <c r="AD538" s="10" t="s">
        <v>277</v>
      </c>
      <c r="AE538" s="10">
        <v>0.86780000000000002</v>
      </c>
      <c r="AF538" s="10" t="s">
        <v>395</v>
      </c>
      <c r="AG538" s="10">
        <v>2024</v>
      </c>
      <c r="AH538" s="10" t="s">
        <v>396</v>
      </c>
      <c r="AI538" s="2">
        <v>50</v>
      </c>
      <c r="AJ538" s="2">
        <v>2</v>
      </c>
      <c r="AK538" s="2" t="s">
        <v>34</v>
      </c>
    </row>
    <row r="539" spans="1:37" x14ac:dyDescent="0.3">
      <c r="A539" s="11">
        <v>6.6206896551724101</v>
      </c>
      <c r="B539" s="11">
        <v>45.197740112994502</v>
      </c>
      <c r="C539" s="10" t="s">
        <v>34</v>
      </c>
      <c r="D539" s="10" t="s">
        <v>394</v>
      </c>
      <c r="E539" s="10" t="s">
        <v>387</v>
      </c>
      <c r="F539" s="10" t="s">
        <v>34</v>
      </c>
      <c r="G539" s="10" t="s">
        <v>34</v>
      </c>
      <c r="H539" s="10" t="s">
        <v>34</v>
      </c>
      <c r="I539" s="10" t="s">
        <v>34</v>
      </c>
      <c r="J539" s="10" t="s">
        <v>34</v>
      </c>
      <c r="K539" s="10" t="s">
        <v>34</v>
      </c>
      <c r="L539" s="10">
        <v>0</v>
      </c>
      <c r="M539" s="10">
        <v>34.1</v>
      </c>
      <c r="N539" s="10">
        <v>1400.49</v>
      </c>
      <c r="O539" s="10">
        <v>1.143</v>
      </c>
      <c r="P539" s="10">
        <v>0.84099999999999997</v>
      </c>
      <c r="Q539" s="10">
        <v>36.4</v>
      </c>
      <c r="R539" s="10">
        <v>2.8570000000000002</v>
      </c>
      <c r="S539" s="10" t="s">
        <v>34</v>
      </c>
      <c r="T539" s="10" t="s">
        <v>49</v>
      </c>
      <c r="U539" s="10" t="s">
        <v>362</v>
      </c>
      <c r="V539" s="10" t="s">
        <v>38</v>
      </c>
      <c r="W539" s="10" t="s">
        <v>43</v>
      </c>
      <c r="X539" s="10">
        <v>0.5</v>
      </c>
      <c r="Y539" s="10">
        <v>1</v>
      </c>
      <c r="Z539" s="10" t="s">
        <v>339</v>
      </c>
      <c r="AA539" s="10">
        <v>0.47339999999999999</v>
      </c>
      <c r="AB539" s="10" t="s">
        <v>34</v>
      </c>
      <c r="AC539" s="10" t="s">
        <v>391</v>
      </c>
      <c r="AD539" s="10" t="s">
        <v>277</v>
      </c>
      <c r="AE539" s="10">
        <v>0.86780000000000002</v>
      </c>
      <c r="AF539" s="10" t="s">
        <v>395</v>
      </c>
      <c r="AG539" s="10">
        <v>2024</v>
      </c>
      <c r="AH539" s="10" t="s">
        <v>396</v>
      </c>
      <c r="AI539" s="2">
        <v>50</v>
      </c>
      <c r="AJ539" s="2">
        <v>2</v>
      </c>
      <c r="AK539" s="2" t="s">
        <v>34</v>
      </c>
    </row>
    <row r="540" spans="1:37" x14ac:dyDescent="0.3">
      <c r="A540" s="11">
        <v>6.5270006506180804</v>
      </c>
      <c r="B540" s="11">
        <v>58.111380145278503</v>
      </c>
      <c r="C540" s="10" t="s">
        <v>34</v>
      </c>
      <c r="D540" s="10" t="s">
        <v>394</v>
      </c>
      <c r="E540" s="10" t="s">
        <v>387</v>
      </c>
      <c r="F540" s="10" t="s">
        <v>34</v>
      </c>
      <c r="G540" s="10" t="s">
        <v>34</v>
      </c>
      <c r="H540" s="10" t="s">
        <v>34</v>
      </c>
      <c r="I540" s="10" t="s">
        <v>34</v>
      </c>
      <c r="J540" s="10" t="s">
        <v>34</v>
      </c>
      <c r="K540" s="10" t="s">
        <v>34</v>
      </c>
      <c r="L540" s="10">
        <v>0</v>
      </c>
      <c r="M540" s="10">
        <v>34.1</v>
      </c>
      <c r="N540" s="10">
        <v>1400.49</v>
      </c>
      <c r="O540" s="10">
        <v>1.143</v>
      </c>
      <c r="P540" s="10">
        <v>0.84099999999999997</v>
      </c>
      <c r="Q540" s="10">
        <v>36.4</v>
      </c>
      <c r="R540" s="10">
        <v>2.8570000000000002</v>
      </c>
      <c r="S540" s="10" t="s">
        <v>34</v>
      </c>
      <c r="T540" s="10" t="s">
        <v>49</v>
      </c>
      <c r="U540" s="10" t="s">
        <v>362</v>
      </c>
      <c r="V540" s="10" t="s">
        <v>38</v>
      </c>
      <c r="W540" s="10" t="s">
        <v>43</v>
      </c>
      <c r="X540" s="10">
        <v>0.5</v>
      </c>
      <c r="Y540" s="10">
        <v>1</v>
      </c>
      <c r="Z540" s="10" t="s">
        <v>339</v>
      </c>
      <c r="AA540" s="10">
        <v>0.47339999999999999</v>
      </c>
      <c r="AB540" s="10" t="s">
        <v>34</v>
      </c>
      <c r="AC540" s="10" t="s">
        <v>391</v>
      </c>
      <c r="AD540" s="10" t="s">
        <v>277</v>
      </c>
      <c r="AE540" s="10">
        <v>0.86780000000000002</v>
      </c>
      <c r="AF540" s="10" t="s">
        <v>395</v>
      </c>
      <c r="AG540" s="10">
        <v>2024</v>
      </c>
      <c r="AH540" s="10" t="s">
        <v>396</v>
      </c>
      <c r="AI540" s="2">
        <v>50</v>
      </c>
      <c r="AJ540" s="2">
        <v>2</v>
      </c>
      <c r="AK540" s="2" t="s">
        <v>34</v>
      </c>
    </row>
    <row r="541" spans="1:37" x14ac:dyDescent="0.3">
      <c r="A541" s="11">
        <v>6.46454131424853</v>
      </c>
      <c r="B541" s="11">
        <v>92.009685230024104</v>
      </c>
      <c r="C541" s="10" t="s">
        <v>34</v>
      </c>
      <c r="D541" s="10" t="s">
        <v>394</v>
      </c>
      <c r="E541" s="10" t="s">
        <v>387</v>
      </c>
      <c r="F541" s="10" t="s">
        <v>34</v>
      </c>
      <c r="G541" s="10" t="s">
        <v>34</v>
      </c>
      <c r="H541" s="10" t="s">
        <v>34</v>
      </c>
      <c r="I541" s="10" t="s">
        <v>34</v>
      </c>
      <c r="J541" s="10" t="s">
        <v>34</v>
      </c>
      <c r="K541" s="10" t="s">
        <v>34</v>
      </c>
      <c r="L541" s="10">
        <v>0</v>
      </c>
      <c r="M541" s="10">
        <v>34.1</v>
      </c>
      <c r="N541" s="10">
        <v>1400.49</v>
      </c>
      <c r="O541" s="10">
        <v>1.143</v>
      </c>
      <c r="P541" s="10">
        <v>0.84099999999999997</v>
      </c>
      <c r="Q541" s="10">
        <v>36.4</v>
      </c>
      <c r="R541" s="10">
        <v>2.8570000000000002</v>
      </c>
      <c r="S541" s="10" t="s">
        <v>34</v>
      </c>
      <c r="T541" s="10" t="s">
        <v>49</v>
      </c>
      <c r="U541" s="10" t="s">
        <v>362</v>
      </c>
      <c r="V541" s="10" t="s">
        <v>38</v>
      </c>
      <c r="W541" s="10" t="s">
        <v>43</v>
      </c>
      <c r="X541" s="10">
        <v>0.5</v>
      </c>
      <c r="Y541" s="10">
        <v>1</v>
      </c>
      <c r="Z541" s="10" t="s">
        <v>339</v>
      </c>
      <c r="AA541" s="10">
        <v>0.47339999999999999</v>
      </c>
      <c r="AB541" s="10" t="s">
        <v>34</v>
      </c>
      <c r="AC541" s="10" t="s">
        <v>391</v>
      </c>
      <c r="AD541" s="10" t="s">
        <v>277</v>
      </c>
      <c r="AE541" s="10">
        <v>0.86780000000000002</v>
      </c>
      <c r="AF541" s="10" t="s">
        <v>395</v>
      </c>
      <c r="AG541" s="10">
        <v>2024</v>
      </c>
      <c r="AH541" s="10" t="s">
        <v>396</v>
      </c>
      <c r="AI541" s="2">
        <v>50</v>
      </c>
      <c r="AJ541" s="2">
        <v>2</v>
      </c>
      <c r="AK541" s="2" t="s">
        <v>34</v>
      </c>
    </row>
    <row r="542" spans="1:37" x14ac:dyDescent="0.3">
      <c r="A542" s="11">
        <v>7.2036434612882196</v>
      </c>
      <c r="B542" s="11">
        <v>77.481840193704599</v>
      </c>
      <c r="C542" s="10" t="s">
        <v>34</v>
      </c>
      <c r="D542" s="10" t="s">
        <v>394</v>
      </c>
      <c r="E542" s="10" t="s">
        <v>387</v>
      </c>
      <c r="F542" s="10" t="s">
        <v>34</v>
      </c>
      <c r="G542" s="10" t="s">
        <v>34</v>
      </c>
      <c r="H542" s="10" t="s">
        <v>34</v>
      </c>
      <c r="I542" s="10" t="s">
        <v>34</v>
      </c>
      <c r="J542" s="10" t="s">
        <v>34</v>
      </c>
      <c r="K542" s="10" t="s">
        <v>34</v>
      </c>
      <c r="L542" s="10">
        <v>0</v>
      </c>
      <c r="M542" s="10">
        <v>34.1</v>
      </c>
      <c r="N542" s="10">
        <v>1400.49</v>
      </c>
      <c r="O542" s="10">
        <v>1.143</v>
      </c>
      <c r="P542" s="10">
        <v>0.84099999999999997</v>
      </c>
      <c r="Q542" s="10">
        <v>36.4</v>
      </c>
      <c r="R542" s="10">
        <v>2.8570000000000002</v>
      </c>
      <c r="S542" s="10" t="s">
        <v>34</v>
      </c>
      <c r="T542" s="10" t="s">
        <v>49</v>
      </c>
      <c r="U542" s="10" t="s">
        <v>362</v>
      </c>
      <c r="V542" s="10" t="s">
        <v>38</v>
      </c>
      <c r="W542" s="10" t="s">
        <v>43</v>
      </c>
      <c r="X542" s="10">
        <v>0.5</v>
      </c>
      <c r="Y542" s="10">
        <v>1</v>
      </c>
      <c r="Z542" s="10" t="s">
        <v>339</v>
      </c>
      <c r="AA542" s="10">
        <v>0.47339999999999999</v>
      </c>
      <c r="AB542" s="10" t="s">
        <v>34</v>
      </c>
      <c r="AC542" s="10" t="s">
        <v>391</v>
      </c>
      <c r="AD542" s="10" t="s">
        <v>277</v>
      </c>
      <c r="AE542" s="10">
        <v>0.86780000000000002</v>
      </c>
      <c r="AF542" s="10" t="s">
        <v>395</v>
      </c>
      <c r="AG542" s="10">
        <v>2024</v>
      </c>
      <c r="AH542" s="10" t="s">
        <v>396</v>
      </c>
      <c r="AI542" s="2">
        <v>50</v>
      </c>
      <c r="AJ542" s="2">
        <v>2</v>
      </c>
      <c r="AK542" s="2" t="s">
        <v>34</v>
      </c>
    </row>
    <row r="543" spans="1:37" x14ac:dyDescent="0.3">
      <c r="A543" s="11">
        <v>3.82042940793754</v>
      </c>
      <c r="B543" s="11">
        <v>118.64406779661</v>
      </c>
      <c r="C543" s="10" t="s">
        <v>34</v>
      </c>
      <c r="D543" s="10" t="s">
        <v>394</v>
      </c>
      <c r="E543" s="10" t="s">
        <v>387</v>
      </c>
      <c r="F543" s="10" t="s">
        <v>34</v>
      </c>
      <c r="G543" s="10" t="s">
        <v>34</v>
      </c>
      <c r="H543" s="10" t="s">
        <v>34</v>
      </c>
      <c r="I543" s="10" t="s">
        <v>34</v>
      </c>
      <c r="J543" s="10" t="s">
        <v>34</v>
      </c>
      <c r="K543" s="10" t="s">
        <v>34</v>
      </c>
      <c r="L543" s="10">
        <v>0</v>
      </c>
      <c r="M543" s="10">
        <v>34.1</v>
      </c>
      <c r="N543" s="10">
        <v>1400.49</v>
      </c>
      <c r="O543" s="10">
        <v>1.143</v>
      </c>
      <c r="P543" s="10">
        <v>0.84099999999999997</v>
      </c>
      <c r="Q543" s="10">
        <v>36.4</v>
      </c>
      <c r="R543" s="10">
        <v>2.8570000000000002</v>
      </c>
      <c r="S543" s="10" t="s">
        <v>34</v>
      </c>
      <c r="T543" s="10" t="s">
        <v>49</v>
      </c>
      <c r="U543" s="10" t="s">
        <v>362</v>
      </c>
      <c r="V543" s="10" t="s">
        <v>38</v>
      </c>
      <c r="W543" s="10" t="s">
        <v>43</v>
      </c>
      <c r="X543" s="10">
        <v>0.5</v>
      </c>
      <c r="Y543" s="10">
        <v>1</v>
      </c>
      <c r="Z543" s="10" t="s">
        <v>339</v>
      </c>
      <c r="AA543" s="10">
        <v>0.31900000000000001</v>
      </c>
      <c r="AB543" s="10" t="s">
        <v>34</v>
      </c>
      <c r="AC543" s="10" t="s">
        <v>397</v>
      </c>
      <c r="AD543" s="10" t="s">
        <v>277</v>
      </c>
      <c r="AE543" s="10">
        <v>0.86780000000000002</v>
      </c>
      <c r="AF543" s="10" t="s">
        <v>395</v>
      </c>
      <c r="AG543" s="10">
        <v>2024</v>
      </c>
      <c r="AH543" s="10" t="s">
        <v>396</v>
      </c>
      <c r="AI543" s="2">
        <v>50</v>
      </c>
      <c r="AJ543" s="2">
        <v>2</v>
      </c>
      <c r="AK543" s="2" t="s">
        <v>34</v>
      </c>
    </row>
    <row r="544" spans="1:37" x14ac:dyDescent="0.3">
      <c r="A544" s="11">
        <v>4.1431359791802196</v>
      </c>
      <c r="B544" s="11">
        <v>127.522195318805</v>
      </c>
      <c r="C544" s="10" t="s">
        <v>34</v>
      </c>
      <c r="D544" s="10" t="s">
        <v>394</v>
      </c>
      <c r="E544" s="10" t="s">
        <v>387</v>
      </c>
      <c r="F544" s="10" t="s">
        <v>34</v>
      </c>
      <c r="G544" s="10" t="s">
        <v>34</v>
      </c>
      <c r="H544" s="10" t="s">
        <v>34</v>
      </c>
      <c r="I544" s="10" t="s">
        <v>34</v>
      </c>
      <c r="J544" s="10" t="s">
        <v>34</v>
      </c>
      <c r="K544" s="10" t="s">
        <v>34</v>
      </c>
      <c r="L544" s="10">
        <v>0</v>
      </c>
      <c r="M544" s="10">
        <v>34.1</v>
      </c>
      <c r="N544" s="10">
        <v>1400.49</v>
      </c>
      <c r="O544" s="10">
        <v>1.143</v>
      </c>
      <c r="P544" s="10">
        <v>0.84099999999999997</v>
      </c>
      <c r="Q544" s="10">
        <v>36.4</v>
      </c>
      <c r="R544" s="10">
        <v>2.8570000000000002</v>
      </c>
      <c r="S544" s="10" t="s">
        <v>34</v>
      </c>
      <c r="T544" s="10" t="s">
        <v>49</v>
      </c>
      <c r="U544" s="10" t="s">
        <v>362</v>
      </c>
      <c r="V544" s="10" t="s">
        <v>38</v>
      </c>
      <c r="W544" s="10" t="s">
        <v>43</v>
      </c>
      <c r="X544" s="10">
        <v>0.5</v>
      </c>
      <c r="Y544" s="10">
        <v>1</v>
      </c>
      <c r="Z544" s="10" t="s">
        <v>339</v>
      </c>
      <c r="AA544" s="10">
        <v>0.31900000000000001</v>
      </c>
      <c r="AB544" s="10" t="s">
        <v>34</v>
      </c>
      <c r="AC544" s="10" t="s">
        <v>397</v>
      </c>
      <c r="AD544" s="10" t="s">
        <v>277</v>
      </c>
      <c r="AE544" s="10">
        <v>0.86780000000000002</v>
      </c>
      <c r="AF544" s="10" t="s">
        <v>395</v>
      </c>
      <c r="AG544" s="10">
        <v>2024</v>
      </c>
      <c r="AH544" s="10" t="s">
        <v>396</v>
      </c>
      <c r="AI544" s="2">
        <v>50</v>
      </c>
      <c r="AJ544" s="2">
        <v>2</v>
      </c>
      <c r="AK544" s="2" t="s">
        <v>34</v>
      </c>
    </row>
    <row r="545" spans="1:37" x14ac:dyDescent="0.3">
      <c r="A545" s="11">
        <v>4.90305790500976</v>
      </c>
      <c r="B545" s="11">
        <v>121.872477804681</v>
      </c>
      <c r="C545" s="10" t="s">
        <v>34</v>
      </c>
      <c r="D545" s="10" t="s">
        <v>394</v>
      </c>
      <c r="E545" s="10" t="s">
        <v>387</v>
      </c>
      <c r="F545" s="10" t="s">
        <v>34</v>
      </c>
      <c r="G545" s="10" t="s">
        <v>34</v>
      </c>
      <c r="H545" s="10" t="s">
        <v>34</v>
      </c>
      <c r="I545" s="10" t="s">
        <v>34</v>
      </c>
      <c r="J545" s="10" t="s">
        <v>34</v>
      </c>
      <c r="K545" s="10" t="s">
        <v>34</v>
      </c>
      <c r="L545" s="10">
        <v>0</v>
      </c>
      <c r="M545" s="10">
        <v>34.1</v>
      </c>
      <c r="N545" s="10">
        <v>1400.49</v>
      </c>
      <c r="O545" s="10">
        <v>1.143</v>
      </c>
      <c r="P545" s="10">
        <v>0.84099999999999997</v>
      </c>
      <c r="Q545" s="10">
        <v>36.4</v>
      </c>
      <c r="R545" s="10">
        <v>2.8570000000000002</v>
      </c>
      <c r="S545" s="10" t="s">
        <v>34</v>
      </c>
      <c r="T545" s="10" t="s">
        <v>49</v>
      </c>
      <c r="U545" s="10" t="s">
        <v>362</v>
      </c>
      <c r="V545" s="10" t="s">
        <v>38</v>
      </c>
      <c r="W545" s="10" t="s">
        <v>43</v>
      </c>
      <c r="X545" s="10">
        <v>0.5</v>
      </c>
      <c r="Y545" s="10">
        <v>1</v>
      </c>
      <c r="Z545" s="10" t="s">
        <v>339</v>
      </c>
      <c r="AA545" s="10">
        <v>0.31900000000000001</v>
      </c>
      <c r="AB545" s="10" t="s">
        <v>34</v>
      </c>
      <c r="AC545" s="10" t="s">
        <v>397</v>
      </c>
      <c r="AD545" s="10" t="s">
        <v>277</v>
      </c>
      <c r="AE545" s="10">
        <v>0.86780000000000002</v>
      </c>
      <c r="AF545" s="10" t="s">
        <v>395</v>
      </c>
      <c r="AG545" s="10">
        <v>2024</v>
      </c>
      <c r="AH545" s="10" t="s">
        <v>396</v>
      </c>
      <c r="AI545" s="2">
        <v>50</v>
      </c>
      <c r="AJ545" s="2">
        <v>2</v>
      </c>
      <c r="AK545" s="2" t="s">
        <v>34</v>
      </c>
    </row>
    <row r="546" spans="1:37" x14ac:dyDescent="0.3">
      <c r="A546" s="11">
        <v>7.5679895901106002</v>
      </c>
      <c r="B546" s="11">
        <v>238.902340597256</v>
      </c>
      <c r="C546" s="10" t="s">
        <v>34</v>
      </c>
      <c r="D546" s="10" t="s">
        <v>394</v>
      </c>
      <c r="E546" s="10" t="s">
        <v>387</v>
      </c>
      <c r="F546" s="10" t="s">
        <v>34</v>
      </c>
      <c r="G546" s="10" t="s">
        <v>34</v>
      </c>
      <c r="H546" s="10" t="s">
        <v>34</v>
      </c>
      <c r="I546" s="10" t="s">
        <v>34</v>
      </c>
      <c r="J546" s="10" t="s">
        <v>34</v>
      </c>
      <c r="K546" s="10" t="s">
        <v>34</v>
      </c>
      <c r="L546" s="10">
        <v>0</v>
      </c>
      <c r="M546" s="10">
        <v>34.1</v>
      </c>
      <c r="N546" s="10">
        <v>1400.49</v>
      </c>
      <c r="O546" s="10">
        <v>1.143</v>
      </c>
      <c r="P546" s="10">
        <v>0.84099999999999997</v>
      </c>
      <c r="Q546" s="10">
        <v>36.4</v>
      </c>
      <c r="R546" s="10">
        <v>2.8570000000000002</v>
      </c>
      <c r="S546" s="10" t="s">
        <v>34</v>
      </c>
      <c r="T546" s="10" t="s">
        <v>49</v>
      </c>
      <c r="U546" s="10" t="s">
        <v>362</v>
      </c>
      <c r="V546" s="10" t="s">
        <v>38</v>
      </c>
      <c r="W546" s="10" t="s">
        <v>43</v>
      </c>
      <c r="X546" s="10">
        <v>0.5</v>
      </c>
      <c r="Y546" s="10">
        <v>1</v>
      </c>
      <c r="Z546" s="10" t="s">
        <v>339</v>
      </c>
      <c r="AA546" s="10">
        <v>0.31900000000000001</v>
      </c>
      <c r="AB546" s="10" t="s">
        <v>34</v>
      </c>
      <c r="AC546" s="10" t="s">
        <v>397</v>
      </c>
      <c r="AD546" s="10" t="s">
        <v>277</v>
      </c>
      <c r="AE546" s="10">
        <v>0.86780000000000002</v>
      </c>
      <c r="AF546" s="10" t="s">
        <v>395</v>
      </c>
      <c r="AG546" s="10">
        <v>2024</v>
      </c>
      <c r="AH546" s="10" t="s">
        <v>396</v>
      </c>
      <c r="AI546" s="2">
        <v>50</v>
      </c>
      <c r="AJ546" s="2">
        <v>2</v>
      </c>
      <c r="AK546" s="2" t="s">
        <v>34</v>
      </c>
    </row>
    <row r="547" spans="1:37" x14ac:dyDescent="0.3">
      <c r="A547" s="11">
        <v>7.5783994795055296</v>
      </c>
      <c r="B547" s="11">
        <v>207.42534301856301</v>
      </c>
      <c r="C547" s="10" t="s">
        <v>34</v>
      </c>
      <c r="D547" s="10" t="s">
        <v>394</v>
      </c>
      <c r="E547" s="10" t="s">
        <v>387</v>
      </c>
      <c r="F547" s="10" t="s">
        <v>34</v>
      </c>
      <c r="G547" s="10" t="s">
        <v>34</v>
      </c>
      <c r="H547" s="10" t="s">
        <v>34</v>
      </c>
      <c r="I547" s="10" t="s">
        <v>34</v>
      </c>
      <c r="J547" s="10" t="s">
        <v>34</v>
      </c>
      <c r="K547" s="10" t="s">
        <v>34</v>
      </c>
      <c r="L547" s="10">
        <v>0</v>
      </c>
      <c r="M547" s="10">
        <v>34.1</v>
      </c>
      <c r="N547" s="10">
        <v>1400.49</v>
      </c>
      <c r="O547" s="10">
        <v>1.143</v>
      </c>
      <c r="P547" s="10">
        <v>0.84099999999999997</v>
      </c>
      <c r="Q547" s="10">
        <v>36.4</v>
      </c>
      <c r="R547" s="10">
        <v>2.8570000000000002</v>
      </c>
      <c r="S547" s="10" t="s">
        <v>34</v>
      </c>
      <c r="T547" s="10" t="s">
        <v>49</v>
      </c>
      <c r="U547" s="10" t="s">
        <v>362</v>
      </c>
      <c r="V547" s="10" t="s">
        <v>38</v>
      </c>
      <c r="W547" s="10" t="s">
        <v>43</v>
      </c>
      <c r="X547" s="10">
        <v>0.5</v>
      </c>
      <c r="Y547" s="10">
        <v>1</v>
      </c>
      <c r="Z547" s="10" t="s">
        <v>339</v>
      </c>
      <c r="AA547" s="10">
        <v>0.31900000000000001</v>
      </c>
      <c r="AB547" s="10" t="s">
        <v>34</v>
      </c>
      <c r="AC547" s="10" t="s">
        <v>397</v>
      </c>
      <c r="AD547" s="10" t="s">
        <v>277</v>
      </c>
      <c r="AE547" s="10">
        <v>0.86780000000000002</v>
      </c>
      <c r="AF547" s="10" t="s">
        <v>395</v>
      </c>
      <c r="AG547" s="10">
        <v>2024</v>
      </c>
      <c r="AH547" s="10" t="s">
        <v>396</v>
      </c>
      <c r="AI547" s="2">
        <v>50</v>
      </c>
      <c r="AJ547" s="2">
        <v>2</v>
      </c>
      <c r="AK547" s="2" t="s">
        <v>34</v>
      </c>
    </row>
    <row r="548" spans="1:37" x14ac:dyDescent="0.3">
      <c r="A548" s="11">
        <v>9.8789850357839892</v>
      </c>
      <c r="B548" s="11">
        <v>305.08474576271101</v>
      </c>
      <c r="C548" s="10" t="s">
        <v>34</v>
      </c>
      <c r="D548" s="10" t="s">
        <v>394</v>
      </c>
      <c r="E548" s="10" t="s">
        <v>387</v>
      </c>
      <c r="F548" s="10" t="s">
        <v>34</v>
      </c>
      <c r="G548" s="10" t="s">
        <v>34</v>
      </c>
      <c r="H548" s="10" t="s">
        <v>34</v>
      </c>
      <c r="I548" s="10" t="s">
        <v>34</v>
      </c>
      <c r="J548" s="10" t="s">
        <v>34</v>
      </c>
      <c r="K548" s="10" t="s">
        <v>34</v>
      </c>
      <c r="L548" s="10">
        <v>0</v>
      </c>
      <c r="M548" s="10">
        <v>34.1</v>
      </c>
      <c r="N548" s="10">
        <v>1400.49</v>
      </c>
      <c r="O548" s="10">
        <v>1.143</v>
      </c>
      <c r="P548" s="10">
        <v>0.84099999999999997</v>
      </c>
      <c r="Q548" s="10">
        <v>36.4</v>
      </c>
      <c r="R548" s="10">
        <v>2.8570000000000002</v>
      </c>
      <c r="S548" s="10" t="s">
        <v>34</v>
      </c>
      <c r="T548" s="10" t="s">
        <v>49</v>
      </c>
      <c r="U548" s="10" t="s">
        <v>362</v>
      </c>
      <c r="V548" s="10" t="s">
        <v>38</v>
      </c>
      <c r="W548" s="10" t="s">
        <v>43</v>
      </c>
      <c r="X548" s="10">
        <v>0.5</v>
      </c>
      <c r="Y548" s="10">
        <v>1</v>
      </c>
      <c r="Z548" s="10" t="s">
        <v>339</v>
      </c>
      <c r="AA548" s="10">
        <v>0.31900000000000001</v>
      </c>
      <c r="AB548" s="10" t="s">
        <v>34</v>
      </c>
      <c r="AC548" s="10" t="s">
        <v>397</v>
      </c>
      <c r="AD548" s="10" t="s">
        <v>277</v>
      </c>
      <c r="AE548" s="10">
        <v>0.86780000000000002</v>
      </c>
      <c r="AF548" s="10" t="s">
        <v>395</v>
      </c>
      <c r="AG548" s="10">
        <v>2024</v>
      </c>
      <c r="AH548" s="10" t="s">
        <v>396</v>
      </c>
      <c r="AI548" s="2">
        <v>50</v>
      </c>
      <c r="AJ548" s="2">
        <v>2</v>
      </c>
      <c r="AK548" s="2" t="s">
        <v>34</v>
      </c>
    </row>
    <row r="549" spans="1:37" x14ac:dyDescent="0.3">
      <c r="A549" s="11">
        <v>10.1808718282368</v>
      </c>
      <c r="B549" s="11">
        <v>322.84100080710198</v>
      </c>
      <c r="C549" s="10" t="s">
        <v>34</v>
      </c>
      <c r="D549" s="10" t="s">
        <v>394</v>
      </c>
      <c r="E549" s="10" t="s">
        <v>387</v>
      </c>
      <c r="F549" s="10" t="s">
        <v>34</v>
      </c>
      <c r="G549" s="10" t="s">
        <v>34</v>
      </c>
      <c r="H549" s="10" t="s">
        <v>34</v>
      </c>
      <c r="I549" s="10" t="s">
        <v>34</v>
      </c>
      <c r="J549" s="10" t="s">
        <v>34</v>
      </c>
      <c r="K549" s="10" t="s">
        <v>34</v>
      </c>
      <c r="L549" s="10">
        <v>0</v>
      </c>
      <c r="M549" s="10">
        <v>34.1</v>
      </c>
      <c r="N549" s="10">
        <v>1400.49</v>
      </c>
      <c r="O549" s="10">
        <v>1.143</v>
      </c>
      <c r="P549" s="10">
        <v>0.84099999999999997</v>
      </c>
      <c r="Q549" s="10">
        <v>36.4</v>
      </c>
      <c r="R549" s="10">
        <v>2.8570000000000002</v>
      </c>
      <c r="S549" s="10" t="s">
        <v>34</v>
      </c>
      <c r="T549" s="10" t="s">
        <v>49</v>
      </c>
      <c r="U549" s="10" t="s">
        <v>362</v>
      </c>
      <c r="V549" s="10" t="s">
        <v>38</v>
      </c>
      <c r="W549" s="10" t="s">
        <v>43</v>
      </c>
      <c r="X549" s="10">
        <v>0.5</v>
      </c>
      <c r="Y549" s="10">
        <v>1</v>
      </c>
      <c r="Z549" s="10" t="s">
        <v>339</v>
      </c>
      <c r="AA549" s="10">
        <v>0.31900000000000001</v>
      </c>
      <c r="AB549" s="10" t="s">
        <v>34</v>
      </c>
      <c r="AC549" s="10" t="s">
        <v>397</v>
      </c>
      <c r="AD549" s="10" t="s">
        <v>277</v>
      </c>
      <c r="AE549" s="10">
        <v>0.86780000000000002</v>
      </c>
      <c r="AF549" s="10" t="s">
        <v>395</v>
      </c>
      <c r="AG549" s="10">
        <v>2024</v>
      </c>
      <c r="AH549" s="10" t="s">
        <v>396</v>
      </c>
      <c r="AI549" s="2">
        <v>50</v>
      </c>
      <c r="AJ549" s="2">
        <v>2</v>
      </c>
      <c r="AK549" s="2" t="s">
        <v>34</v>
      </c>
    </row>
    <row r="550" spans="1:37" x14ac:dyDescent="0.3">
      <c r="A550" s="11">
        <v>9.9726740403383207</v>
      </c>
      <c r="B550" s="11">
        <v>393.05891848264702</v>
      </c>
      <c r="C550" s="10" t="s">
        <v>34</v>
      </c>
      <c r="D550" s="10" t="s">
        <v>394</v>
      </c>
      <c r="E550" s="10" t="s">
        <v>387</v>
      </c>
      <c r="F550" s="10" t="s">
        <v>34</v>
      </c>
      <c r="G550" s="10" t="s">
        <v>34</v>
      </c>
      <c r="H550" s="10" t="s">
        <v>34</v>
      </c>
      <c r="I550" s="10" t="s">
        <v>34</v>
      </c>
      <c r="J550" s="10" t="s">
        <v>34</v>
      </c>
      <c r="K550" s="10" t="s">
        <v>34</v>
      </c>
      <c r="L550" s="10">
        <v>0</v>
      </c>
      <c r="M550" s="10">
        <v>34.1</v>
      </c>
      <c r="N550" s="10">
        <v>1400.49</v>
      </c>
      <c r="O550" s="10">
        <v>1.143</v>
      </c>
      <c r="P550" s="10">
        <v>0.84099999999999997</v>
      </c>
      <c r="Q550" s="10">
        <v>36.4</v>
      </c>
      <c r="R550" s="10">
        <v>2.8570000000000002</v>
      </c>
      <c r="S550" s="10" t="s">
        <v>34</v>
      </c>
      <c r="T550" s="10" t="s">
        <v>49</v>
      </c>
      <c r="U550" s="10" t="s">
        <v>362</v>
      </c>
      <c r="V550" s="10" t="s">
        <v>38</v>
      </c>
      <c r="W550" s="10" t="s">
        <v>43</v>
      </c>
      <c r="X550" s="10">
        <v>0.5</v>
      </c>
      <c r="Y550" s="10">
        <v>1</v>
      </c>
      <c r="Z550" s="10" t="s">
        <v>339</v>
      </c>
      <c r="AA550" s="10">
        <v>0.31900000000000001</v>
      </c>
      <c r="AB550" s="10" t="s">
        <v>34</v>
      </c>
      <c r="AC550" s="10" t="s">
        <v>397</v>
      </c>
      <c r="AD550" s="10" t="s">
        <v>277</v>
      </c>
      <c r="AE550" s="10">
        <v>0.86780000000000002</v>
      </c>
      <c r="AF550" s="10" t="s">
        <v>395</v>
      </c>
      <c r="AG550" s="10">
        <v>2024</v>
      </c>
      <c r="AH550" s="10" t="s">
        <v>396</v>
      </c>
      <c r="AI550" s="2">
        <v>50</v>
      </c>
      <c r="AJ550" s="2">
        <v>2</v>
      </c>
      <c r="AK550" s="2" t="s">
        <v>34</v>
      </c>
    </row>
    <row r="551" spans="1:37" x14ac:dyDescent="0.3">
      <c r="A551" s="11">
        <v>11.9713728041639</v>
      </c>
      <c r="B551" s="11">
        <v>516.54560129136405</v>
      </c>
      <c r="C551" s="10" t="s">
        <v>34</v>
      </c>
      <c r="D551" s="10" t="s">
        <v>394</v>
      </c>
      <c r="E551" s="10" t="s">
        <v>387</v>
      </c>
      <c r="F551" s="10" t="s">
        <v>34</v>
      </c>
      <c r="G551" s="10" t="s">
        <v>34</v>
      </c>
      <c r="H551" s="10" t="s">
        <v>34</v>
      </c>
      <c r="I551" s="10" t="s">
        <v>34</v>
      </c>
      <c r="J551" s="10" t="s">
        <v>34</v>
      </c>
      <c r="K551" s="10" t="s">
        <v>34</v>
      </c>
      <c r="L551" s="10">
        <v>0</v>
      </c>
      <c r="M551" s="10">
        <v>34.1</v>
      </c>
      <c r="N551" s="10">
        <v>1400.49</v>
      </c>
      <c r="O551" s="10">
        <v>1.143</v>
      </c>
      <c r="P551" s="10">
        <v>0.84099999999999997</v>
      </c>
      <c r="Q551" s="10">
        <v>36.4</v>
      </c>
      <c r="R551" s="10">
        <v>2.8570000000000002</v>
      </c>
      <c r="S551" s="10" t="s">
        <v>34</v>
      </c>
      <c r="T551" s="10" t="s">
        <v>49</v>
      </c>
      <c r="U551" s="10" t="s">
        <v>362</v>
      </c>
      <c r="V551" s="10" t="s">
        <v>38</v>
      </c>
      <c r="W551" s="10" t="s">
        <v>43</v>
      </c>
      <c r="X551" s="10">
        <v>0.5</v>
      </c>
      <c r="Y551" s="10">
        <v>1</v>
      </c>
      <c r="Z551" s="10" t="s">
        <v>339</v>
      </c>
      <c r="AA551" s="10">
        <v>0.31900000000000001</v>
      </c>
      <c r="AB551" s="10" t="s">
        <v>34</v>
      </c>
      <c r="AC551" s="10" t="s">
        <v>397</v>
      </c>
      <c r="AD551" s="10" t="s">
        <v>277</v>
      </c>
      <c r="AE551" s="10">
        <v>0.86780000000000002</v>
      </c>
      <c r="AF551" s="10" t="s">
        <v>395</v>
      </c>
      <c r="AG551" s="10">
        <v>2024</v>
      </c>
      <c r="AH551" s="10" t="s">
        <v>396</v>
      </c>
      <c r="AI551" s="2">
        <v>50</v>
      </c>
      <c r="AJ551" s="2">
        <v>2</v>
      </c>
      <c r="AK551" s="2" t="s">
        <v>34</v>
      </c>
    </row>
    <row r="552" spans="1:37" x14ac:dyDescent="0.3">
      <c r="A552" s="11">
        <v>11.638256343526299</v>
      </c>
      <c r="B552" s="11">
        <v>480.22598870056498</v>
      </c>
      <c r="C552" s="10" t="s">
        <v>34</v>
      </c>
      <c r="D552" s="10" t="s">
        <v>394</v>
      </c>
      <c r="E552" s="10" t="s">
        <v>387</v>
      </c>
      <c r="F552" s="10" t="s">
        <v>34</v>
      </c>
      <c r="G552" s="10" t="s">
        <v>34</v>
      </c>
      <c r="H552" s="10" t="s">
        <v>34</v>
      </c>
      <c r="I552" s="10" t="s">
        <v>34</v>
      </c>
      <c r="J552" s="10" t="s">
        <v>34</v>
      </c>
      <c r="K552" s="10" t="s">
        <v>34</v>
      </c>
      <c r="L552" s="10">
        <v>0</v>
      </c>
      <c r="M552" s="10">
        <v>34.1</v>
      </c>
      <c r="N552" s="10">
        <v>1400.49</v>
      </c>
      <c r="O552" s="10">
        <v>1.143</v>
      </c>
      <c r="P552" s="10">
        <v>0.84099999999999997</v>
      </c>
      <c r="Q552" s="10">
        <v>36.4</v>
      </c>
      <c r="R552" s="10">
        <v>2.8570000000000002</v>
      </c>
      <c r="S552" s="10" t="s">
        <v>34</v>
      </c>
      <c r="T552" s="10" t="s">
        <v>49</v>
      </c>
      <c r="U552" s="10" t="s">
        <v>362</v>
      </c>
      <c r="V552" s="10" t="s">
        <v>38</v>
      </c>
      <c r="W552" s="10" t="s">
        <v>43</v>
      </c>
      <c r="X552" s="10">
        <v>0.5</v>
      </c>
      <c r="Y552" s="10">
        <v>1</v>
      </c>
      <c r="Z552" s="10" t="s">
        <v>339</v>
      </c>
      <c r="AA552" s="10">
        <v>0.31900000000000001</v>
      </c>
      <c r="AB552" s="10" t="s">
        <v>34</v>
      </c>
      <c r="AC552" s="10" t="s">
        <v>397</v>
      </c>
      <c r="AD552" s="10" t="s">
        <v>277</v>
      </c>
      <c r="AE552" s="10">
        <v>0.86780000000000002</v>
      </c>
      <c r="AF552" s="10" t="s">
        <v>395</v>
      </c>
      <c r="AG552" s="10">
        <v>2024</v>
      </c>
      <c r="AH552" s="10" t="s">
        <v>396</v>
      </c>
      <c r="AI552" s="2">
        <v>50</v>
      </c>
      <c r="AJ552" s="2">
        <v>2</v>
      </c>
      <c r="AK552" s="2" t="s">
        <v>34</v>
      </c>
    </row>
    <row r="553" spans="1:37" x14ac:dyDescent="0.3">
      <c r="A553" s="11">
        <v>13.220559531554899</v>
      </c>
      <c r="B553" s="11">
        <v>519.77401129943496</v>
      </c>
      <c r="C553" s="10" t="s">
        <v>34</v>
      </c>
      <c r="D553" s="10" t="s">
        <v>394</v>
      </c>
      <c r="E553" s="10" t="s">
        <v>387</v>
      </c>
      <c r="F553" s="10" t="s">
        <v>34</v>
      </c>
      <c r="G553" s="10" t="s">
        <v>34</v>
      </c>
      <c r="H553" s="10" t="s">
        <v>34</v>
      </c>
      <c r="I553" s="10" t="s">
        <v>34</v>
      </c>
      <c r="J553" s="10" t="s">
        <v>34</v>
      </c>
      <c r="K553" s="10" t="s">
        <v>34</v>
      </c>
      <c r="L553" s="10">
        <v>0</v>
      </c>
      <c r="M553" s="10">
        <v>34.1</v>
      </c>
      <c r="N553" s="10">
        <v>1400.49</v>
      </c>
      <c r="O553" s="10">
        <v>1.143</v>
      </c>
      <c r="P553" s="10">
        <v>0.84099999999999997</v>
      </c>
      <c r="Q553" s="10">
        <v>36.4</v>
      </c>
      <c r="R553" s="10">
        <v>2.8570000000000002</v>
      </c>
      <c r="S553" s="10" t="s">
        <v>34</v>
      </c>
      <c r="T553" s="10" t="s">
        <v>49</v>
      </c>
      <c r="U553" s="10" t="s">
        <v>362</v>
      </c>
      <c r="V553" s="10" t="s">
        <v>38</v>
      </c>
      <c r="W553" s="10" t="s">
        <v>43</v>
      </c>
      <c r="X553" s="10">
        <v>0.5</v>
      </c>
      <c r="Y553" s="10">
        <v>1</v>
      </c>
      <c r="Z553" s="10" t="s">
        <v>339</v>
      </c>
      <c r="AA553" s="10">
        <v>0.31900000000000001</v>
      </c>
      <c r="AB553" s="10" t="s">
        <v>34</v>
      </c>
      <c r="AC553" s="10" t="s">
        <v>397</v>
      </c>
      <c r="AD553" s="10" t="s">
        <v>277</v>
      </c>
      <c r="AE553" s="10">
        <v>0.86780000000000002</v>
      </c>
      <c r="AF553" s="10" t="s">
        <v>395</v>
      </c>
      <c r="AG553" s="10">
        <v>2024</v>
      </c>
      <c r="AH553" s="10" t="s">
        <v>396</v>
      </c>
      <c r="AI553" s="2">
        <v>50</v>
      </c>
      <c r="AJ553" s="2">
        <v>2</v>
      </c>
      <c r="AK553" s="2" t="s">
        <v>34</v>
      </c>
    </row>
    <row r="554" spans="1:37" x14ac:dyDescent="0.3">
      <c r="A554" s="11">
        <v>12.6271958360442</v>
      </c>
      <c r="B554" s="11">
        <v>429.37853107344603</v>
      </c>
      <c r="C554" s="10" t="s">
        <v>34</v>
      </c>
      <c r="D554" s="10" t="s">
        <v>394</v>
      </c>
      <c r="E554" s="10" t="s">
        <v>387</v>
      </c>
      <c r="F554" s="10" t="s">
        <v>34</v>
      </c>
      <c r="G554" s="10" t="s">
        <v>34</v>
      </c>
      <c r="H554" s="10" t="s">
        <v>34</v>
      </c>
      <c r="I554" s="10" t="s">
        <v>34</v>
      </c>
      <c r="J554" s="10" t="s">
        <v>34</v>
      </c>
      <c r="K554" s="10" t="s">
        <v>34</v>
      </c>
      <c r="L554" s="10">
        <v>0</v>
      </c>
      <c r="M554" s="10">
        <v>34.1</v>
      </c>
      <c r="N554" s="10">
        <v>1400.49</v>
      </c>
      <c r="O554" s="10">
        <v>1.143</v>
      </c>
      <c r="P554" s="10">
        <v>0.84099999999999997</v>
      </c>
      <c r="Q554" s="10">
        <v>36.4</v>
      </c>
      <c r="R554" s="10">
        <v>2.8570000000000002</v>
      </c>
      <c r="S554" s="10" t="s">
        <v>34</v>
      </c>
      <c r="T554" s="10" t="s">
        <v>49</v>
      </c>
      <c r="U554" s="10" t="s">
        <v>362</v>
      </c>
      <c r="V554" s="10" t="s">
        <v>38</v>
      </c>
      <c r="W554" s="10" t="s">
        <v>43</v>
      </c>
      <c r="X554" s="10">
        <v>0.5</v>
      </c>
      <c r="Y554" s="10">
        <v>1</v>
      </c>
      <c r="Z554" s="10" t="s">
        <v>339</v>
      </c>
      <c r="AA554" s="10">
        <v>0.31900000000000001</v>
      </c>
      <c r="AB554" s="10" t="s">
        <v>34</v>
      </c>
      <c r="AC554" s="10" t="s">
        <v>397</v>
      </c>
      <c r="AD554" s="10" t="s">
        <v>277</v>
      </c>
      <c r="AE554" s="10">
        <v>0.86780000000000002</v>
      </c>
      <c r="AF554" s="10" t="s">
        <v>395</v>
      </c>
      <c r="AG554" s="10">
        <v>2024</v>
      </c>
      <c r="AH554" s="10" t="s">
        <v>396</v>
      </c>
      <c r="AI554" s="2">
        <v>50</v>
      </c>
      <c r="AJ554" s="2">
        <v>2</v>
      </c>
      <c r="AK554" s="2" t="s">
        <v>34</v>
      </c>
    </row>
    <row r="555" spans="1:37" x14ac:dyDescent="0.3">
      <c r="A555" s="11">
        <v>12.9394925178919</v>
      </c>
      <c r="B555" s="11">
        <v>727.19935431799797</v>
      </c>
      <c r="C555" s="10" t="s">
        <v>34</v>
      </c>
      <c r="D555" s="10" t="s">
        <v>394</v>
      </c>
      <c r="E555" s="10" t="s">
        <v>387</v>
      </c>
      <c r="F555" s="10" t="s">
        <v>34</v>
      </c>
      <c r="G555" s="10" t="s">
        <v>34</v>
      </c>
      <c r="H555" s="10" t="s">
        <v>34</v>
      </c>
      <c r="I555" s="10" t="s">
        <v>34</v>
      </c>
      <c r="J555" s="10" t="s">
        <v>34</v>
      </c>
      <c r="K555" s="10" t="s">
        <v>34</v>
      </c>
      <c r="L555" s="10">
        <v>0</v>
      </c>
      <c r="M555" s="10">
        <v>34.1</v>
      </c>
      <c r="N555" s="10">
        <v>1400.49</v>
      </c>
      <c r="O555" s="10">
        <v>1.143</v>
      </c>
      <c r="P555" s="10">
        <v>0.84099999999999997</v>
      </c>
      <c r="Q555" s="10">
        <v>36.4</v>
      </c>
      <c r="R555" s="10">
        <v>2.8570000000000002</v>
      </c>
      <c r="S555" s="10" t="s">
        <v>34</v>
      </c>
      <c r="T555" s="10" t="s">
        <v>49</v>
      </c>
      <c r="U555" s="10" t="s">
        <v>362</v>
      </c>
      <c r="V555" s="10" t="s">
        <v>38</v>
      </c>
      <c r="W555" s="10" t="s">
        <v>43</v>
      </c>
      <c r="X555" s="10">
        <v>0.5</v>
      </c>
      <c r="Y555" s="10">
        <v>1</v>
      </c>
      <c r="Z555" s="10" t="s">
        <v>339</v>
      </c>
      <c r="AA555" s="10">
        <v>0.31900000000000001</v>
      </c>
      <c r="AB555" s="10" t="s">
        <v>34</v>
      </c>
      <c r="AC555" s="10" t="s">
        <v>397</v>
      </c>
      <c r="AD555" s="10" t="s">
        <v>277</v>
      </c>
      <c r="AE555" s="10">
        <v>0.86780000000000002</v>
      </c>
      <c r="AF555" s="10" t="s">
        <v>395</v>
      </c>
      <c r="AG555" s="10">
        <v>2024</v>
      </c>
      <c r="AH555" s="10" t="s">
        <v>396</v>
      </c>
      <c r="AI555" s="2">
        <v>50</v>
      </c>
      <c r="AJ555" s="2">
        <v>2</v>
      </c>
      <c r="AK555" s="2" t="s">
        <v>34</v>
      </c>
    </row>
    <row r="556" spans="1:37" x14ac:dyDescent="0.3">
      <c r="A556" s="11">
        <v>13.459986987638199</v>
      </c>
      <c r="B556" s="11">
        <v>870.05649717514098</v>
      </c>
      <c r="C556" s="10" t="s">
        <v>34</v>
      </c>
      <c r="D556" s="10" t="s">
        <v>394</v>
      </c>
      <c r="E556" s="10" t="s">
        <v>387</v>
      </c>
      <c r="F556" s="10" t="s">
        <v>34</v>
      </c>
      <c r="G556" s="10" t="s">
        <v>34</v>
      </c>
      <c r="H556" s="10" t="s">
        <v>34</v>
      </c>
      <c r="I556" s="10" t="s">
        <v>34</v>
      </c>
      <c r="J556" s="10" t="s">
        <v>34</v>
      </c>
      <c r="K556" s="10" t="s">
        <v>34</v>
      </c>
      <c r="L556" s="10">
        <v>0</v>
      </c>
      <c r="M556" s="10">
        <v>34.1</v>
      </c>
      <c r="N556" s="10">
        <v>1400.49</v>
      </c>
      <c r="O556" s="10">
        <v>1.143</v>
      </c>
      <c r="P556" s="10">
        <v>0.84099999999999997</v>
      </c>
      <c r="Q556" s="10">
        <v>36.4</v>
      </c>
      <c r="R556" s="10">
        <v>2.8570000000000002</v>
      </c>
      <c r="S556" s="10" t="s">
        <v>34</v>
      </c>
      <c r="T556" s="10" t="s">
        <v>49</v>
      </c>
      <c r="U556" s="10" t="s">
        <v>362</v>
      </c>
      <c r="V556" s="10" t="s">
        <v>38</v>
      </c>
      <c r="W556" s="10" t="s">
        <v>43</v>
      </c>
      <c r="X556" s="10">
        <v>0.5</v>
      </c>
      <c r="Y556" s="10">
        <v>1</v>
      </c>
      <c r="Z556" s="10" t="s">
        <v>339</v>
      </c>
      <c r="AA556" s="10">
        <v>0.31900000000000001</v>
      </c>
      <c r="AB556" s="10" t="s">
        <v>34</v>
      </c>
      <c r="AC556" s="10" t="s">
        <v>397</v>
      </c>
      <c r="AD556" s="10" t="s">
        <v>277</v>
      </c>
      <c r="AE556" s="10">
        <v>0.86780000000000002</v>
      </c>
      <c r="AF556" s="10" t="s">
        <v>395</v>
      </c>
      <c r="AG556" s="10">
        <v>2024</v>
      </c>
      <c r="AH556" s="10" t="s">
        <v>396</v>
      </c>
      <c r="AI556" s="2">
        <v>50</v>
      </c>
      <c r="AJ556" s="2">
        <v>2</v>
      </c>
      <c r="AK556" s="2" t="s">
        <v>34</v>
      </c>
    </row>
    <row r="557" spans="1:37" x14ac:dyDescent="0.3">
      <c r="A557" s="11">
        <v>8.0676642810670103</v>
      </c>
      <c r="B557" s="11">
        <v>154.963680387409</v>
      </c>
      <c r="C557" s="10" t="s">
        <v>34</v>
      </c>
      <c r="D557" s="10" t="s">
        <v>394</v>
      </c>
      <c r="E557" s="10" t="s">
        <v>387</v>
      </c>
      <c r="F557" s="10" t="s">
        <v>34</v>
      </c>
      <c r="G557" s="10" t="s">
        <v>34</v>
      </c>
      <c r="H557" s="10" t="s">
        <v>34</v>
      </c>
      <c r="I557" s="10" t="s">
        <v>34</v>
      </c>
      <c r="J557" s="10" t="s">
        <v>34</v>
      </c>
      <c r="K557" s="10" t="s">
        <v>34</v>
      </c>
      <c r="L557" s="10">
        <v>0</v>
      </c>
      <c r="M557" s="10">
        <v>34.1</v>
      </c>
      <c r="N557" s="10">
        <v>1400.49</v>
      </c>
      <c r="O557" s="10">
        <v>1.143</v>
      </c>
      <c r="P557" s="10">
        <v>0.84099999999999997</v>
      </c>
      <c r="Q557" s="10">
        <v>36.4</v>
      </c>
      <c r="R557" s="10">
        <v>2.8570000000000002</v>
      </c>
      <c r="S557" s="10" t="s">
        <v>34</v>
      </c>
      <c r="T557" s="10" t="s">
        <v>49</v>
      </c>
      <c r="U557" s="10" t="s">
        <v>362</v>
      </c>
      <c r="V557" s="10" t="s">
        <v>38</v>
      </c>
      <c r="W557" s="10" t="s">
        <v>43</v>
      </c>
      <c r="X557" s="10">
        <v>0.5</v>
      </c>
      <c r="Y557" s="10">
        <v>1</v>
      </c>
      <c r="Z557" s="10" t="s">
        <v>339</v>
      </c>
      <c r="AA557" s="10">
        <v>0.36699999999999999</v>
      </c>
      <c r="AB557" s="10" t="s">
        <v>34</v>
      </c>
      <c r="AC557" s="10" t="s">
        <v>398</v>
      </c>
      <c r="AD557" s="10" t="s">
        <v>277</v>
      </c>
      <c r="AE557" s="10">
        <v>0.86780000000000002</v>
      </c>
      <c r="AF557" s="10" t="s">
        <v>395</v>
      </c>
      <c r="AG557" s="10">
        <v>2024</v>
      </c>
      <c r="AH557" s="10" t="s">
        <v>396</v>
      </c>
      <c r="AI557" s="2">
        <v>50</v>
      </c>
      <c r="AJ557" s="2">
        <v>2</v>
      </c>
      <c r="AK557" s="2" t="s">
        <v>34</v>
      </c>
    </row>
    <row r="558" spans="1:37" x14ac:dyDescent="0.3">
      <c r="A558" s="11">
        <v>7.78659726740403</v>
      </c>
      <c r="B558" s="11">
        <v>191.28329297820801</v>
      </c>
      <c r="C558" s="10" t="s">
        <v>34</v>
      </c>
      <c r="D558" s="10" t="s">
        <v>394</v>
      </c>
      <c r="E558" s="10" t="s">
        <v>387</v>
      </c>
      <c r="F558" s="10" t="s">
        <v>34</v>
      </c>
      <c r="G558" s="10" t="s">
        <v>34</v>
      </c>
      <c r="H558" s="10" t="s">
        <v>34</v>
      </c>
      <c r="I558" s="10" t="s">
        <v>34</v>
      </c>
      <c r="J558" s="10" t="s">
        <v>34</v>
      </c>
      <c r="K558" s="10" t="s">
        <v>34</v>
      </c>
      <c r="L558" s="10">
        <v>0</v>
      </c>
      <c r="M558" s="10">
        <v>34.1</v>
      </c>
      <c r="N558" s="10">
        <v>1400.49</v>
      </c>
      <c r="O558" s="10">
        <v>1.143</v>
      </c>
      <c r="P558" s="10">
        <v>0.84099999999999997</v>
      </c>
      <c r="Q558" s="10">
        <v>36.4</v>
      </c>
      <c r="R558" s="10">
        <v>2.8570000000000002</v>
      </c>
      <c r="S558" s="10" t="s">
        <v>34</v>
      </c>
      <c r="T558" s="10" t="s">
        <v>49</v>
      </c>
      <c r="U558" s="10" t="s">
        <v>362</v>
      </c>
      <c r="V558" s="10" t="s">
        <v>38</v>
      </c>
      <c r="W558" s="10" t="s">
        <v>43</v>
      </c>
      <c r="X558" s="10">
        <v>0.5</v>
      </c>
      <c r="Y558" s="10">
        <v>1</v>
      </c>
      <c r="Z558" s="10" t="s">
        <v>339</v>
      </c>
      <c r="AA558" s="10">
        <v>0.36699999999999999</v>
      </c>
      <c r="AB558" s="10" t="s">
        <v>34</v>
      </c>
      <c r="AC558" s="10" t="s">
        <v>398</v>
      </c>
      <c r="AD558" s="10" t="s">
        <v>277</v>
      </c>
      <c r="AE558" s="10">
        <v>0.86780000000000002</v>
      </c>
      <c r="AF558" s="10" t="s">
        <v>395</v>
      </c>
      <c r="AG558" s="10">
        <v>2024</v>
      </c>
      <c r="AH558" s="10" t="s">
        <v>396</v>
      </c>
      <c r="AI558" s="2">
        <v>50</v>
      </c>
      <c r="AJ558" s="2">
        <v>2</v>
      </c>
      <c r="AK558" s="2" t="s">
        <v>34</v>
      </c>
    </row>
    <row r="559" spans="1:37" x14ac:dyDescent="0.3">
      <c r="A559" s="11">
        <v>7.8074170461938799</v>
      </c>
      <c r="B559" s="11">
        <v>247.780468119451</v>
      </c>
      <c r="C559" s="10" t="s">
        <v>34</v>
      </c>
      <c r="D559" s="10" t="s">
        <v>394</v>
      </c>
      <c r="E559" s="10" t="s">
        <v>387</v>
      </c>
      <c r="F559" s="10" t="s">
        <v>34</v>
      </c>
      <c r="G559" s="10" t="s">
        <v>34</v>
      </c>
      <c r="H559" s="10" t="s">
        <v>34</v>
      </c>
      <c r="I559" s="10" t="s">
        <v>34</v>
      </c>
      <c r="J559" s="10" t="s">
        <v>34</v>
      </c>
      <c r="K559" s="10" t="s">
        <v>34</v>
      </c>
      <c r="L559" s="10">
        <v>0</v>
      </c>
      <c r="M559" s="10">
        <v>34.1</v>
      </c>
      <c r="N559" s="10">
        <v>1400.49</v>
      </c>
      <c r="O559" s="10">
        <v>1.143</v>
      </c>
      <c r="P559" s="10">
        <v>0.84099999999999997</v>
      </c>
      <c r="Q559" s="10">
        <v>36.4</v>
      </c>
      <c r="R559" s="10">
        <v>2.8570000000000002</v>
      </c>
      <c r="S559" s="10" t="s">
        <v>34</v>
      </c>
      <c r="T559" s="10" t="s">
        <v>49</v>
      </c>
      <c r="U559" s="10" t="s">
        <v>362</v>
      </c>
      <c r="V559" s="10" t="s">
        <v>38</v>
      </c>
      <c r="W559" s="10" t="s">
        <v>43</v>
      </c>
      <c r="X559" s="10">
        <v>0.5</v>
      </c>
      <c r="Y559" s="10">
        <v>1</v>
      </c>
      <c r="Z559" s="10" t="s">
        <v>339</v>
      </c>
      <c r="AA559" s="10">
        <v>0.36699999999999999</v>
      </c>
      <c r="AB559" s="10" t="s">
        <v>34</v>
      </c>
      <c r="AC559" s="10" t="s">
        <v>398</v>
      </c>
      <c r="AD559" s="10" t="s">
        <v>277</v>
      </c>
      <c r="AE559" s="10">
        <v>0.86780000000000002</v>
      </c>
      <c r="AF559" s="10" t="s">
        <v>395</v>
      </c>
      <c r="AG559" s="10">
        <v>2024</v>
      </c>
      <c r="AH559" s="10" t="s">
        <v>396</v>
      </c>
      <c r="AI559" s="2">
        <v>50</v>
      </c>
      <c r="AJ559" s="2">
        <v>2</v>
      </c>
      <c r="AK559" s="2" t="s">
        <v>34</v>
      </c>
    </row>
    <row r="560" spans="1:37" x14ac:dyDescent="0.3">
      <c r="A560" s="11">
        <v>10.1912817176317</v>
      </c>
      <c r="B560" s="11">
        <v>333.33333333333297</v>
      </c>
      <c r="C560" s="10" t="s">
        <v>34</v>
      </c>
      <c r="D560" s="10" t="s">
        <v>394</v>
      </c>
      <c r="E560" s="10" t="s">
        <v>387</v>
      </c>
      <c r="F560" s="10" t="s">
        <v>34</v>
      </c>
      <c r="G560" s="10" t="s">
        <v>34</v>
      </c>
      <c r="H560" s="10" t="s">
        <v>34</v>
      </c>
      <c r="I560" s="10" t="s">
        <v>34</v>
      </c>
      <c r="J560" s="10" t="s">
        <v>34</v>
      </c>
      <c r="K560" s="10" t="s">
        <v>34</v>
      </c>
      <c r="L560" s="10">
        <v>0</v>
      </c>
      <c r="M560" s="10">
        <v>34.1</v>
      </c>
      <c r="N560" s="10">
        <v>1400.49</v>
      </c>
      <c r="O560" s="10">
        <v>1.143</v>
      </c>
      <c r="P560" s="10">
        <v>0.84099999999999997</v>
      </c>
      <c r="Q560" s="10">
        <v>36.4</v>
      </c>
      <c r="R560" s="10">
        <v>2.8570000000000002</v>
      </c>
      <c r="S560" s="10" t="s">
        <v>34</v>
      </c>
      <c r="T560" s="10" t="s">
        <v>49</v>
      </c>
      <c r="U560" s="10" t="s">
        <v>362</v>
      </c>
      <c r="V560" s="10" t="s">
        <v>38</v>
      </c>
      <c r="W560" s="10" t="s">
        <v>43</v>
      </c>
      <c r="X560" s="10">
        <v>0.5</v>
      </c>
      <c r="Y560" s="10">
        <v>1</v>
      </c>
      <c r="Z560" s="10" t="s">
        <v>339</v>
      </c>
      <c r="AA560" s="10">
        <v>0.36699999999999999</v>
      </c>
      <c r="AB560" s="10" t="s">
        <v>34</v>
      </c>
      <c r="AC560" s="10" t="s">
        <v>398</v>
      </c>
      <c r="AD560" s="10" t="s">
        <v>277</v>
      </c>
      <c r="AE560" s="10">
        <v>0.86780000000000002</v>
      </c>
      <c r="AF560" s="10" t="s">
        <v>395</v>
      </c>
      <c r="AG560" s="10">
        <v>2024</v>
      </c>
      <c r="AH560" s="10" t="s">
        <v>396</v>
      </c>
      <c r="AI560" s="2">
        <v>50</v>
      </c>
      <c r="AJ560" s="2">
        <v>2</v>
      </c>
      <c r="AK560" s="2" t="s">
        <v>34</v>
      </c>
    </row>
    <row r="561" spans="1:37" x14ac:dyDescent="0.3">
      <c r="A561" s="11">
        <v>9.9518542615484709</v>
      </c>
      <c r="B561" s="11">
        <v>364.81033091202499</v>
      </c>
      <c r="C561" s="10" t="s">
        <v>34</v>
      </c>
      <c r="D561" s="10" t="s">
        <v>394</v>
      </c>
      <c r="E561" s="10" t="s">
        <v>387</v>
      </c>
      <c r="F561" s="10" t="s">
        <v>34</v>
      </c>
      <c r="G561" s="10" t="s">
        <v>34</v>
      </c>
      <c r="H561" s="10" t="s">
        <v>34</v>
      </c>
      <c r="I561" s="10" t="s">
        <v>34</v>
      </c>
      <c r="J561" s="10" t="s">
        <v>34</v>
      </c>
      <c r="K561" s="10" t="s">
        <v>34</v>
      </c>
      <c r="L561" s="10">
        <v>0</v>
      </c>
      <c r="M561" s="10">
        <v>34.1</v>
      </c>
      <c r="N561" s="10">
        <v>1400.49</v>
      </c>
      <c r="O561" s="10">
        <v>1.143</v>
      </c>
      <c r="P561" s="10">
        <v>0.84099999999999997</v>
      </c>
      <c r="Q561" s="10">
        <v>36.4</v>
      </c>
      <c r="R561" s="10">
        <v>2.8570000000000002</v>
      </c>
      <c r="S561" s="10" t="s">
        <v>34</v>
      </c>
      <c r="T561" s="10" t="s">
        <v>49</v>
      </c>
      <c r="U561" s="10" t="s">
        <v>362</v>
      </c>
      <c r="V561" s="10" t="s">
        <v>38</v>
      </c>
      <c r="W561" s="10" t="s">
        <v>43</v>
      </c>
      <c r="X561" s="10">
        <v>0.5</v>
      </c>
      <c r="Y561" s="10">
        <v>1</v>
      </c>
      <c r="Z561" s="10" t="s">
        <v>339</v>
      </c>
      <c r="AA561" s="10">
        <v>0.36699999999999999</v>
      </c>
      <c r="AB561" s="10" t="s">
        <v>34</v>
      </c>
      <c r="AC561" s="10" t="s">
        <v>398</v>
      </c>
      <c r="AD561" s="10" t="s">
        <v>277</v>
      </c>
      <c r="AE561" s="10">
        <v>0.86780000000000002</v>
      </c>
      <c r="AF561" s="10" t="s">
        <v>395</v>
      </c>
      <c r="AG561" s="10">
        <v>2024</v>
      </c>
      <c r="AH561" s="10" t="s">
        <v>396</v>
      </c>
      <c r="AI561" s="2">
        <v>50</v>
      </c>
      <c r="AJ561" s="2">
        <v>2</v>
      </c>
      <c r="AK561" s="2" t="s">
        <v>34</v>
      </c>
    </row>
    <row r="562" spans="1:37" x14ac:dyDescent="0.3">
      <c r="A562" s="11">
        <v>9.9934938191281706</v>
      </c>
      <c r="B562" s="11">
        <v>478.61178369652902</v>
      </c>
      <c r="C562" s="10" t="s">
        <v>34</v>
      </c>
      <c r="D562" s="10" t="s">
        <v>394</v>
      </c>
      <c r="E562" s="10" t="s">
        <v>387</v>
      </c>
      <c r="F562" s="10" t="s">
        <v>34</v>
      </c>
      <c r="G562" s="10" t="s">
        <v>34</v>
      </c>
      <c r="H562" s="10" t="s">
        <v>34</v>
      </c>
      <c r="I562" s="10" t="s">
        <v>34</v>
      </c>
      <c r="J562" s="10" t="s">
        <v>34</v>
      </c>
      <c r="K562" s="10" t="s">
        <v>34</v>
      </c>
      <c r="L562" s="10">
        <v>0</v>
      </c>
      <c r="M562" s="10">
        <v>34.1</v>
      </c>
      <c r="N562" s="10">
        <v>1400.49</v>
      </c>
      <c r="O562" s="10">
        <v>1.143</v>
      </c>
      <c r="P562" s="10">
        <v>0.84099999999999997</v>
      </c>
      <c r="Q562" s="10">
        <v>36.4</v>
      </c>
      <c r="R562" s="10">
        <v>2.8570000000000002</v>
      </c>
      <c r="S562" s="10" t="s">
        <v>34</v>
      </c>
      <c r="T562" s="10" t="s">
        <v>49</v>
      </c>
      <c r="U562" s="10" t="s">
        <v>362</v>
      </c>
      <c r="V562" s="10" t="s">
        <v>38</v>
      </c>
      <c r="W562" s="10" t="s">
        <v>43</v>
      </c>
      <c r="X562" s="10">
        <v>0.5</v>
      </c>
      <c r="Y562" s="10">
        <v>1</v>
      </c>
      <c r="Z562" s="10" t="s">
        <v>339</v>
      </c>
      <c r="AA562" s="10">
        <v>0.36699999999999999</v>
      </c>
      <c r="AB562" s="10" t="s">
        <v>34</v>
      </c>
      <c r="AC562" s="10" t="s">
        <v>398</v>
      </c>
      <c r="AD562" s="10" t="s">
        <v>277</v>
      </c>
      <c r="AE562" s="10">
        <v>0.86780000000000002</v>
      </c>
      <c r="AF562" s="10" t="s">
        <v>395</v>
      </c>
      <c r="AG562" s="10">
        <v>2024</v>
      </c>
      <c r="AH562" s="10" t="s">
        <v>396</v>
      </c>
      <c r="AI562" s="2">
        <v>50</v>
      </c>
      <c r="AJ562" s="2">
        <v>2</v>
      </c>
      <c r="AK562" s="2" t="s">
        <v>34</v>
      </c>
    </row>
    <row r="563" spans="1:37" x14ac:dyDescent="0.3">
      <c r="A563" s="11">
        <v>12.2524398178269</v>
      </c>
      <c r="B563" s="11">
        <v>660.20984665052401</v>
      </c>
      <c r="C563" s="10" t="s">
        <v>34</v>
      </c>
      <c r="D563" s="10" t="s">
        <v>394</v>
      </c>
      <c r="E563" s="10" t="s">
        <v>387</v>
      </c>
      <c r="F563" s="10" t="s">
        <v>34</v>
      </c>
      <c r="G563" s="10" t="s">
        <v>34</v>
      </c>
      <c r="H563" s="10" t="s">
        <v>34</v>
      </c>
      <c r="I563" s="10" t="s">
        <v>34</v>
      </c>
      <c r="J563" s="10" t="s">
        <v>34</v>
      </c>
      <c r="K563" s="10" t="s">
        <v>34</v>
      </c>
      <c r="L563" s="10">
        <v>0</v>
      </c>
      <c r="M563" s="10">
        <v>34.1</v>
      </c>
      <c r="N563" s="10">
        <v>1400.49</v>
      </c>
      <c r="O563" s="10">
        <v>1.143</v>
      </c>
      <c r="P563" s="10">
        <v>0.84099999999999997</v>
      </c>
      <c r="Q563" s="10">
        <v>36.4</v>
      </c>
      <c r="R563" s="10">
        <v>2.8570000000000002</v>
      </c>
      <c r="S563" s="10" t="s">
        <v>34</v>
      </c>
      <c r="T563" s="10" t="s">
        <v>49</v>
      </c>
      <c r="U563" s="10" t="s">
        <v>362</v>
      </c>
      <c r="V563" s="10" t="s">
        <v>38</v>
      </c>
      <c r="W563" s="10" t="s">
        <v>43</v>
      </c>
      <c r="X563" s="10">
        <v>0.5</v>
      </c>
      <c r="Y563" s="10">
        <v>1</v>
      </c>
      <c r="Z563" s="10" t="s">
        <v>339</v>
      </c>
      <c r="AA563" s="10">
        <v>0.36699999999999999</v>
      </c>
      <c r="AB563" s="10" t="s">
        <v>34</v>
      </c>
      <c r="AC563" s="10" t="s">
        <v>398</v>
      </c>
      <c r="AD563" s="10" t="s">
        <v>277</v>
      </c>
      <c r="AE563" s="10">
        <v>0.86780000000000002</v>
      </c>
      <c r="AF563" s="10" t="s">
        <v>395</v>
      </c>
      <c r="AG563" s="10">
        <v>2024</v>
      </c>
      <c r="AH563" s="10" t="s">
        <v>396</v>
      </c>
      <c r="AI563" s="2">
        <v>50</v>
      </c>
      <c r="AJ563" s="2">
        <v>2</v>
      </c>
      <c r="AK563" s="2" t="s">
        <v>34</v>
      </c>
    </row>
    <row r="564" spans="1:37" x14ac:dyDescent="0.3">
      <c r="A564" s="11">
        <v>12.0130123617436</v>
      </c>
      <c r="B564" s="11">
        <v>721.54963680387402</v>
      </c>
      <c r="C564" s="10" t="s">
        <v>34</v>
      </c>
      <c r="D564" s="10" t="s">
        <v>394</v>
      </c>
      <c r="E564" s="10" t="s">
        <v>387</v>
      </c>
      <c r="F564" s="10" t="s">
        <v>34</v>
      </c>
      <c r="G564" s="10" t="s">
        <v>34</v>
      </c>
      <c r="H564" s="10" t="s">
        <v>34</v>
      </c>
      <c r="I564" s="10" t="s">
        <v>34</v>
      </c>
      <c r="J564" s="10" t="s">
        <v>34</v>
      </c>
      <c r="K564" s="10" t="s">
        <v>34</v>
      </c>
      <c r="L564" s="10">
        <v>0</v>
      </c>
      <c r="M564" s="10">
        <v>34.1</v>
      </c>
      <c r="N564" s="10">
        <v>1400.49</v>
      </c>
      <c r="O564" s="10">
        <v>1.143</v>
      </c>
      <c r="P564" s="10">
        <v>0.84099999999999997</v>
      </c>
      <c r="Q564" s="10">
        <v>36.4</v>
      </c>
      <c r="R564" s="10">
        <v>2.8570000000000002</v>
      </c>
      <c r="S564" s="10" t="s">
        <v>34</v>
      </c>
      <c r="T564" s="10" t="s">
        <v>49</v>
      </c>
      <c r="U564" s="10" t="s">
        <v>362</v>
      </c>
      <c r="V564" s="10" t="s">
        <v>38</v>
      </c>
      <c r="W564" s="10" t="s">
        <v>43</v>
      </c>
      <c r="X564" s="10">
        <v>0.5</v>
      </c>
      <c r="Y564" s="10">
        <v>1</v>
      </c>
      <c r="Z564" s="10" t="s">
        <v>339</v>
      </c>
      <c r="AA564" s="10">
        <v>0.36699999999999999</v>
      </c>
      <c r="AB564" s="10" t="s">
        <v>34</v>
      </c>
      <c r="AC564" s="10" t="s">
        <v>398</v>
      </c>
      <c r="AD564" s="10" t="s">
        <v>277</v>
      </c>
      <c r="AE564" s="10">
        <v>0.86780000000000002</v>
      </c>
      <c r="AF564" s="10" t="s">
        <v>395</v>
      </c>
      <c r="AG564" s="10">
        <v>2024</v>
      </c>
      <c r="AH564" s="10" t="s">
        <v>396</v>
      </c>
      <c r="AI564" s="2">
        <v>50</v>
      </c>
      <c r="AJ564" s="2">
        <v>2</v>
      </c>
      <c r="AK564" s="2" t="s">
        <v>34</v>
      </c>
    </row>
    <row r="565" spans="1:37" x14ac:dyDescent="0.3">
      <c r="A565" s="11">
        <v>12.2940793754066</v>
      </c>
      <c r="B565" s="11">
        <v>854.72154963680396</v>
      </c>
      <c r="C565" s="10" t="s">
        <v>34</v>
      </c>
      <c r="D565" s="10" t="s">
        <v>394</v>
      </c>
      <c r="E565" s="10" t="s">
        <v>387</v>
      </c>
      <c r="F565" s="10" t="s">
        <v>34</v>
      </c>
      <c r="G565" s="10" t="s">
        <v>34</v>
      </c>
      <c r="H565" s="10" t="s">
        <v>34</v>
      </c>
      <c r="I565" s="10" t="s">
        <v>34</v>
      </c>
      <c r="J565" s="10" t="s">
        <v>34</v>
      </c>
      <c r="K565" s="10" t="s">
        <v>34</v>
      </c>
      <c r="L565" s="10">
        <v>0</v>
      </c>
      <c r="M565" s="10">
        <v>34.1</v>
      </c>
      <c r="N565" s="10">
        <v>1400.49</v>
      </c>
      <c r="O565" s="10">
        <v>1.143</v>
      </c>
      <c r="P565" s="10">
        <v>0.84099999999999997</v>
      </c>
      <c r="Q565" s="10">
        <v>36.4</v>
      </c>
      <c r="R565" s="10">
        <v>2.8570000000000002</v>
      </c>
      <c r="S565" s="10" t="s">
        <v>34</v>
      </c>
      <c r="T565" s="10" t="s">
        <v>49</v>
      </c>
      <c r="U565" s="10" t="s">
        <v>362</v>
      </c>
      <c r="V565" s="10" t="s">
        <v>38</v>
      </c>
      <c r="W565" s="10" t="s">
        <v>43</v>
      </c>
      <c r="X565" s="10">
        <v>0.5</v>
      </c>
      <c r="Y565" s="10">
        <v>1</v>
      </c>
      <c r="Z565" s="10" t="s">
        <v>339</v>
      </c>
      <c r="AA565" s="10">
        <v>0.36699999999999999</v>
      </c>
      <c r="AB565" s="10" t="s">
        <v>34</v>
      </c>
      <c r="AC565" s="10" t="s">
        <v>398</v>
      </c>
      <c r="AD565" s="10" t="s">
        <v>277</v>
      </c>
      <c r="AE565" s="10">
        <v>0.86780000000000002</v>
      </c>
      <c r="AF565" s="10" t="s">
        <v>395</v>
      </c>
      <c r="AG565" s="10">
        <v>2024</v>
      </c>
      <c r="AH565" s="10" t="s">
        <v>396</v>
      </c>
      <c r="AI565" s="2">
        <v>50</v>
      </c>
      <c r="AJ565" s="2">
        <v>2</v>
      </c>
      <c r="AK565" s="2" t="s">
        <v>34</v>
      </c>
    </row>
    <row r="566" spans="1:37" x14ac:dyDescent="0.3">
      <c r="A566" s="11">
        <v>7.8698763825634304</v>
      </c>
      <c r="B566" s="11">
        <v>129.13640032284101</v>
      </c>
      <c r="C566" s="10" t="s">
        <v>34</v>
      </c>
      <c r="D566" s="10" t="s">
        <v>394</v>
      </c>
      <c r="E566" s="10" t="s">
        <v>387</v>
      </c>
      <c r="F566" s="10" t="s">
        <v>34</v>
      </c>
      <c r="G566" s="10" t="s">
        <v>34</v>
      </c>
      <c r="H566" s="10" t="s">
        <v>34</v>
      </c>
      <c r="I566" s="10" t="s">
        <v>34</v>
      </c>
      <c r="J566" s="10" t="s">
        <v>34</v>
      </c>
      <c r="K566" s="10" t="s">
        <v>34</v>
      </c>
      <c r="L566" s="10">
        <v>0</v>
      </c>
      <c r="M566" s="10">
        <v>34.1</v>
      </c>
      <c r="N566" s="10">
        <v>1400.49</v>
      </c>
      <c r="O566" s="10">
        <v>1.143</v>
      </c>
      <c r="P566" s="10">
        <v>0.84099999999999997</v>
      </c>
      <c r="Q566" s="10">
        <v>36.4</v>
      </c>
      <c r="R566" s="10">
        <v>2.8570000000000002</v>
      </c>
      <c r="S566" s="10" t="s">
        <v>34</v>
      </c>
      <c r="T566" s="10" t="s">
        <v>49</v>
      </c>
      <c r="U566" s="10" t="s">
        <v>362</v>
      </c>
      <c r="V566" s="10" t="s">
        <v>38</v>
      </c>
      <c r="W566" s="10" t="s">
        <v>43</v>
      </c>
      <c r="X566" s="10">
        <v>0.5</v>
      </c>
      <c r="Y566" s="10">
        <v>1</v>
      </c>
      <c r="Z566" s="10" t="s">
        <v>339</v>
      </c>
      <c r="AA566" s="10">
        <v>0.38600000000000001</v>
      </c>
      <c r="AB566" s="10" t="s">
        <v>34</v>
      </c>
      <c r="AC566" s="10" t="s">
        <v>399</v>
      </c>
      <c r="AD566" s="10" t="s">
        <v>277</v>
      </c>
      <c r="AE566" s="10">
        <v>0.86780000000000002</v>
      </c>
      <c r="AF566" s="10" t="s">
        <v>395</v>
      </c>
      <c r="AG566" s="10">
        <v>2024</v>
      </c>
      <c r="AH566" s="10" t="s">
        <v>396</v>
      </c>
      <c r="AI566" s="2">
        <v>50</v>
      </c>
      <c r="AJ566" s="2">
        <v>2</v>
      </c>
      <c r="AK566" s="2" t="s">
        <v>34</v>
      </c>
    </row>
    <row r="567" spans="1:37" x14ac:dyDescent="0.3">
      <c r="A567" s="11">
        <v>7.7033181522446297</v>
      </c>
      <c r="B567" s="11">
        <v>150.92816787731999</v>
      </c>
      <c r="C567" s="10" t="s">
        <v>34</v>
      </c>
      <c r="D567" s="10" t="s">
        <v>394</v>
      </c>
      <c r="E567" s="10" t="s">
        <v>387</v>
      </c>
      <c r="F567" s="10" t="s">
        <v>34</v>
      </c>
      <c r="G567" s="10" t="s">
        <v>34</v>
      </c>
      <c r="H567" s="10" t="s">
        <v>34</v>
      </c>
      <c r="I567" s="10" t="s">
        <v>34</v>
      </c>
      <c r="J567" s="10" t="s">
        <v>34</v>
      </c>
      <c r="K567" s="10" t="s">
        <v>34</v>
      </c>
      <c r="L567" s="10">
        <v>0</v>
      </c>
      <c r="M567" s="10">
        <v>34.1</v>
      </c>
      <c r="N567" s="10">
        <v>1400.49</v>
      </c>
      <c r="O567" s="10">
        <v>1.143</v>
      </c>
      <c r="P567" s="10">
        <v>0.84099999999999997</v>
      </c>
      <c r="Q567" s="10">
        <v>36.4</v>
      </c>
      <c r="R567" s="10">
        <v>2.8570000000000002</v>
      </c>
      <c r="S567" s="10" t="s">
        <v>34</v>
      </c>
      <c r="T567" s="10" t="s">
        <v>49</v>
      </c>
      <c r="U567" s="10" t="s">
        <v>362</v>
      </c>
      <c r="V567" s="10" t="s">
        <v>38</v>
      </c>
      <c r="W567" s="10" t="s">
        <v>43</v>
      </c>
      <c r="X567" s="10">
        <v>0.5</v>
      </c>
      <c r="Y567" s="10">
        <v>1</v>
      </c>
      <c r="Z567" s="10" t="s">
        <v>339</v>
      </c>
      <c r="AA567" s="10">
        <v>0.38600000000000001</v>
      </c>
      <c r="AB567" s="10" t="s">
        <v>34</v>
      </c>
      <c r="AC567" s="10" t="s">
        <v>399</v>
      </c>
      <c r="AD567" s="10" t="s">
        <v>277</v>
      </c>
      <c r="AE567" s="10">
        <v>0.86780000000000002</v>
      </c>
      <c r="AF567" s="10" t="s">
        <v>395</v>
      </c>
      <c r="AG567" s="10">
        <v>2024</v>
      </c>
      <c r="AH567" s="10" t="s">
        <v>396</v>
      </c>
      <c r="AI567" s="2">
        <v>50</v>
      </c>
      <c r="AJ567" s="2">
        <v>2</v>
      </c>
      <c r="AK567" s="2" t="s">
        <v>34</v>
      </c>
    </row>
    <row r="568" spans="1:37" x14ac:dyDescent="0.3">
      <c r="A568" s="11">
        <v>8.16135328562134</v>
      </c>
      <c r="B568" s="11">
        <v>213.882163034705</v>
      </c>
      <c r="C568" s="10" t="s">
        <v>34</v>
      </c>
      <c r="D568" s="10" t="s">
        <v>394</v>
      </c>
      <c r="E568" s="10" t="s">
        <v>387</v>
      </c>
      <c r="F568" s="10" t="s">
        <v>34</v>
      </c>
      <c r="G568" s="10" t="s">
        <v>34</v>
      </c>
      <c r="H568" s="10" t="s">
        <v>34</v>
      </c>
      <c r="I568" s="10" t="s">
        <v>34</v>
      </c>
      <c r="J568" s="10" t="s">
        <v>34</v>
      </c>
      <c r="K568" s="10" t="s">
        <v>34</v>
      </c>
      <c r="L568" s="10">
        <v>0</v>
      </c>
      <c r="M568" s="10">
        <v>34.1</v>
      </c>
      <c r="N568" s="10">
        <v>1400.49</v>
      </c>
      <c r="O568" s="10">
        <v>1.143</v>
      </c>
      <c r="P568" s="10">
        <v>0.84099999999999997</v>
      </c>
      <c r="Q568" s="10">
        <v>36.4</v>
      </c>
      <c r="R568" s="10">
        <v>2.8570000000000002</v>
      </c>
      <c r="S568" s="10" t="s">
        <v>34</v>
      </c>
      <c r="T568" s="10" t="s">
        <v>49</v>
      </c>
      <c r="U568" s="10" t="s">
        <v>362</v>
      </c>
      <c r="V568" s="10" t="s">
        <v>38</v>
      </c>
      <c r="W568" s="10" t="s">
        <v>43</v>
      </c>
      <c r="X568" s="10">
        <v>0.5</v>
      </c>
      <c r="Y568" s="10">
        <v>1</v>
      </c>
      <c r="Z568" s="10" t="s">
        <v>339</v>
      </c>
      <c r="AA568" s="10">
        <v>0.38600000000000001</v>
      </c>
      <c r="AB568" s="10" t="s">
        <v>34</v>
      </c>
      <c r="AC568" s="10" t="s">
        <v>399</v>
      </c>
      <c r="AD568" s="10" t="s">
        <v>277</v>
      </c>
      <c r="AE568" s="10">
        <v>0.86780000000000002</v>
      </c>
      <c r="AF568" s="10" t="s">
        <v>395</v>
      </c>
      <c r="AG568" s="10">
        <v>2024</v>
      </c>
      <c r="AH568" s="10" t="s">
        <v>396</v>
      </c>
      <c r="AI568" s="2">
        <v>50</v>
      </c>
      <c r="AJ568" s="2">
        <v>2</v>
      </c>
      <c r="AK568" s="2" t="s">
        <v>34</v>
      </c>
    </row>
    <row r="569" spans="1:37" x14ac:dyDescent="0.3">
      <c r="A569" s="11">
        <v>9.7124268054651903</v>
      </c>
      <c r="B569" s="11">
        <v>309.927360774818</v>
      </c>
      <c r="C569" s="10" t="s">
        <v>34</v>
      </c>
      <c r="D569" s="10" t="s">
        <v>394</v>
      </c>
      <c r="E569" s="10" t="s">
        <v>387</v>
      </c>
      <c r="F569" s="10" t="s">
        <v>34</v>
      </c>
      <c r="G569" s="10" t="s">
        <v>34</v>
      </c>
      <c r="H569" s="10" t="s">
        <v>34</v>
      </c>
      <c r="I569" s="10" t="s">
        <v>34</v>
      </c>
      <c r="J569" s="10" t="s">
        <v>34</v>
      </c>
      <c r="K569" s="10" t="s">
        <v>34</v>
      </c>
      <c r="L569" s="10">
        <v>0</v>
      </c>
      <c r="M569" s="10">
        <v>34.1</v>
      </c>
      <c r="N569" s="10">
        <v>1400.49</v>
      </c>
      <c r="O569" s="10">
        <v>1.143</v>
      </c>
      <c r="P569" s="10">
        <v>0.84099999999999997</v>
      </c>
      <c r="Q569" s="10">
        <v>36.4</v>
      </c>
      <c r="R569" s="10">
        <v>2.8570000000000002</v>
      </c>
      <c r="S569" s="10" t="s">
        <v>34</v>
      </c>
      <c r="T569" s="10" t="s">
        <v>49</v>
      </c>
      <c r="U569" s="10" t="s">
        <v>362</v>
      </c>
      <c r="V569" s="10" t="s">
        <v>38</v>
      </c>
      <c r="W569" s="10" t="s">
        <v>43</v>
      </c>
      <c r="X569" s="10">
        <v>0.5</v>
      </c>
      <c r="Y569" s="10">
        <v>1</v>
      </c>
      <c r="Z569" s="10" t="s">
        <v>339</v>
      </c>
      <c r="AA569" s="10">
        <v>0.38600000000000001</v>
      </c>
      <c r="AB569" s="10" t="s">
        <v>34</v>
      </c>
      <c r="AC569" s="10" t="s">
        <v>399</v>
      </c>
      <c r="AD569" s="10" t="s">
        <v>277</v>
      </c>
      <c r="AE569" s="10">
        <v>0.86780000000000002</v>
      </c>
      <c r="AF569" s="10" t="s">
        <v>395</v>
      </c>
      <c r="AG569" s="10">
        <v>2024</v>
      </c>
      <c r="AH569" s="10" t="s">
        <v>396</v>
      </c>
      <c r="AI569" s="2">
        <v>50</v>
      </c>
      <c r="AJ569" s="2">
        <v>2</v>
      </c>
      <c r="AK569" s="2" t="s">
        <v>34</v>
      </c>
    </row>
    <row r="570" spans="1:37" x14ac:dyDescent="0.3">
      <c r="A570" s="11">
        <v>10.1080026024723</v>
      </c>
      <c r="B570" s="11">
        <v>318.80548829701303</v>
      </c>
      <c r="C570" s="10" t="s">
        <v>34</v>
      </c>
      <c r="D570" s="10" t="s">
        <v>394</v>
      </c>
      <c r="E570" s="10" t="s">
        <v>387</v>
      </c>
      <c r="F570" s="10" t="s">
        <v>34</v>
      </c>
      <c r="G570" s="10" t="s">
        <v>34</v>
      </c>
      <c r="H570" s="10" t="s">
        <v>34</v>
      </c>
      <c r="I570" s="10" t="s">
        <v>34</v>
      </c>
      <c r="J570" s="10" t="s">
        <v>34</v>
      </c>
      <c r="K570" s="10" t="s">
        <v>34</v>
      </c>
      <c r="L570" s="10">
        <v>0</v>
      </c>
      <c r="M570" s="10">
        <v>34.1</v>
      </c>
      <c r="N570" s="10">
        <v>1400.49</v>
      </c>
      <c r="O570" s="10">
        <v>1.143</v>
      </c>
      <c r="P570" s="10">
        <v>0.84099999999999997</v>
      </c>
      <c r="Q570" s="10">
        <v>36.4</v>
      </c>
      <c r="R570" s="10">
        <v>2.8570000000000002</v>
      </c>
      <c r="S570" s="10" t="s">
        <v>34</v>
      </c>
      <c r="T570" s="10" t="s">
        <v>49</v>
      </c>
      <c r="U570" s="10" t="s">
        <v>362</v>
      </c>
      <c r="V570" s="10" t="s">
        <v>38</v>
      </c>
      <c r="W570" s="10" t="s">
        <v>43</v>
      </c>
      <c r="X570" s="10">
        <v>0.5</v>
      </c>
      <c r="Y570" s="10">
        <v>1</v>
      </c>
      <c r="Z570" s="10" t="s">
        <v>339</v>
      </c>
      <c r="AA570" s="10">
        <v>0.38600000000000001</v>
      </c>
      <c r="AB570" s="10" t="s">
        <v>34</v>
      </c>
      <c r="AC570" s="10" t="s">
        <v>399</v>
      </c>
      <c r="AD570" s="10" t="s">
        <v>277</v>
      </c>
      <c r="AE570" s="10">
        <v>0.86780000000000002</v>
      </c>
      <c r="AF570" s="10" t="s">
        <v>395</v>
      </c>
      <c r="AG570" s="10">
        <v>2024</v>
      </c>
      <c r="AH570" s="10" t="s">
        <v>396</v>
      </c>
      <c r="AI570" s="2">
        <v>50</v>
      </c>
      <c r="AJ570" s="2">
        <v>2</v>
      </c>
      <c r="AK570" s="2" t="s">
        <v>34</v>
      </c>
    </row>
    <row r="571" spans="1:37" x14ac:dyDescent="0.3">
      <c r="A571" s="11">
        <v>11.929733246584201</v>
      </c>
      <c r="B571" s="11">
        <v>482.64729620661802</v>
      </c>
      <c r="C571" s="10" t="s">
        <v>34</v>
      </c>
      <c r="D571" s="10" t="s">
        <v>394</v>
      </c>
      <c r="E571" s="10" t="s">
        <v>387</v>
      </c>
      <c r="F571" s="10" t="s">
        <v>34</v>
      </c>
      <c r="G571" s="10" t="s">
        <v>34</v>
      </c>
      <c r="H571" s="10" t="s">
        <v>34</v>
      </c>
      <c r="I571" s="10" t="s">
        <v>34</v>
      </c>
      <c r="J571" s="10" t="s">
        <v>34</v>
      </c>
      <c r="K571" s="10" t="s">
        <v>34</v>
      </c>
      <c r="L571" s="10">
        <v>0</v>
      </c>
      <c r="M571" s="10">
        <v>34.1</v>
      </c>
      <c r="N571" s="10">
        <v>1400.49</v>
      </c>
      <c r="O571" s="10">
        <v>1.143</v>
      </c>
      <c r="P571" s="10">
        <v>0.84099999999999997</v>
      </c>
      <c r="Q571" s="10">
        <v>36.4</v>
      </c>
      <c r="R571" s="10">
        <v>2.8570000000000002</v>
      </c>
      <c r="S571" s="10" t="s">
        <v>34</v>
      </c>
      <c r="T571" s="10" t="s">
        <v>49</v>
      </c>
      <c r="U571" s="10" t="s">
        <v>362</v>
      </c>
      <c r="V571" s="10" t="s">
        <v>38</v>
      </c>
      <c r="W571" s="10" t="s">
        <v>43</v>
      </c>
      <c r="X571" s="10">
        <v>0.5</v>
      </c>
      <c r="Y571" s="10">
        <v>1</v>
      </c>
      <c r="Z571" s="10" t="s">
        <v>339</v>
      </c>
      <c r="AA571" s="10">
        <v>0.38600000000000001</v>
      </c>
      <c r="AB571" s="10" t="s">
        <v>34</v>
      </c>
      <c r="AC571" s="10" t="s">
        <v>399</v>
      </c>
      <c r="AD571" s="10" t="s">
        <v>277</v>
      </c>
      <c r="AE571" s="10">
        <v>0.86780000000000002</v>
      </c>
      <c r="AF571" s="10" t="s">
        <v>395</v>
      </c>
      <c r="AG571" s="10">
        <v>2024</v>
      </c>
      <c r="AH571" s="10" t="s">
        <v>396</v>
      </c>
      <c r="AI571" s="2">
        <v>50</v>
      </c>
      <c r="AJ571" s="2">
        <v>2</v>
      </c>
      <c r="AK571" s="2" t="s">
        <v>34</v>
      </c>
    </row>
    <row r="572" spans="1:37" x14ac:dyDescent="0.3">
      <c r="A572" s="11">
        <v>12.2836694860117</v>
      </c>
      <c r="B572" s="11">
        <v>728.00645682001596</v>
      </c>
      <c r="C572" s="10" t="s">
        <v>34</v>
      </c>
      <c r="D572" s="10" t="s">
        <v>394</v>
      </c>
      <c r="E572" s="10" t="s">
        <v>387</v>
      </c>
      <c r="F572" s="10" t="s">
        <v>34</v>
      </c>
      <c r="G572" s="10" t="s">
        <v>34</v>
      </c>
      <c r="H572" s="10" t="s">
        <v>34</v>
      </c>
      <c r="I572" s="10" t="s">
        <v>34</v>
      </c>
      <c r="J572" s="10" t="s">
        <v>34</v>
      </c>
      <c r="K572" s="10" t="s">
        <v>34</v>
      </c>
      <c r="L572" s="10">
        <v>0</v>
      </c>
      <c r="M572" s="10">
        <v>34.1</v>
      </c>
      <c r="N572" s="10">
        <v>1400.49</v>
      </c>
      <c r="O572" s="10">
        <v>1.143</v>
      </c>
      <c r="P572" s="10">
        <v>0.84099999999999997</v>
      </c>
      <c r="Q572" s="10">
        <v>36.4</v>
      </c>
      <c r="R572" s="10">
        <v>2.8570000000000002</v>
      </c>
      <c r="S572" s="10" t="s">
        <v>34</v>
      </c>
      <c r="T572" s="10" t="s">
        <v>49</v>
      </c>
      <c r="U572" s="10" t="s">
        <v>362</v>
      </c>
      <c r="V572" s="10" t="s">
        <v>38</v>
      </c>
      <c r="W572" s="10" t="s">
        <v>43</v>
      </c>
      <c r="X572" s="10">
        <v>0.5</v>
      </c>
      <c r="Y572" s="10">
        <v>1</v>
      </c>
      <c r="Z572" s="10" t="s">
        <v>339</v>
      </c>
      <c r="AA572" s="10">
        <v>0.38600000000000001</v>
      </c>
      <c r="AB572" s="10" t="s">
        <v>34</v>
      </c>
      <c r="AC572" s="10" t="s">
        <v>399</v>
      </c>
      <c r="AD572" s="10" t="s">
        <v>277</v>
      </c>
      <c r="AE572" s="10">
        <v>0.86780000000000002</v>
      </c>
      <c r="AF572" s="10" t="s">
        <v>395</v>
      </c>
      <c r="AG572" s="10">
        <v>2024</v>
      </c>
      <c r="AH572" s="10" t="s">
        <v>396</v>
      </c>
      <c r="AI572" s="2">
        <v>50</v>
      </c>
      <c r="AJ572" s="2">
        <v>2</v>
      </c>
      <c r="AK572" s="2" t="s">
        <v>34</v>
      </c>
    </row>
    <row r="573" spans="1:37" ht="16.2" thickBot="1" x14ac:dyDescent="0.35">
      <c r="A573" s="17">
        <v>11.81522446324</v>
      </c>
      <c r="B573" s="17">
        <v>900.72639225181604</v>
      </c>
      <c r="C573" s="14" t="s">
        <v>34</v>
      </c>
      <c r="D573" s="14" t="s">
        <v>394</v>
      </c>
      <c r="E573" s="14" t="s">
        <v>387</v>
      </c>
      <c r="F573" s="14" t="s">
        <v>34</v>
      </c>
      <c r="G573" s="14" t="s">
        <v>34</v>
      </c>
      <c r="H573" s="14" t="s">
        <v>34</v>
      </c>
      <c r="I573" s="14" t="s">
        <v>34</v>
      </c>
      <c r="J573" s="14" t="s">
        <v>34</v>
      </c>
      <c r="K573" s="14" t="s">
        <v>34</v>
      </c>
      <c r="L573" s="14">
        <v>0</v>
      </c>
      <c r="M573" s="14">
        <v>34.1</v>
      </c>
      <c r="N573" s="14">
        <v>1400.49</v>
      </c>
      <c r="O573" s="14">
        <v>1.143</v>
      </c>
      <c r="P573" s="14">
        <v>0.84099999999999997</v>
      </c>
      <c r="Q573" s="14">
        <v>36.4</v>
      </c>
      <c r="R573" s="14">
        <v>2.8570000000000002</v>
      </c>
      <c r="S573" s="14" t="s">
        <v>34</v>
      </c>
      <c r="T573" s="14" t="s">
        <v>49</v>
      </c>
      <c r="U573" s="14" t="s">
        <v>362</v>
      </c>
      <c r="V573" s="14" t="s">
        <v>38</v>
      </c>
      <c r="W573" s="14" t="s">
        <v>43</v>
      </c>
      <c r="X573" s="14">
        <v>0.5</v>
      </c>
      <c r="Y573" s="14">
        <v>1</v>
      </c>
      <c r="Z573" s="14" t="s">
        <v>339</v>
      </c>
      <c r="AA573" s="14">
        <v>0.38600000000000001</v>
      </c>
      <c r="AB573" s="14" t="s">
        <v>34</v>
      </c>
      <c r="AC573" s="14" t="s">
        <v>399</v>
      </c>
      <c r="AD573" s="14" t="s">
        <v>277</v>
      </c>
      <c r="AE573" s="14">
        <v>0.86780000000000002</v>
      </c>
      <c r="AF573" s="14" t="s">
        <v>395</v>
      </c>
      <c r="AG573" s="14">
        <v>2024</v>
      </c>
      <c r="AH573" s="14" t="s">
        <v>396</v>
      </c>
      <c r="AI573" s="15">
        <v>50</v>
      </c>
      <c r="AJ573" s="15">
        <v>2</v>
      </c>
      <c r="AK573" s="15" t="s">
        <v>34</v>
      </c>
    </row>
    <row r="574" spans="1:37" x14ac:dyDescent="0.3">
      <c r="A574" s="12">
        <f>COUNTIF(A1:A573,NOT("NA"))</f>
        <v>0</v>
      </c>
      <c r="B574" s="12">
        <f t="shared" ref="B574:AK574" si="10">COUNTIF(B1:B573,"NA")</f>
        <v>0</v>
      </c>
      <c r="C574" s="12">
        <f t="shared" si="10"/>
        <v>60</v>
      </c>
      <c r="D574" s="12">
        <f t="shared" si="10"/>
        <v>36</v>
      </c>
      <c r="E574" s="12">
        <f t="shared" si="10"/>
        <v>25</v>
      </c>
      <c r="F574" s="12">
        <f t="shared" si="10"/>
        <v>326</v>
      </c>
      <c r="G574" s="12">
        <f t="shared" si="10"/>
        <v>83</v>
      </c>
      <c r="H574" s="12">
        <f t="shared" si="10"/>
        <v>367</v>
      </c>
      <c r="I574" s="12">
        <f t="shared" si="10"/>
        <v>367</v>
      </c>
      <c r="J574" s="12">
        <f t="shared" si="10"/>
        <v>284</v>
      </c>
      <c r="K574" s="12">
        <f t="shared" si="10"/>
        <v>364</v>
      </c>
      <c r="L574" s="12">
        <f t="shared" si="10"/>
        <v>140</v>
      </c>
      <c r="M574" s="12">
        <f t="shared" si="10"/>
        <v>197</v>
      </c>
      <c r="N574" s="12">
        <f t="shared" si="10"/>
        <v>184</v>
      </c>
      <c r="O574" s="12">
        <f t="shared" si="10"/>
        <v>243</v>
      </c>
      <c r="P574" s="12">
        <f t="shared" si="10"/>
        <v>243</v>
      </c>
      <c r="Q574" s="12">
        <f t="shared" si="10"/>
        <v>204</v>
      </c>
      <c r="R574" s="12">
        <f t="shared" si="10"/>
        <v>221</v>
      </c>
      <c r="S574" s="12">
        <f t="shared" si="10"/>
        <v>385</v>
      </c>
      <c r="T574" s="12">
        <f t="shared" si="10"/>
        <v>0</v>
      </c>
      <c r="U574" s="12">
        <f t="shared" si="10"/>
        <v>0</v>
      </c>
      <c r="V574" s="12">
        <f t="shared" si="10"/>
        <v>0</v>
      </c>
      <c r="W574" s="12">
        <f t="shared" si="10"/>
        <v>279</v>
      </c>
      <c r="X574" s="12">
        <f t="shared" si="10"/>
        <v>0</v>
      </c>
      <c r="Y574" s="12">
        <f t="shared" si="10"/>
        <v>0</v>
      </c>
      <c r="Z574" s="12">
        <f t="shared" si="10"/>
        <v>3</v>
      </c>
      <c r="AA574" s="12">
        <f t="shared" si="10"/>
        <v>119</v>
      </c>
      <c r="AB574" s="12">
        <f t="shared" si="10"/>
        <v>305</v>
      </c>
      <c r="AC574" s="12">
        <f t="shared" si="10"/>
        <v>3</v>
      </c>
      <c r="AD574" s="12">
        <f t="shared" si="10"/>
        <v>3</v>
      </c>
      <c r="AE574" s="12">
        <f t="shared" si="10"/>
        <v>4</v>
      </c>
      <c r="AF574" s="12">
        <f t="shared" si="10"/>
        <v>0</v>
      </c>
      <c r="AG574" s="12">
        <f t="shared" si="10"/>
        <v>0</v>
      </c>
      <c r="AH574" s="12">
        <f t="shared" si="10"/>
        <v>0</v>
      </c>
      <c r="AI574" s="12">
        <f t="shared" si="10"/>
        <v>0</v>
      </c>
      <c r="AJ574" s="12">
        <f t="shared" si="10"/>
        <v>0</v>
      </c>
      <c r="AK574" s="12">
        <f t="shared" si="10"/>
        <v>156</v>
      </c>
    </row>
  </sheetData>
  <mergeCells count="1">
    <mergeCell ref="BC22:BD23"/>
  </mergeCells>
  <phoneticPr fontId="4" type="noConversion"/>
  <dataValidations count="3">
    <dataValidation type="list" allowBlank="1" showInputMessage="1" showErrorMessage="1" sqref="T198:T203" xr:uid="{86FF5AF6-C2D9-4AED-AA58-9926554A6A3B}">
      <formula1>"MICP,EICP,Other"</formula1>
    </dataValidation>
    <dataValidation type="list" allowBlank="1" showInputMessage="1" showErrorMessage="1" sqref="V2:V40 V86:V157 V192:V197" xr:uid="{5F30566E-FF8F-4717-8D70-6E25B0A7AAE4}">
      <formula1>"IMMERSION,PERCOLATION,MIX-COMPACT,INJECTION"</formula1>
    </dataValidation>
    <dataValidation type="list" allowBlank="1" showInputMessage="1" showErrorMessage="1" sqref="U2:U40 U192:U197" xr:uid="{CA5B1900-4E7D-47D2-B603-AFEE67876E9B}">
      <formula1>"Augmented, Stimulated, Jack Beans, Soybeans, Commercial, "</formula1>
    </dataValidation>
  </dataValidation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95E6F-5E25-45D7-84A3-5E8AEE4EEDBE}">
  <dimension ref="A1:AK10"/>
  <sheetViews>
    <sheetView topLeftCell="U1" workbookViewId="0">
      <selection activeCell="A11" sqref="A11:XFD13"/>
    </sheetView>
  </sheetViews>
  <sheetFormatPr defaultRowHeight="14.4" x14ac:dyDescent="0.3"/>
  <sheetData>
    <row r="1" spans="1:37" s="1" customFormat="1" ht="93.6" x14ac:dyDescent="0.3">
      <c r="A1" s="16" t="s">
        <v>0</v>
      </c>
      <c r="B1" s="16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44</v>
      </c>
      <c r="R1" s="3" t="s">
        <v>30</v>
      </c>
      <c r="S1" s="3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52</v>
      </c>
      <c r="AC1" s="6" t="s">
        <v>26</v>
      </c>
      <c r="AD1" s="7" t="s">
        <v>31</v>
      </c>
      <c r="AE1" s="8" t="s">
        <v>25</v>
      </c>
      <c r="AF1" s="9" t="s">
        <v>27</v>
      </c>
      <c r="AG1" s="9" t="s">
        <v>28</v>
      </c>
      <c r="AH1" s="9" t="s">
        <v>29</v>
      </c>
      <c r="AI1" s="58" t="s">
        <v>376</v>
      </c>
      <c r="AJ1" s="58" t="s">
        <v>377</v>
      </c>
      <c r="AK1" s="58" t="s">
        <v>378</v>
      </c>
    </row>
    <row r="2" spans="1:37" s="2" customFormat="1" ht="15.6" x14ac:dyDescent="0.3">
      <c r="A2" s="12">
        <v>1.63</v>
      </c>
      <c r="B2" s="12">
        <v>133</v>
      </c>
      <c r="C2" s="13" t="s">
        <v>33</v>
      </c>
      <c r="D2" s="13" t="s">
        <v>226</v>
      </c>
      <c r="E2" s="13" t="s">
        <v>170</v>
      </c>
      <c r="F2" s="13" t="s">
        <v>34</v>
      </c>
      <c r="G2" s="13">
        <v>0.6</v>
      </c>
      <c r="H2" s="13" t="s">
        <v>34</v>
      </c>
      <c r="I2" s="13" t="s">
        <v>34</v>
      </c>
      <c r="J2" s="13">
        <v>1.2</v>
      </c>
      <c r="K2" s="13" t="s">
        <v>34</v>
      </c>
      <c r="L2" s="13">
        <v>0</v>
      </c>
      <c r="M2" s="13">
        <v>76</v>
      </c>
      <c r="N2" s="13">
        <v>1699.64</v>
      </c>
      <c r="O2" s="13">
        <v>0.74199999999999999</v>
      </c>
      <c r="P2" s="13">
        <v>0.502</v>
      </c>
      <c r="Q2" s="13">
        <v>0</v>
      </c>
      <c r="R2" s="13">
        <v>2.65</v>
      </c>
      <c r="S2" s="13" t="s">
        <v>34</v>
      </c>
      <c r="T2" s="13" t="s">
        <v>49</v>
      </c>
      <c r="U2" s="13" t="s">
        <v>50</v>
      </c>
      <c r="V2" s="13" t="s">
        <v>207</v>
      </c>
      <c r="W2" s="13" t="s">
        <v>34</v>
      </c>
      <c r="X2" s="13">
        <v>1</v>
      </c>
      <c r="Y2" s="13">
        <v>1.5</v>
      </c>
      <c r="Z2" s="13" t="s">
        <v>204</v>
      </c>
      <c r="AA2" s="12">
        <v>0.315</v>
      </c>
      <c r="AB2" s="13" t="s">
        <v>34</v>
      </c>
      <c r="AC2" s="13" t="s">
        <v>40</v>
      </c>
      <c r="AD2" s="13" t="s">
        <v>32</v>
      </c>
      <c r="AE2" s="13">
        <v>7.8100000000000003E-2</v>
      </c>
      <c r="AF2" s="13" t="s">
        <v>238</v>
      </c>
      <c r="AG2" s="13">
        <v>2019</v>
      </c>
      <c r="AH2" s="13" t="s">
        <v>239</v>
      </c>
      <c r="AI2" s="13">
        <v>51</v>
      </c>
      <c r="AJ2" s="13">
        <v>2</v>
      </c>
      <c r="AK2" s="13">
        <v>1.2450000000000001</v>
      </c>
    </row>
    <row r="3" spans="1:37" s="2" customFormat="1" ht="15.6" x14ac:dyDescent="0.3">
      <c r="A3" s="11">
        <v>0.98</v>
      </c>
      <c r="B3" s="11">
        <v>158</v>
      </c>
      <c r="C3" s="13" t="s">
        <v>33</v>
      </c>
      <c r="D3" s="13" t="s">
        <v>230</v>
      </c>
      <c r="E3" s="13" t="s">
        <v>170</v>
      </c>
      <c r="F3" s="13" t="s">
        <v>34</v>
      </c>
      <c r="G3" s="13">
        <v>0.6</v>
      </c>
      <c r="H3" s="13" t="s">
        <v>34</v>
      </c>
      <c r="I3" s="13" t="s">
        <v>34</v>
      </c>
      <c r="J3" s="13">
        <v>1.2</v>
      </c>
      <c r="K3" s="13" t="s">
        <v>34</v>
      </c>
      <c r="L3" s="13">
        <v>0</v>
      </c>
      <c r="M3" s="13">
        <v>76</v>
      </c>
      <c r="N3" s="13">
        <v>1699.64</v>
      </c>
      <c r="O3" s="13">
        <v>0.74199999999999999</v>
      </c>
      <c r="P3" s="13">
        <v>0.502</v>
      </c>
      <c r="Q3" s="13">
        <v>0</v>
      </c>
      <c r="R3" s="13">
        <v>2.65</v>
      </c>
      <c r="S3" s="13" t="s">
        <v>34</v>
      </c>
      <c r="T3" s="13" t="s">
        <v>49</v>
      </c>
      <c r="U3" s="13" t="s">
        <v>50</v>
      </c>
      <c r="V3" s="13" t="s">
        <v>207</v>
      </c>
      <c r="W3" s="13" t="s">
        <v>34</v>
      </c>
      <c r="X3" s="10">
        <v>1</v>
      </c>
      <c r="Y3" s="10">
        <v>1.5</v>
      </c>
      <c r="Z3" s="13" t="s">
        <v>204</v>
      </c>
      <c r="AA3" s="11">
        <v>0.315</v>
      </c>
      <c r="AB3" s="13" t="s">
        <v>34</v>
      </c>
      <c r="AC3" s="13" t="s">
        <v>40</v>
      </c>
      <c r="AD3" s="13" t="s">
        <v>32</v>
      </c>
      <c r="AE3" s="13">
        <v>7.8100000000000003E-2</v>
      </c>
      <c r="AF3" s="13" t="s">
        <v>238</v>
      </c>
      <c r="AG3" s="13">
        <v>2019</v>
      </c>
      <c r="AH3" s="13" t="s">
        <v>239</v>
      </c>
      <c r="AI3" s="10">
        <v>51</v>
      </c>
      <c r="AJ3" s="10">
        <v>2</v>
      </c>
      <c r="AK3" s="10">
        <v>1.2450000000000001</v>
      </c>
    </row>
    <row r="4" spans="1:37" s="2" customFormat="1" ht="15.6" x14ac:dyDescent="0.3">
      <c r="A4" s="11">
        <v>0.99</v>
      </c>
      <c r="B4" s="11">
        <v>124</v>
      </c>
      <c r="C4" s="13" t="s">
        <v>33</v>
      </c>
      <c r="D4" s="13" t="s">
        <v>231</v>
      </c>
      <c r="E4" s="13" t="s">
        <v>170</v>
      </c>
      <c r="F4" s="13" t="s">
        <v>34</v>
      </c>
      <c r="G4" s="13">
        <v>0.6</v>
      </c>
      <c r="H4" s="13" t="s">
        <v>34</v>
      </c>
      <c r="I4" s="13" t="s">
        <v>34</v>
      </c>
      <c r="J4" s="13">
        <v>1.2</v>
      </c>
      <c r="K4" s="13" t="s">
        <v>34</v>
      </c>
      <c r="L4" s="13">
        <v>0</v>
      </c>
      <c r="M4" s="13">
        <v>76</v>
      </c>
      <c r="N4" s="13">
        <v>1699.64</v>
      </c>
      <c r="O4" s="13">
        <v>0.74199999999999999</v>
      </c>
      <c r="P4" s="13">
        <v>0.502</v>
      </c>
      <c r="Q4" s="13">
        <v>0</v>
      </c>
      <c r="R4" s="13">
        <v>2.65</v>
      </c>
      <c r="S4" s="13" t="s">
        <v>34</v>
      </c>
      <c r="T4" s="13" t="s">
        <v>49</v>
      </c>
      <c r="U4" s="13" t="s">
        <v>50</v>
      </c>
      <c r="V4" s="13" t="s">
        <v>207</v>
      </c>
      <c r="W4" s="13" t="s">
        <v>34</v>
      </c>
      <c r="X4" s="10">
        <v>1</v>
      </c>
      <c r="Y4" s="10">
        <v>1.5</v>
      </c>
      <c r="Z4" s="13" t="s">
        <v>204</v>
      </c>
      <c r="AA4" s="11">
        <v>0.315</v>
      </c>
      <c r="AB4" s="13" t="s">
        <v>34</v>
      </c>
      <c r="AC4" s="13" t="s">
        <v>40</v>
      </c>
      <c r="AD4" s="13" t="s">
        <v>32</v>
      </c>
      <c r="AE4" s="13">
        <v>7.8100000000000003E-2</v>
      </c>
      <c r="AF4" s="13" t="s">
        <v>238</v>
      </c>
      <c r="AG4" s="13">
        <v>2019</v>
      </c>
      <c r="AH4" s="13" t="s">
        <v>239</v>
      </c>
      <c r="AI4" s="10">
        <v>51</v>
      </c>
      <c r="AJ4" s="10">
        <v>2</v>
      </c>
      <c r="AK4" s="10">
        <v>1.2450000000000001</v>
      </c>
    </row>
    <row r="5" spans="1:37" s="2" customFormat="1" ht="15.6" x14ac:dyDescent="0.3">
      <c r="A5" s="11">
        <v>0.82</v>
      </c>
      <c r="B5" s="11">
        <v>1817</v>
      </c>
      <c r="C5" s="13" t="s">
        <v>33</v>
      </c>
      <c r="D5" s="13" t="s">
        <v>232</v>
      </c>
      <c r="E5" s="13" t="s">
        <v>170</v>
      </c>
      <c r="F5" s="13" t="s">
        <v>34</v>
      </c>
      <c r="G5" s="13">
        <v>0.6</v>
      </c>
      <c r="H5" s="13" t="s">
        <v>34</v>
      </c>
      <c r="I5" s="13" t="s">
        <v>34</v>
      </c>
      <c r="J5" s="13">
        <v>1.2</v>
      </c>
      <c r="K5" s="13" t="s">
        <v>34</v>
      </c>
      <c r="L5" s="13">
        <v>0</v>
      </c>
      <c r="M5" s="13">
        <v>76</v>
      </c>
      <c r="N5" s="13">
        <v>1699.64</v>
      </c>
      <c r="O5" s="13">
        <v>0.74199999999999999</v>
      </c>
      <c r="P5" s="13">
        <v>0.502</v>
      </c>
      <c r="Q5" s="13">
        <v>0</v>
      </c>
      <c r="R5" s="13">
        <v>2.65</v>
      </c>
      <c r="S5" s="13" t="s">
        <v>34</v>
      </c>
      <c r="T5" s="13" t="s">
        <v>49</v>
      </c>
      <c r="U5" s="13" t="s">
        <v>50</v>
      </c>
      <c r="V5" s="13" t="s">
        <v>207</v>
      </c>
      <c r="W5" s="13" t="s">
        <v>34</v>
      </c>
      <c r="X5" s="10">
        <v>1</v>
      </c>
      <c r="Y5" s="10">
        <v>1.5</v>
      </c>
      <c r="Z5" s="13" t="s">
        <v>204</v>
      </c>
      <c r="AA5" s="11">
        <v>0.315</v>
      </c>
      <c r="AB5" s="13" t="s">
        <v>34</v>
      </c>
      <c r="AC5" s="10" t="s">
        <v>203</v>
      </c>
      <c r="AD5" s="13" t="s">
        <v>32</v>
      </c>
      <c r="AE5" s="10">
        <v>0.71450000000000002</v>
      </c>
      <c r="AF5" s="13" t="s">
        <v>238</v>
      </c>
      <c r="AG5" s="13">
        <v>2019</v>
      </c>
      <c r="AH5" s="13" t="s">
        <v>239</v>
      </c>
      <c r="AI5" s="10">
        <v>51</v>
      </c>
      <c r="AJ5" s="10">
        <v>2</v>
      </c>
      <c r="AK5" s="10">
        <v>1.2450000000000001</v>
      </c>
    </row>
    <row r="6" spans="1:37" s="2" customFormat="1" ht="15.6" x14ac:dyDescent="0.3">
      <c r="A6" s="11">
        <v>0.79</v>
      </c>
      <c r="B6" s="11">
        <v>1654</v>
      </c>
      <c r="C6" s="13" t="s">
        <v>33</v>
      </c>
      <c r="D6" s="13" t="s">
        <v>233</v>
      </c>
      <c r="E6" s="13" t="s">
        <v>170</v>
      </c>
      <c r="F6" s="13" t="s">
        <v>34</v>
      </c>
      <c r="G6" s="13">
        <v>0.6</v>
      </c>
      <c r="H6" s="13" t="s">
        <v>34</v>
      </c>
      <c r="I6" s="13" t="s">
        <v>34</v>
      </c>
      <c r="J6" s="13">
        <v>1.2</v>
      </c>
      <c r="K6" s="13" t="s">
        <v>34</v>
      </c>
      <c r="L6" s="13">
        <v>0</v>
      </c>
      <c r="M6" s="13">
        <v>76</v>
      </c>
      <c r="N6" s="13">
        <v>1699.64</v>
      </c>
      <c r="O6" s="13">
        <v>0.74199999999999999</v>
      </c>
      <c r="P6" s="13">
        <v>0.502</v>
      </c>
      <c r="Q6" s="13">
        <v>0</v>
      </c>
      <c r="R6" s="13">
        <v>2.65</v>
      </c>
      <c r="S6" s="13" t="s">
        <v>34</v>
      </c>
      <c r="T6" s="13" t="s">
        <v>49</v>
      </c>
      <c r="U6" s="13" t="s">
        <v>50</v>
      </c>
      <c r="V6" s="13" t="s">
        <v>207</v>
      </c>
      <c r="W6" s="13" t="s">
        <v>34</v>
      </c>
      <c r="X6" s="10">
        <v>1</v>
      </c>
      <c r="Y6" s="10">
        <v>1.5</v>
      </c>
      <c r="Z6" s="13" t="s">
        <v>204</v>
      </c>
      <c r="AA6" s="11">
        <v>0.315</v>
      </c>
      <c r="AB6" s="13" t="s">
        <v>34</v>
      </c>
      <c r="AC6" s="10" t="s">
        <v>203</v>
      </c>
      <c r="AD6" s="13" t="s">
        <v>32</v>
      </c>
      <c r="AE6" s="10">
        <v>0.71450000000000002</v>
      </c>
      <c r="AF6" s="13" t="s">
        <v>238</v>
      </c>
      <c r="AG6" s="13">
        <v>2019</v>
      </c>
      <c r="AH6" s="13" t="s">
        <v>239</v>
      </c>
      <c r="AI6" s="10">
        <v>51</v>
      </c>
      <c r="AJ6" s="10">
        <v>2</v>
      </c>
      <c r="AK6" s="10">
        <v>1.2450000000000001</v>
      </c>
    </row>
    <row r="7" spans="1:37" s="2" customFormat="1" ht="15.6" x14ac:dyDescent="0.3">
      <c r="A7" s="11">
        <v>1.17</v>
      </c>
      <c r="B7" s="11">
        <v>1763</v>
      </c>
      <c r="C7" s="13" t="s">
        <v>33</v>
      </c>
      <c r="D7" s="13" t="s">
        <v>234</v>
      </c>
      <c r="E7" s="13" t="s">
        <v>170</v>
      </c>
      <c r="F7" s="13" t="s">
        <v>34</v>
      </c>
      <c r="G7" s="13">
        <v>0.6</v>
      </c>
      <c r="H7" s="13" t="s">
        <v>34</v>
      </c>
      <c r="I7" s="13" t="s">
        <v>34</v>
      </c>
      <c r="J7" s="13">
        <v>1.2</v>
      </c>
      <c r="K7" s="13" t="s">
        <v>34</v>
      </c>
      <c r="L7" s="13">
        <v>0</v>
      </c>
      <c r="M7" s="13">
        <v>76</v>
      </c>
      <c r="N7" s="13">
        <v>1699.64</v>
      </c>
      <c r="O7" s="13">
        <v>0.74199999999999999</v>
      </c>
      <c r="P7" s="13">
        <v>0.502</v>
      </c>
      <c r="Q7" s="13">
        <v>0</v>
      </c>
      <c r="R7" s="13">
        <v>2.65</v>
      </c>
      <c r="S7" s="13" t="s">
        <v>34</v>
      </c>
      <c r="T7" s="13" t="s">
        <v>49</v>
      </c>
      <c r="U7" s="13" t="s">
        <v>50</v>
      </c>
      <c r="V7" s="13" t="s">
        <v>207</v>
      </c>
      <c r="W7" s="13" t="s">
        <v>34</v>
      </c>
      <c r="X7" s="10">
        <v>1</v>
      </c>
      <c r="Y7" s="10">
        <v>1.5</v>
      </c>
      <c r="Z7" s="13" t="s">
        <v>204</v>
      </c>
      <c r="AA7" s="11">
        <v>0.315</v>
      </c>
      <c r="AB7" s="13" t="s">
        <v>34</v>
      </c>
      <c r="AC7" s="10" t="s">
        <v>203</v>
      </c>
      <c r="AD7" s="13" t="s">
        <v>32</v>
      </c>
      <c r="AE7" s="10">
        <v>0.71450000000000002</v>
      </c>
      <c r="AF7" s="13" t="s">
        <v>238</v>
      </c>
      <c r="AG7" s="13">
        <v>2019</v>
      </c>
      <c r="AH7" s="13" t="s">
        <v>239</v>
      </c>
      <c r="AI7" s="10">
        <v>51</v>
      </c>
      <c r="AJ7" s="10">
        <v>2</v>
      </c>
      <c r="AK7" s="10">
        <v>1.2450000000000001</v>
      </c>
    </row>
    <row r="8" spans="1:37" s="2" customFormat="1" ht="15.6" x14ac:dyDescent="0.3">
      <c r="A8" s="11">
        <v>0.56999999999999995</v>
      </c>
      <c r="B8" s="11">
        <v>1000</v>
      </c>
      <c r="C8" s="13" t="s">
        <v>33</v>
      </c>
      <c r="D8" s="13" t="s">
        <v>235</v>
      </c>
      <c r="E8" s="13" t="s">
        <v>170</v>
      </c>
      <c r="F8" s="13" t="s">
        <v>34</v>
      </c>
      <c r="G8" s="13">
        <v>0.6</v>
      </c>
      <c r="H8" s="13" t="s">
        <v>34</v>
      </c>
      <c r="I8" s="13" t="s">
        <v>34</v>
      </c>
      <c r="J8" s="13">
        <v>1.2</v>
      </c>
      <c r="K8" s="13" t="s">
        <v>34</v>
      </c>
      <c r="L8" s="13">
        <v>0</v>
      </c>
      <c r="M8" s="13">
        <v>76</v>
      </c>
      <c r="N8" s="13">
        <v>1699.64</v>
      </c>
      <c r="O8" s="13">
        <v>0.74199999999999999</v>
      </c>
      <c r="P8" s="13">
        <v>0.502</v>
      </c>
      <c r="Q8" s="13">
        <v>0</v>
      </c>
      <c r="R8" s="13">
        <v>2.65</v>
      </c>
      <c r="S8" s="13" t="s">
        <v>34</v>
      </c>
      <c r="T8" s="13" t="s">
        <v>49</v>
      </c>
      <c r="U8" s="13" t="s">
        <v>50</v>
      </c>
      <c r="V8" s="13" t="s">
        <v>207</v>
      </c>
      <c r="W8" s="13" t="s">
        <v>34</v>
      </c>
      <c r="X8" s="10">
        <v>0.37</v>
      </c>
      <c r="Y8" s="10">
        <v>1.48</v>
      </c>
      <c r="Z8" s="13" t="s">
        <v>204</v>
      </c>
      <c r="AA8" s="11">
        <v>8.9249999999999996E-2</v>
      </c>
      <c r="AB8" s="13" t="s">
        <v>34</v>
      </c>
      <c r="AC8" s="10" t="s">
        <v>203</v>
      </c>
      <c r="AD8" s="13" t="s">
        <v>32</v>
      </c>
      <c r="AE8" s="10">
        <v>0.71450000000000002</v>
      </c>
      <c r="AF8" s="13" t="s">
        <v>238</v>
      </c>
      <c r="AG8" s="13">
        <v>2019</v>
      </c>
      <c r="AH8" s="13" t="s">
        <v>239</v>
      </c>
      <c r="AI8" s="10">
        <v>51</v>
      </c>
      <c r="AJ8" s="10">
        <v>2</v>
      </c>
      <c r="AK8" s="10">
        <v>1.2450000000000001</v>
      </c>
    </row>
    <row r="9" spans="1:37" s="2" customFormat="1" ht="15.6" x14ac:dyDescent="0.3">
      <c r="A9" s="31">
        <v>0.71</v>
      </c>
      <c r="B9" s="31">
        <v>1396</v>
      </c>
      <c r="C9" s="32" t="s">
        <v>33</v>
      </c>
      <c r="D9" s="32" t="s">
        <v>236</v>
      </c>
      <c r="E9" s="32" t="s">
        <v>170</v>
      </c>
      <c r="F9" s="32" t="s">
        <v>34</v>
      </c>
      <c r="G9" s="32">
        <v>0.6</v>
      </c>
      <c r="H9" s="32" t="s">
        <v>34</v>
      </c>
      <c r="I9" s="32" t="s">
        <v>34</v>
      </c>
      <c r="J9" s="32">
        <v>1.2</v>
      </c>
      <c r="K9" s="32" t="s">
        <v>34</v>
      </c>
      <c r="L9" s="32">
        <v>0</v>
      </c>
      <c r="M9" s="32">
        <v>76</v>
      </c>
      <c r="N9" s="32">
        <v>1699.64</v>
      </c>
      <c r="O9" s="32">
        <v>0.74199999999999999</v>
      </c>
      <c r="P9" s="32">
        <v>0.502</v>
      </c>
      <c r="Q9" s="32">
        <v>0</v>
      </c>
      <c r="R9" s="32">
        <v>2.65</v>
      </c>
      <c r="S9" s="32" t="s">
        <v>34</v>
      </c>
      <c r="T9" s="32" t="s">
        <v>49</v>
      </c>
      <c r="U9" s="32" t="s">
        <v>50</v>
      </c>
      <c r="V9" s="32" t="s">
        <v>207</v>
      </c>
      <c r="W9" s="32" t="s">
        <v>34</v>
      </c>
      <c r="X9" s="33">
        <v>0.37</v>
      </c>
      <c r="Y9" s="33">
        <v>1.48</v>
      </c>
      <c r="Z9" s="13" t="s">
        <v>204</v>
      </c>
      <c r="AA9" s="31">
        <v>8.9249999999999996E-2</v>
      </c>
      <c r="AB9" s="32" t="s">
        <v>34</v>
      </c>
      <c r="AC9" s="33" t="s">
        <v>203</v>
      </c>
      <c r="AD9" s="32" t="s">
        <v>32</v>
      </c>
      <c r="AE9" s="33">
        <v>0.71450000000000002</v>
      </c>
      <c r="AF9" s="32" t="s">
        <v>238</v>
      </c>
      <c r="AG9" s="32">
        <v>2019</v>
      </c>
      <c r="AH9" s="32" t="s">
        <v>239</v>
      </c>
      <c r="AI9" s="10">
        <v>51</v>
      </c>
      <c r="AJ9" s="10">
        <v>2</v>
      </c>
      <c r="AK9" s="10">
        <v>1.2450000000000001</v>
      </c>
    </row>
    <row r="10" spans="1:37" s="34" customFormat="1" ht="16.2" thickBot="1" x14ac:dyDescent="0.35">
      <c r="A10" s="17">
        <v>0.49</v>
      </c>
      <c r="B10" s="17">
        <v>941</v>
      </c>
      <c r="C10" s="14" t="s">
        <v>33</v>
      </c>
      <c r="D10" s="14" t="s">
        <v>237</v>
      </c>
      <c r="E10" s="14" t="s">
        <v>170</v>
      </c>
      <c r="F10" s="14" t="s">
        <v>34</v>
      </c>
      <c r="G10" s="14">
        <v>0.6</v>
      </c>
      <c r="H10" s="14" t="s">
        <v>34</v>
      </c>
      <c r="I10" s="14" t="s">
        <v>34</v>
      </c>
      <c r="J10" s="14">
        <v>1.2</v>
      </c>
      <c r="K10" s="14" t="s">
        <v>34</v>
      </c>
      <c r="L10" s="14">
        <v>0</v>
      </c>
      <c r="M10" s="14">
        <v>76</v>
      </c>
      <c r="N10" s="14">
        <v>1699.64</v>
      </c>
      <c r="O10" s="14">
        <v>0.74199999999999999</v>
      </c>
      <c r="P10" s="14">
        <v>0.502</v>
      </c>
      <c r="Q10" s="14">
        <v>0</v>
      </c>
      <c r="R10" s="14">
        <v>2.65</v>
      </c>
      <c r="S10" s="14" t="s">
        <v>34</v>
      </c>
      <c r="T10" s="14" t="s">
        <v>49</v>
      </c>
      <c r="U10" s="14" t="s">
        <v>50</v>
      </c>
      <c r="V10" s="14" t="s">
        <v>207</v>
      </c>
      <c r="W10" s="14" t="s">
        <v>34</v>
      </c>
      <c r="X10" s="14">
        <v>0.37</v>
      </c>
      <c r="Y10" s="14">
        <v>1.48</v>
      </c>
      <c r="Z10" s="14" t="s">
        <v>204</v>
      </c>
      <c r="AA10" s="17">
        <v>8.9249999999999996E-2</v>
      </c>
      <c r="AB10" s="14" t="s">
        <v>34</v>
      </c>
      <c r="AC10" s="14" t="s">
        <v>203</v>
      </c>
      <c r="AD10" s="14" t="s">
        <v>32</v>
      </c>
      <c r="AE10" s="14">
        <v>0.71450000000000002</v>
      </c>
      <c r="AF10" s="14" t="s">
        <v>238</v>
      </c>
      <c r="AG10" s="14">
        <v>2019</v>
      </c>
      <c r="AH10" s="14" t="s">
        <v>239</v>
      </c>
      <c r="AI10" s="14">
        <v>51</v>
      </c>
      <c r="AJ10" s="14">
        <v>2</v>
      </c>
      <c r="AK10" s="14">
        <v>1.2450000000000001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63A63-4976-4696-A6EC-DB54042D98EF}">
  <dimension ref="A1:BT84"/>
  <sheetViews>
    <sheetView topLeftCell="BE1" workbookViewId="0">
      <pane ySplit="1" topLeftCell="A2" activePane="bottomLeft" state="frozen"/>
      <selection pane="bottomLeft" activeCell="BP14" sqref="BP14"/>
    </sheetView>
  </sheetViews>
  <sheetFormatPr defaultColWidth="15.77734375" defaultRowHeight="15.6" x14ac:dyDescent="0.3"/>
  <cols>
    <col min="1" max="2" width="15.77734375" style="11"/>
    <col min="3" max="4" width="15.77734375" style="10"/>
    <col min="5" max="5" width="17.33203125" style="10" customWidth="1"/>
    <col min="6" max="33" width="15.77734375" style="10"/>
    <col min="34" max="34" width="94.109375" style="10" bestFit="1" customWidth="1"/>
    <col min="35" max="41" width="15.77734375" style="2"/>
    <col min="42" max="42" width="26.33203125" style="2" customWidth="1"/>
    <col min="43" max="43" width="27.33203125" style="2" customWidth="1"/>
    <col min="44" max="16384" width="15.77734375" style="2"/>
  </cols>
  <sheetData>
    <row r="1" spans="1:72" s="1" customFormat="1" ht="46.8" x14ac:dyDescent="0.3">
      <c r="A1" s="16" t="s">
        <v>0</v>
      </c>
      <c r="B1" s="16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416</v>
      </c>
      <c r="O1" s="3" t="s">
        <v>14</v>
      </c>
      <c r="P1" s="3" t="s">
        <v>15</v>
      </c>
      <c r="Q1" s="3" t="s">
        <v>44</v>
      </c>
      <c r="R1" s="3" t="s">
        <v>30</v>
      </c>
      <c r="S1" s="3" t="s">
        <v>417</v>
      </c>
      <c r="T1" s="4" t="s">
        <v>17</v>
      </c>
      <c r="U1" s="4" t="s">
        <v>18</v>
      </c>
      <c r="V1" s="4" t="s">
        <v>19</v>
      </c>
      <c r="W1" s="4" t="s">
        <v>20</v>
      </c>
      <c r="X1" s="5" t="s">
        <v>21</v>
      </c>
      <c r="Y1" s="5" t="s">
        <v>22</v>
      </c>
      <c r="Z1" s="5" t="s">
        <v>23</v>
      </c>
      <c r="AA1" s="5" t="s">
        <v>415</v>
      </c>
      <c r="AB1" s="5" t="s">
        <v>52</v>
      </c>
      <c r="AC1" s="6" t="s">
        <v>26</v>
      </c>
      <c r="AD1" s="7" t="s">
        <v>31</v>
      </c>
      <c r="AE1" s="8" t="s">
        <v>25</v>
      </c>
      <c r="AF1" s="9" t="s">
        <v>27</v>
      </c>
      <c r="AG1" s="9" t="s">
        <v>28</v>
      </c>
      <c r="AH1" s="9" t="s">
        <v>29</v>
      </c>
      <c r="AI1" s="58" t="s">
        <v>376</v>
      </c>
      <c r="AJ1" s="58" t="s">
        <v>377</v>
      </c>
      <c r="AK1" s="58" t="s">
        <v>378</v>
      </c>
      <c r="AL1" s="1" t="s">
        <v>418</v>
      </c>
    </row>
    <row r="2" spans="1:72" x14ac:dyDescent="0.3">
      <c r="A2" s="11">
        <v>1.96013289036544</v>
      </c>
      <c r="B2" s="11">
        <v>138.14262023217199</v>
      </c>
      <c r="C2" s="10" t="s">
        <v>33</v>
      </c>
      <c r="D2" s="10" t="s">
        <v>35</v>
      </c>
      <c r="E2" s="10" t="s">
        <v>387</v>
      </c>
      <c r="F2" s="10">
        <v>0.14000000000000001</v>
      </c>
      <c r="G2" s="10">
        <v>0.7</v>
      </c>
      <c r="H2" s="10">
        <v>0.41899999999999998</v>
      </c>
      <c r="I2" s="11">
        <v>0.89880000000000004</v>
      </c>
      <c r="J2" s="10">
        <v>6.42</v>
      </c>
      <c r="K2" s="10">
        <v>1.4</v>
      </c>
      <c r="L2" s="10" t="s">
        <v>34</v>
      </c>
      <c r="M2" s="10">
        <f t="shared" ref="M2:M7" si="0">IF(O2="NA","NA",63.04)</f>
        <v>63.04</v>
      </c>
      <c r="N2" s="10">
        <v>1359.82</v>
      </c>
      <c r="O2" s="10">
        <f t="shared" ref="O2:O7" si="1">IF(C2="SP",0.74,"NA")</f>
        <v>0.74</v>
      </c>
      <c r="P2" s="10">
        <f t="shared" ref="P2:P7" si="2">IF(C2="SP",0.51,"NA")</f>
        <v>0.51</v>
      </c>
      <c r="Q2" s="10">
        <v>0</v>
      </c>
      <c r="R2" s="10">
        <v>2.7</v>
      </c>
      <c r="S2" s="10" t="s">
        <v>34</v>
      </c>
      <c r="T2" s="10" t="s">
        <v>49</v>
      </c>
      <c r="U2" s="10" t="s">
        <v>262</v>
      </c>
      <c r="V2" s="10" t="s">
        <v>162</v>
      </c>
      <c r="W2" s="10">
        <v>1</v>
      </c>
      <c r="X2" s="10">
        <v>1</v>
      </c>
      <c r="Y2" s="42">
        <v>1.4925373134328357</v>
      </c>
      <c r="Z2" s="10" t="s">
        <v>262</v>
      </c>
      <c r="AA2" s="11">
        <v>0.19350000000000001</v>
      </c>
      <c r="AB2" s="10">
        <v>8.6</v>
      </c>
      <c r="AC2" s="10" t="s">
        <v>40</v>
      </c>
      <c r="AD2" s="10" t="s">
        <v>32</v>
      </c>
      <c r="AE2" s="10">
        <v>0.97519999999999996</v>
      </c>
      <c r="AF2" s="10" t="s">
        <v>263</v>
      </c>
      <c r="AG2" s="10">
        <v>2020</v>
      </c>
      <c r="AH2" s="94" t="s">
        <v>264</v>
      </c>
      <c r="AI2" s="2">
        <v>50</v>
      </c>
      <c r="AJ2" s="2">
        <v>2</v>
      </c>
      <c r="AK2" s="2">
        <v>1</v>
      </c>
      <c r="AL2" s="2" t="str">
        <f t="shared" ref="AL2:AL33" si="3">CONCATENATE(AF2, " et al. (",AG2,")")</f>
        <v>Miftah et al. (2020)</v>
      </c>
      <c r="AW2" s="11">
        <v>1.96013289036544</v>
      </c>
      <c r="AX2" s="11">
        <v>138.14262023217199</v>
      </c>
      <c r="AZ2" s="12">
        <v>15.226793770897515</v>
      </c>
      <c r="BA2" s="12">
        <v>211.83206106870099</v>
      </c>
    </row>
    <row r="3" spans="1:72" x14ac:dyDescent="0.3">
      <c r="A3" s="11">
        <v>2.9817275747508298</v>
      </c>
      <c r="B3" s="11">
        <v>229.27031509120999</v>
      </c>
      <c r="C3" s="10" t="s">
        <v>33</v>
      </c>
      <c r="D3" s="10" t="s">
        <v>35</v>
      </c>
      <c r="E3" s="10" t="s">
        <v>387</v>
      </c>
      <c r="F3" s="10">
        <v>0.14000000000000001</v>
      </c>
      <c r="G3" s="10">
        <v>0.7</v>
      </c>
      <c r="H3" s="10">
        <v>0.41899999999999998</v>
      </c>
      <c r="I3" s="11">
        <v>0.89880000000000004</v>
      </c>
      <c r="J3" s="10">
        <v>6.42</v>
      </c>
      <c r="K3" s="10">
        <v>1.4</v>
      </c>
      <c r="L3" s="10" t="s">
        <v>34</v>
      </c>
      <c r="M3" s="10">
        <f t="shared" si="0"/>
        <v>63.04</v>
      </c>
      <c r="N3" s="10">
        <v>1359.82</v>
      </c>
      <c r="O3" s="10">
        <f t="shared" si="1"/>
        <v>0.74</v>
      </c>
      <c r="P3" s="10">
        <f t="shared" si="2"/>
        <v>0.51</v>
      </c>
      <c r="Q3" s="10">
        <v>0</v>
      </c>
      <c r="R3" s="10">
        <v>2.7</v>
      </c>
      <c r="S3" s="10" t="s">
        <v>34</v>
      </c>
      <c r="T3" s="10" t="s">
        <v>49</v>
      </c>
      <c r="U3" s="10" t="s">
        <v>262</v>
      </c>
      <c r="V3" s="10" t="s">
        <v>162</v>
      </c>
      <c r="W3" s="10">
        <v>2</v>
      </c>
      <c r="X3" s="10">
        <v>1</v>
      </c>
      <c r="Y3" s="42">
        <v>1.4925373134328357</v>
      </c>
      <c r="Z3" s="10" t="s">
        <v>262</v>
      </c>
      <c r="AA3" s="11">
        <v>0.19350000000000001</v>
      </c>
      <c r="AB3" s="10">
        <v>8.6</v>
      </c>
      <c r="AC3" s="10" t="s">
        <v>40</v>
      </c>
      <c r="AD3" s="10" t="s">
        <v>32</v>
      </c>
      <c r="AE3" s="10">
        <v>0.97519999999999996</v>
      </c>
      <c r="AF3" s="10" t="s">
        <v>263</v>
      </c>
      <c r="AG3" s="10">
        <v>2020</v>
      </c>
      <c r="AH3" s="94" t="s">
        <v>264</v>
      </c>
      <c r="AI3" s="2">
        <v>50</v>
      </c>
      <c r="AJ3" s="2">
        <v>2</v>
      </c>
      <c r="AK3" s="2">
        <v>1</v>
      </c>
      <c r="AL3" s="2" t="str">
        <f t="shared" si="3"/>
        <v>Miftah et al. (2020)</v>
      </c>
      <c r="AQ3" s="91"/>
      <c r="AW3" s="11">
        <v>2.9817275747508298</v>
      </c>
      <c r="AX3" s="11">
        <v>229.27031509120999</v>
      </c>
      <c r="AZ3" s="11">
        <v>21.396037787715557</v>
      </c>
      <c r="BA3" s="11">
        <v>563.931297709923</v>
      </c>
      <c r="BO3" s="120" t="s">
        <v>437</v>
      </c>
      <c r="BP3" s="120"/>
      <c r="BQ3" s="120"/>
      <c r="BR3" s="120"/>
      <c r="BS3" s="120"/>
      <c r="BT3" s="120"/>
    </row>
    <row r="4" spans="1:72" ht="31.2" x14ac:dyDescent="0.3">
      <c r="A4" s="11">
        <v>3.6960132890365398</v>
      </c>
      <c r="B4" s="11">
        <v>263.51575456053001</v>
      </c>
      <c r="C4" s="10" t="s">
        <v>33</v>
      </c>
      <c r="D4" s="10" t="s">
        <v>35</v>
      </c>
      <c r="E4" s="10" t="s">
        <v>387</v>
      </c>
      <c r="F4" s="10">
        <v>0.14000000000000001</v>
      </c>
      <c r="G4" s="10">
        <v>0.7</v>
      </c>
      <c r="H4" s="10">
        <v>0.41899999999999998</v>
      </c>
      <c r="I4" s="11">
        <v>0.89880000000000004</v>
      </c>
      <c r="J4" s="10">
        <v>6.42</v>
      </c>
      <c r="K4" s="10">
        <v>1.4</v>
      </c>
      <c r="L4" s="10" t="s">
        <v>34</v>
      </c>
      <c r="M4" s="10">
        <f t="shared" si="0"/>
        <v>63.04</v>
      </c>
      <c r="N4" s="10">
        <v>1359.82</v>
      </c>
      <c r="O4" s="10">
        <f t="shared" si="1"/>
        <v>0.74</v>
      </c>
      <c r="P4" s="10">
        <f t="shared" si="2"/>
        <v>0.51</v>
      </c>
      <c r="Q4" s="10">
        <v>0</v>
      </c>
      <c r="R4" s="10">
        <v>2.7</v>
      </c>
      <c r="S4" s="10" t="s">
        <v>34</v>
      </c>
      <c r="T4" s="10" t="s">
        <v>49</v>
      </c>
      <c r="U4" s="10" t="s">
        <v>262</v>
      </c>
      <c r="V4" s="10" t="s">
        <v>162</v>
      </c>
      <c r="W4" s="10">
        <v>3</v>
      </c>
      <c r="X4" s="10">
        <v>1</v>
      </c>
      <c r="Y4" s="42">
        <v>1.4925373134328357</v>
      </c>
      <c r="Z4" s="10" t="s">
        <v>262</v>
      </c>
      <c r="AA4" s="11">
        <v>0.19350000000000001</v>
      </c>
      <c r="AB4" s="10">
        <v>8.6</v>
      </c>
      <c r="AC4" s="10" t="s">
        <v>40</v>
      </c>
      <c r="AD4" s="10" t="s">
        <v>32</v>
      </c>
      <c r="AE4" s="10">
        <v>0.97519999999999996</v>
      </c>
      <c r="AF4" s="10" t="s">
        <v>263</v>
      </c>
      <c r="AG4" s="10">
        <v>2020</v>
      </c>
      <c r="AH4" s="94" t="s">
        <v>264</v>
      </c>
      <c r="AI4" s="2">
        <v>50</v>
      </c>
      <c r="AJ4" s="2">
        <v>2</v>
      </c>
      <c r="AK4" s="2">
        <v>1</v>
      </c>
      <c r="AL4" s="2" t="str">
        <f t="shared" si="3"/>
        <v>Miftah et al. (2020)</v>
      </c>
      <c r="AQ4" s="91"/>
      <c r="AW4" s="11">
        <v>3.6960132890365398</v>
      </c>
      <c r="AX4" s="11">
        <v>263.51575456053001</v>
      </c>
      <c r="AZ4" s="11">
        <v>27.851099810925518</v>
      </c>
      <c r="BA4" s="11">
        <v>1067.7480916030499</v>
      </c>
      <c r="BO4" s="73" t="s">
        <v>400</v>
      </c>
      <c r="BP4" s="73" t="s">
        <v>427</v>
      </c>
      <c r="BQ4" s="73" t="s">
        <v>428</v>
      </c>
      <c r="BR4" s="73" t="s">
        <v>429</v>
      </c>
      <c r="BS4" s="73" t="s">
        <v>422</v>
      </c>
      <c r="BT4" s="73" t="s">
        <v>430</v>
      </c>
    </row>
    <row r="5" spans="1:72" ht="28.8" x14ac:dyDescent="0.3">
      <c r="A5" s="11">
        <v>1.9684385382059799</v>
      </c>
      <c r="B5" s="11">
        <v>121.39303482587</v>
      </c>
      <c r="C5" s="10" t="s">
        <v>33</v>
      </c>
      <c r="D5" s="10" t="s">
        <v>35</v>
      </c>
      <c r="E5" s="10" t="s">
        <v>387</v>
      </c>
      <c r="F5" s="10">
        <v>0.14000000000000001</v>
      </c>
      <c r="G5" s="10">
        <v>0.7</v>
      </c>
      <c r="H5" s="10">
        <v>0.41899999999999998</v>
      </c>
      <c r="I5" s="11">
        <v>0.89880000000000004</v>
      </c>
      <c r="J5" s="10">
        <v>6.42</v>
      </c>
      <c r="K5" s="10">
        <v>1.4</v>
      </c>
      <c r="L5" s="10" t="s">
        <v>34</v>
      </c>
      <c r="M5" s="10">
        <f t="shared" si="0"/>
        <v>63.04</v>
      </c>
      <c r="N5" s="10">
        <v>1359.82</v>
      </c>
      <c r="O5" s="10">
        <f t="shared" si="1"/>
        <v>0.74</v>
      </c>
      <c r="P5" s="10">
        <f t="shared" si="2"/>
        <v>0.51</v>
      </c>
      <c r="Q5" s="10">
        <v>0</v>
      </c>
      <c r="R5" s="10">
        <v>2.7</v>
      </c>
      <c r="S5" s="10" t="s">
        <v>34</v>
      </c>
      <c r="T5" s="10" t="s">
        <v>49</v>
      </c>
      <c r="U5" s="10" t="s">
        <v>262</v>
      </c>
      <c r="V5" s="10" t="s">
        <v>162</v>
      </c>
      <c r="W5" s="10">
        <v>1</v>
      </c>
      <c r="X5" s="10">
        <v>1</v>
      </c>
      <c r="Y5" s="42">
        <v>1.4925373134328357</v>
      </c>
      <c r="Z5" s="10" t="s">
        <v>262</v>
      </c>
      <c r="AA5" s="11">
        <v>0.19350000000000001</v>
      </c>
      <c r="AB5" s="10">
        <v>8.6</v>
      </c>
      <c r="AC5" s="10" t="s">
        <v>260</v>
      </c>
      <c r="AD5" s="10" t="s">
        <v>32</v>
      </c>
      <c r="AE5" s="10">
        <v>0.90700000000000003</v>
      </c>
      <c r="AF5" s="10" t="s">
        <v>263</v>
      </c>
      <c r="AG5" s="10">
        <v>2020</v>
      </c>
      <c r="AH5" s="94" t="s">
        <v>264</v>
      </c>
      <c r="AI5" s="2">
        <v>50</v>
      </c>
      <c r="AJ5" s="2">
        <v>2</v>
      </c>
      <c r="AK5" s="2">
        <v>1</v>
      </c>
      <c r="AL5" s="2" t="str">
        <f t="shared" si="3"/>
        <v>Miftah et al. (2020)</v>
      </c>
      <c r="AQ5" s="91"/>
      <c r="AU5"/>
      <c r="AV5"/>
      <c r="AW5" s="11">
        <v>1.9684385382059799</v>
      </c>
      <c r="AX5" s="11">
        <v>121.39303482587</v>
      </c>
      <c r="AY5"/>
      <c r="AZ5" s="11">
        <v>32.268898498016881</v>
      </c>
      <c r="BA5" s="11">
        <v>2301.5267175572499</v>
      </c>
      <c r="BB5"/>
      <c r="BC5"/>
      <c r="BD5"/>
      <c r="BE5"/>
      <c r="BF5"/>
      <c r="BG5"/>
      <c r="BH5"/>
      <c r="BI5"/>
      <c r="BJ5"/>
      <c r="BK5"/>
      <c r="BL5"/>
      <c r="BM5"/>
      <c r="BN5"/>
      <c r="BO5" s="97" t="s">
        <v>6</v>
      </c>
      <c r="BP5" s="97">
        <v>0.7</v>
      </c>
      <c r="BQ5" s="97">
        <v>0.11</v>
      </c>
      <c r="BR5" s="97">
        <v>0.4</v>
      </c>
      <c r="BS5" s="97" t="s">
        <v>431</v>
      </c>
      <c r="BT5" s="97">
        <v>0.3</v>
      </c>
    </row>
    <row r="6" spans="1:72" ht="46.8" x14ac:dyDescent="0.3">
      <c r="A6" s="11">
        <v>2.3671096345514901</v>
      </c>
      <c r="B6" s="11">
        <v>188.05970149253699</v>
      </c>
      <c r="C6" s="10" t="s">
        <v>33</v>
      </c>
      <c r="D6" s="10" t="s">
        <v>35</v>
      </c>
      <c r="E6" s="10" t="s">
        <v>387</v>
      </c>
      <c r="F6" s="10">
        <v>0.14000000000000001</v>
      </c>
      <c r="G6" s="10">
        <v>0.7</v>
      </c>
      <c r="H6" s="10">
        <v>0.41899999999999998</v>
      </c>
      <c r="I6" s="11">
        <v>0.89880000000000004</v>
      </c>
      <c r="J6" s="10">
        <v>6.42</v>
      </c>
      <c r="K6" s="10">
        <v>1.4</v>
      </c>
      <c r="L6" s="10" t="s">
        <v>34</v>
      </c>
      <c r="M6" s="10">
        <f t="shared" si="0"/>
        <v>63.04</v>
      </c>
      <c r="N6" s="10">
        <v>1359.82</v>
      </c>
      <c r="O6" s="10">
        <f t="shared" si="1"/>
        <v>0.74</v>
      </c>
      <c r="P6" s="10">
        <f t="shared" si="2"/>
        <v>0.51</v>
      </c>
      <c r="Q6" s="10">
        <v>0</v>
      </c>
      <c r="R6" s="10">
        <v>2.7</v>
      </c>
      <c r="S6" s="10" t="s">
        <v>34</v>
      </c>
      <c r="T6" s="10" t="s">
        <v>49</v>
      </c>
      <c r="U6" s="10" t="s">
        <v>262</v>
      </c>
      <c r="V6" s="10" t="s">
        <v>162</v>
      </c>
      <c r="W6" s="10">
        <v>2</v>
      </c>
      <c r="X6" s="10">
        <v>1</v>
      </c>
      <c r="Y6" s="42">
        <v>1.4925373134328357</v>
      </c>
      <c r="Z6" s="10" t="s">
        <v>262</v>
      </c>
      <c r="AA6" s="11">
        <v>0.19350000000000001</v>
      </c>
      <c r="AB6" s="10">
        <v>8.6</v>
      </c>
      <c r="AC6" s="10" t="s">
        <v>260</v>
      </c>
      <c r="AD6" s="10" t="s">
        <v>32</v>
      </c>
      <c r="AE6" s="10">
        <v>0.90700000000000003</v>
      </c>
      <c r="AF6" s="10" t="s">
        <v>263</v>
      </c>
      <c r="AG6" s="10">
        <v>2020</v>
      </c>
      <c r="AH6" s="94" t="s">
        <v>264</v>
      </c>
      <c r="AI6" s="2">
        <v>50</v>
      </c>
      <c r="AJ6" s="2">
        <v>2</v>
      </c>
      <c r="AK6" s="2">
        <v>1</v>
      </c>
      <c r="AL6" s="2" t="str">
        <f t="shared" si="3"/>
        <v>Miftah et al. (2020)</v>
      </c>
      <c r="AQ6" s="91"/>
      <c r="AW6" s="11">
        <v>2.3671096345514901</v>
      </c>
      <c r="AX6" s="11">
        <v>188.05970149253699</v>
      </c>
      <c r="AZ6" s="11">
        <v>17.139533882066328</v>
      </c>
      <c r="BA6" s="11">
        <v>312.02290076335902</v>
      </c>
      <c r="BO6" s="73" t="s">
        <v>432</v>
      </c>
      <c r="BP6" s="73">
        <v>63</v>
      </c>
      <c r="BQ6" s="73" t="s">
        <v>433</v>
      </c>
      <c r="BR6" s="73" t="s">
        <v>434</v>
      </c>
      <c r="BS6" s="73">
        <v>34</v>
      </c>
      <c r="BT6" s="73">
        <v>40</v>
      </c>
    </row>
    <row r="7" spans="1:72" s="15" customFormat="1" ht="31.8" thickBot="1" x14ac:dyDescent="0.35">
      <c r="A7" s="17">
        <v>2.9817275747508298</v>
      </c>
      <c r="B7" s="17">
        <v>225.37313432835799</v>
      </c>
      <c r="C7" s="14" t="s">
        <v>33</v>
      </c>
      <c r="D7" s="14" t="s">
        <v>35</v>
      </c>
      <c r="E7" s="14" t="s">
        <v>387</v>
      </c>
      <c r="F7" s="14">
        <v>0.14000000000000001</v>
      </c>
      <c r="G7" s="14">
        <v>0.7</v>
      </c>
      <c r="H7" s="14">
        <v>0.41899999999999998</v>
      </c>
      <c r="I7" s="17">
        <v>0.89880000000000004</v>
      </c>
      <c r="J7" s="14">
        <v>6.42</v>
      </c>
      <c r="K7" s="14">
        <v>1.4</v>
      </c>
      <c r="L7" s="14" t="s">
        <v>34</v>
      </c>
      <c r="M7" s="14">
        <f t="shared" si="0"/>
        <v>63.04</v>
      </c>
      <c r="N7" s="14">
        <v>1359.82</v>
      </c>
      <c r="O7" s="14">
        <f t="shared" si="1"/>
        <v>0.74</v>
      </c>
      <c r="P7" s="14">
        <f t="shared" si="2"/>
        <v>0.51</v>
      </c>
      <c r="Q7" s="14">
        <v>0</v>
      </c>
      <c r="R7" s="14">
        <v>2.7</v>
      </c>
      <c r="S7" s="14" t="s">
        <v>34</v>
      </c>
      <c r="T7" s="14" t="s">
        <v>49</v>
      </c>
      <c r="U7" s="14" t="s">
        <v>262</v>
      </c>
      <c r="V7" s="14" t="s">
        <v>162</v>
      </c>
      <c r="W7" s="14">
        <v>3</v>
      </c>
      <c r="X7" s="14">
        <v>1</v>
      </c>
      <c r="Y7" s="41">
        <v>1.4925373134328357</v>
      </c>
      <c r="Z7" s="14" t="s">
        <v>262</v>
      </c>
      <c r="AA7" s="17">
        <v>0.19350000000000001</v>
      </c>
      <c r="AB7" s="14">
        <v>8.6</v>
      </c>
      <c r="AC7" s="14" t="s">
        <v>260</v>
      </c>
      <c r="AD7" s="14" t="s">
        <v>32</v>
      </c>
      <c r="AE7" s="14">
        <v>0.90700000000000003</v>
      </c>
      <c r="AF7" s="14" t="s">
        <v>263</v>
      </c>
      <c r="AG7" s="14">
        <v>2020</v>
      </c>
      <c r="AH7" s="62" t="s">
        <v>264</v>
      </c>
      <c r="AI7" s="15">
        <v>50</v>
      </c>
      <c r="AJ7" s="15">
        <v>2</v>
      </c>
      <c r="AK7" s="15">
        <v>1</v>
      </c>
      <c r="AL7" s="15" t="str">
        <f t="shared" si="3"/>
        <v>Miftah et al. (2020)</v>
      </c>
      <c r="AQ7" s="96"/>
      <c r="AW7" s="17">
        <v>2.9817275747508298</v>
      </c>
      <c r="AX7" s="17">
        <v>225.37313432835799</v>
      </c>
      <c r="AZ7" s="11">
        <v>24.030246338742874</v>
      </c>
      <c r="BA7" s="11">
        <v>941.79389312977105</v>
      </c>
      <c r="BO7" s="73" t="s">
        <v>426</v>
      </c>
      <c r="BP7" s="73">
        <v>0</v>
      </c>
      <c r="BQ7" s="73">
        <v>0</v>
      </c>
      <c r="BR7" s="73" t="s">
        <v>436</v>
      </c>
      <c r="BS7" s="73" t="s">
        <v>435</v>
      </c>
      <c r="BT7" s="73">
        <v>0</v>
      </c>
    </row>
    <row r="8" spans="1:72" x14ac:dyDescent="0.3">
      <c r="A8" s="12">
        <v>15.226793770897515</v>
      </c>
      <c r="B8" s="12">
        <v>211.83206106870099</v>
      </c>
      <c r="C8" s="13" t="s">
        <v>33</v>
      </c>
      <c r="D8" s="13" t="s">
        <v>386</v>
      </c>
      <c r="E8" s="13" t="s">
        <v>387</v>
      </c>
      <c r="F8" s="13">
        <v>0.13800000000000001</v>
      </c>
      <c r="G8" s="13">
        <v>0.30199999999999999</v>
      </c>
      <c r="H8" s="13">
        <v>0.215</v>
      </c>
      <c r="I8" s="13">
        <v>0.34399999999999997</v>
      </c>
      <c r="J8" s="13">
        <v>2.1800000000000002</v>
      </c>
      <c r="K8" s="13">
        <v>0.92</v>
      </c>
      <c r="L8" s="13">
        <v>0</v>
      </c>
      <c r="M8" s="13">
        <v>40</v>
      </c>
      <c r="N8" s="13">
        <v>1075.05</v>
      </c>
      <c r="O8" s="13">
        <v>1.75</v>
      </c>
      <c r="P8" s="13">
        <v>1.27</v>
      </c>
      <c r="Q8" s="13">
        <v>0</v>
      </c>
      <c r="R8" s="13">
        <v>2.75</v>
      </c>
      <c r="S8" s="13">
        <v>4.4500000000000003E-4</v>
      </c>
      <c r="T8" s="13" t="s">
        <v>36</v>
      </c>
      <c r="U8" s="13" t="s">
        <v>388</v>
      </c>
      <c r="V8" s="13" t="s">
        <v>38</v>
      </c>
      <c r="W8" s="13">
        <v>3</v>
      </c>
      <c r="X8" s="13">
        <v>1</v>
      </c>
      <c r="Y8" s="13">
        <v>1</v>
      </c>
      <c r="Z8" s="13" t="s">
        <v>33</v>
      </c>
      <c r="AA8" s="13">
        <v>9.6000000000000002E-2</v>
      </c>
      <c r="AB8" s="13" t="s">
        <v>34</v>
      </c>
      <c r="AC8" s="13" t="s">
        <v>40</v>
      </c>
      <c r="AD8" s="13" t="s">
        <v>277</v>
      </c>
      <c r="AE8" s="13">
        <v>0.96779999999999999</v>
      </c>
      <c r="AF8" s="13" t="s">
        <v>342</v>
      </c>
      <c r="AG8" s="13">
        <v>2017</v>
      </c>
      <c r="AH8" s="95" t="s">
        <v>389</v>
      </c>
      <c r="AI8" s="2">
        <v>40</v>
      </c>
      <c r="AJ8" s="2">
        <v>2</v>
      </c>
      <c r="AK8" s="2">
        <v>1.25</v>
      </c>
      <c r="AL8" s="2" t="str">
        <f t="shared" si="3"/>
        <v>Liu et al. (2017)</v>
      </c>
      <c r="AQ8" s="91"/>
      <c r="AW8" s="12">
        <v>4.26</v>
      </c>
      <c r="AX8" s="12">
        <v>679.287853857193</v>
      </c>
      <c r="AZ8" s="11">
        <v>29.295736504123308</v>
      </c>
      <c r="BA8" s="11">
        <v>1468.5114503816701</v>
      </c>
      <c r="BO8" s="73" t="s">
        <v>17</v>
      </c>
      <c r="BP8" s="73" t="s">
        <v>49</v>
      </c>
      <c r="BQ8" s="73" t="s">
        <v>36</v>
      </c>
      <c r="BR8" s="73" t="s">
        <v>36</v>
      </c>
      <c r="BS8" s="73" t="s">
        <v>49</v>
      </c>
      <c r="BT8" s="73" t="s">
        <v>36</v>
      </c>
    </row>
    <row r="9" spans="1:72" ht="31.8" thickBot="1" x14ac:dyDescent="0.35">
      <c r="A9" s="11">
        <v>21.396037787715557</v>
      </c>
      <c r="B9" s="11">
        <v>563.931297709923</v>
      </c>
      <c r="C9" s="10" t="s">
        <v>33</v>
      </c>
      <c r="D9" s="10" t="s">
        <v>386</v>
      </c>
      <c r="E9" s="10" t="s">
        <v>387</v>
      </c>
      <c r="F9" s="10">
        <v>0.13800000000000001</v>
      </c>
      <c r="G9" s="10">
        <v>0.30199999999999999</v>
      </c>
      <c r="H9" s="10">
        <v>0.215</v>
      </c>
      <c r="I9" s="10">
        <v>0.34399999999999997</v>
      </c>
      <c r="J9" s="10">
        <v>2.1800000000000002</v>
      </c>
      <c r="K9" s="10">
        <v>0.92</v>
      </c>
      <c r="L9" s="10">
        <v>0</v>
      </c>
      <c r="M9" s="10">
        <v>40</v>
      </c>
      <c r="N9" s="10">
        <v>1075.05</v>
      </c>
      <c r="O9" s="10">
        <v>1.75</v>
      </c>
      <c r="P9" s="10">
        <v>1.27</v>
      </c>
      <c r="Q9" s="10">
        <v>0</v>
      </c>
      <c r="R9" s="10">
        <v>2.75</v>
      </c>
      <c r="S9" s="10">
        <v>4.4500000000000003E-4</v>
      </c>
      <c r="T9" s="10" t="s">
        <v>36</v>
      </c>
      <c r="U9" s="10" t="s">
        <v>388</v>
      </c>
      <c r="V9" s="10" t="s">
        <v>38</v>
      </c>
      <c r="W9" s="10">
        <v>3</v>
      </c>
      <c r="X9" s="10">
        <v>1</v>
      </c>
      <c r="Y9" s="10">
        <v>1</v>
      </c>
      <c r="Z9" s="10" t="s">
        <v>33</v>
      </c>
      <c r="AA9" s="10">
        <v>9.6000000000000002E-2</v>
      </c>
      <c r="AB9" s="10" t="s">
        <v>34</v>
      </c>
      <c r="AC9" s="10" t="s">
        <v>40</v>
      </c>
      <c r="AD9" s="10" t="s">
        <v>277</v>
      </c>
      <c r="AE9" s="10">
        <v>0.96779999999999999</v>
      </c>
      <c r="AF9" s="10" t="s">
        <v>342</v>
      </c>
      <c r="AG9" s="10">
        <v>2017</v>
      </c>
      <c r="AH9" s="94" t="s">
        <v>389</v>
      </c>
      <c r="AI9" s="2">
        <v>40</v>
      </c>
      <c r="AJ9" s="2">
        <v>2</v>
      </c>
      <c r="AK9" s="2">
        <v>1.25</v>
      </c>
      <c r="AL9" s="2" t="str">
        <f t="shared" si="3"/>
        <v>Liu et al. (2017)</v>
      </c>
      <c r="AQ9" s="91"/>
      <c r="AW9" s="11">
        <v>5.1999999999999966</v>
      </c>
      <c r="AX9" s="11">
        <v>577.49906835680997</v>
      </c>
      <c r="AZ9" s="17">
        <v>32.740284568562458</v>
      </c>
      <c r="BA9" s="17">
        <v>2458.96946564885</v>
      </c>
      <c r="BO9" s="73" t="s">
        <v>19</v>
      </c>
      <c r="BP9" s="73" t="s">
        <v>162</v>
      </c>
      <c r="BQ9" s="73" t="s">
        <v>38</v>
      </c>
      <c r="BR9" s="73" t="s">
        <v>38</v>
      </c>
      <c r="BS9" s="73" t="s">
        <v>38</v>
      </c>
      <c r="BT9" s="73" t="s">
        <v>38</v>
      </c>
    </row>
    <row r="10" spans="1:72" x14ac:dyDescent="0.3">
      <c r="A10" s="11">
        <v>27.851099810925518</v>
      </c>
      <c r="B10" s="11">
        <v>1067.7480916030499</v>
      </c>
      <c r="C10" s="10" t="s">
        <v>33</v>
      </c>
      <c r="D10" s="10" t="s">
        <v>386</v>
      </c>
      <c r="E10" s="10" t="s">
        <v>387</v>
      </c>
      <c r="F10" s="10">
        <v>0.13800000000000001</v>
      </c>
      <c r="G10" s="10">
        <v>0.30199999999999999</v>
      </c>
      <c r="H10" s="10">
        <v>0.215</v>
      </c>
      <c r="I10" s="10">
        <v>0.34399999999999997</v>
      </c>
      <c r="J10" s="10">
        <v>2.1800000000000002</v>
      </c>
      <c r="K10" s="10">
        <v>0.92</v>
      </c>
      <c r="L10" s="10">
        <v>0</v>
      </c>
      <c r="M10" s="10">
        <v>40</v>
      </c>
      <c r="N10" s="10">
        <v>1075.05</v>
      </c>
      <c r="O10" s="10">
        <v>1.75</v>
      </c>
      <c r="P10" s="10">
        <v>1.27</v>
      </c>
      <c r="Q10" s="10">
        <v>0</v>
      </c>
      <c r="R10" s="10">
        <v>2.75</v>
      </c>
      <c r="S10" s="10">
        <v>4.4500000000000003E-4</v>
      </c>
      <c r="T10" s="10" t="s">
        <v>36</v>
      </c>
      <c r="U10" s="10" t="s">
        <v>388</v>
      </c>
      <c r="V10" s="10" t="s">
        <v>38</v>
      </c>
      <c r="W10" s="10">
        <v>3</v>
      </c>
      <c r="X10" s="10">
        <v>1</v>
      </c>
      <c r="Y10" s="10">
        <v>1</v>
      </c>
      <c r="Z10" s="10" t="s">
        <v>33</v>
      </c>
      <c r="AA10" s="10">
        <v>9.6000000000000002E-2</v>
      </c>
      <c r="AB10" s="10" t="s">
        <v>34</v>
      </c>
      <c r="AC10" s="10" t="s">
        <v>40</v>
      </c>
      <c r="AD10" s="10" t="s">
        <v>277</v>
      </c>
      <c r="AE10" s="10">
        <v>0.96779999999999999</v>
      </c>
      <c r="AF10" s="10" t="s">
        <v>342</v>
      </c>
      <c r="AG10" s="10">
        <v>2017</v>
      </c>
      <c r="AH10" s="94" t="s">
        <v>389</v>
      </c>
      <c r="AI10" s="2">
        <v>40</v>
      </c>
      <c r="AJ10" s="2">
        <v>2</v>
      </c>
      <c r="AK10" s="2">
        <v>1.25</v>
      </c>
      <c r="AL10" s="2" t="str">
        <f t="shared" si="3"/>
        <v>Liu et al. (2017)</v>
      </c>
      <c r="AQ10" s="91"/>
      <c r="AW10" s="11">
        <v>4.2851485148514801</v>
      </c>
      <c r="AX10" s="11">
        <v>402.485807121101</v>
      </c>
      <c r="AZ10" s="12">
        <v>4.5178919973975296</v>
      </c>
      <c r="BA10" s="12">
        <v>27.4414850686039</v>
      </c>
    </row>
    <row r="11" spans="1:72" x14ac:dyDescent="0.3">
      <c r="A11" s="11">
        <v>32.268898498016881</v>
      </c>
      <c r="B11" s="11">
        <v>2301.5267175572499</v>
      </c>
      <c r="C11" s="10" t="s">
        <v>33</v>
      </c>
      <c r="D11" s="10" t="s">
        <v>386</v>
      </c>
      <c r="E11" s="10" t="s">
        <v>387</v>
      </c>
      <c r="F11" s="10">
        <v>0.13800000000000001</v>
      </c>
      <c r="G11" s="10">
        <v>0.30199999999999999</v>
      </c>
      <c r="H11" s="10">
        <v>0.215</v>
      </c>
      <c r="I11" s="10">
        <v>0.34399999999999997</v>
      </c>
      <c r="J11" s="10">
        <v>2.1800000000000002</v>
      </c>
      <c r="K11" s="10">
        <v>0.92</v>
      </c>
      <c r="L11" s="10">
        <v>0</v>
      </c>
      <c r="M11" s="10">
        <v>40</v>
      </c>
      <c r="N11" s="10">
        <v>1075.05</v>
      </c>
      <c r="O11" s="10">
        <v>1.75</v>
      </c>
      <c r="P11" s="10">
        <v>1.27</v>
      </c>
      <c r="Q11" s="10">
        <v>0</v>
      </c>
      <c r="R11" s="10">
        <v>2.75</v>
      </c>
      <c r="S11" s="10">
        <v>4.4500000000000003E-4</v>
      </c>
      <c r="T11" s="10" t="s">
        <v>36</v>
      </c>
      <c r="U11" s="10" t="s">
        <v>388</v>
      </c>
      <c r="V11" s="10" t="s">
        <v>38</v>
      </c>
      <c r="W11" s="10">
        <v>3</v>
      </c>
      <c r="X11" s="10">
        <v>1</v>
      </c>
      <c r="Y11" s="10">
        <v>1</v>
      </c>
      <c r="Z11" s="10" t="s">
        <v>33</v>
      </c>
      <c r="AA11" s="10">
        <v>9.6000000000000002E-2</v>
      </c>
      <c r="AB11" s="10" t="s">
        <v>34</v>
      </c>
      <c r="AC11" s="10" t="s">
        <v>40</v>
      </c>
      <c r="AD11" s="10" t="s">
        <v>277</v>
      </c>
      <c r="AE11" s="10">
        <v>0.96779999999999999</v>
      </c>
      <c r="AF11" s="10" t="s">
        <v>342</v>
      </c>
      <c r="AG11" s="10">
        <v>2017</v>
      </c>
      <c r="AH11" s="94" t="s">
        <v>389</v>
      </c>
      <c r="AI11" s="2">
        <v>40</v>
      </c>
      <c r="AJ11" s="2">
        <v>2</v>
      </c>
      <c r="AK11" s="2">
        <v>1.25</v>
      </c>
      <c r="AL11" s="2" t="str">
        <f t="shared" si="3"/>
        <v>Liu et al. (2017)</v>
      </c>
      <c r="AQ11" s="91"/>
      <c r="AW11" s="12">
        <v>15.98</v>
      </c>
      <c r="AX11" s="12">
        <v>1343</v>
      </c>
      <c r="AZ11" s="11">
        <v>5.17371502927781</v>
      </c>
      <c r="BA11" s="11">
        <v>38.7409200968522</v>
      </c>
    </row>
    <row r="12" spans="1:72" x14ac:dyDescent="0.3">
      <c r="A12" s="11">
        <v>17.139533882066328</v>
      </c>
      <c r="B12" s="11">
        <v>312.02290076335902</v>
      </c>
      <c r="C12" s="10" t="s">
        <v>33</v>
      </c>
      <c r="D12" s="10" t="s">
        <v>386</v>
      </c>
      <c r="E12" s="10" t="s">
        <v>387</v>
      </c>
      <c r="F12" s="10">
        <v>0.13800000000000001</v>
      </c>
      <c r="G12" s="10">
        <v>0.30199999999999999</v>
      </c>
      <c r="H12" s="10">
        <v>0.215</v>
      </c>
      <c r="I12" s="10">
        <v>0.34399999999999997</v>
      </c>
      <c r="J12" s="10">
        <v>2.1800000000000002</v>
      </c>
      <c r="K12" s="10">
        <v>0.92</v>
      </c>
      <c r="L12" s="10">
        <v>0</v>
      </c>
      <c r="M12" s="10">
        <v>40</v>
      </c>
      <c r="N12" s="10">
        <v>1075.05</v>
      </c>
      <c r="O12" s="10">
        <v>1.75</v>
      </c>
      <c r="P12" s="10">
        <v>1.27</v>
      </c>
      <c r="Q12" s="10">
        <v>0</v>
      </c>
      <c r="R12" s="10">
        <v>2.75</v>
      </c>
      <c r="S12" s="10">
        <v>4.4500000000000003E-4</v>
      </c>
      <c r="T12" s="10" t="s">
        <v>36</v>
      </c>
      <c r="U12" s="10" t="s">
        <v>388</v>
      </c>
      <c r="V12" s="10" t="s">
        <v>38</v>
      </c>
      <c r="W12" s="10">
        <v>3</v>
      </c>
      <c r="X12" s="10">
        <v>1</v>
      </c>
      <c r="Y12" s="10">
        <v>1</v>
      </c>
      <c r="Z12" s="10" t="s">
        <v>33</v>
      </c>
      <c r="AA12" s="10">
        <v>9.6000000000000002E-2</v>
      </c>
      <c r="AB12" s="10" t="s">
        <v>34</v>
      </c>
      <c r="AC12" s="10" t="s">
        <v>390</v>
      </c>
      <c r="AD12" s="10" t="s">
        <v>277</v>
      </c>
      <c r="AE12" s="10">
        <v>0.96779999999999999</v>
      </c>
      <c r="AF12" s="10" t="s">
        <v>342</v>
      </c>
      <c r="AG12" s="10">
        <v>2017</v>
      </c>
      <c r="AH12" s="94" t="s">
        <v>389</v>
      </c>
      <c r="AI12" s="2">
        <v>40</v>
      </c>
      <c r="AJ12" s="2">
        <v>2</v>
      </c>
      <c r="AK12" s="2">
        <v>1.25</v>
      </c>
      <c r="AL12" s="2" t="str">
        <f t="shared" si="3"/>
        <v>Liu et al. (2017)</v>
      </c>
      <c r="AQ12" s="91"/>
      <c r="AW12" s="11">
        <v>11.386639676113299</v>
      </c>
      <c r="AX12" s="11">
        <v>3515.70415400202</v>
      </c>
      <c r="AZ12" s="11">
        <v>5.8295380611581002</v>
      </c>
      <c r="BA12" s="11">
        <v>58.111380145278503</v>
      </c>
    </row>
    <row r="13" spans="1:72" x14ac:dyDescent="0.3">
      <c r="A13" s="11">
        <v>24.030246338742874</v>
      </c>
      <c r="B13" s="11">
        <v>941.79389312977105</v>
      </c>
      <c r="C13" s="10" t="s">
        <v>33</v>
      </c>
      <c r="D13" s="10" t="s">
        <v>386</v>
      </c>
      <c r="E13" s="10" t="s">
        <v>387</v>
      </c>
      <c r="F13" s="10">
        <v>0.13800000000000001</v>
      </c>
      <c r="G13" s="10">
        <v>0.30199999999999999</v>
      </c>
      <c r="H13" s="10">
        <v>0.215</v>
      </c>
      <c r="I13" s="10">
        <v>0.34399999999999997</v>
      </c>
      <c r="J13" s="10">
        <v>2.1800000000000002</v>
      </c>
      <c r="K13" s="10">
        <v>0.92</v>
      </c>
      <c r="L13" s="10">
        <v>0</v>
      </c>
      <c r="M13" s="10">
        <v>40</v>
      </c>
      <c r="N13" s="10">
        <v>1075.05</v>
      </c>
      <c r="O13" s="10">
        <v>1.75</v>
      </c>
      <c r="P13" s="10">
        <v>1.27</v>
      </c>
      <c r="Q13" s="10">
        <v>0</v>
      </c>
      <c r="R13" s="10">
        <v>2.75</v>
      </c>
      <c r="S13" s="10">
        <v>4.4500000000000003E-4</v>
      </c>
      <c r="T13" s="10" t="s">
        <v>36</v>
      </c>
      <c r="U13" s="10" t="s">
        <v>388</v>
      </c>
      <c r="V13" s="10" t="s">
        <v>38</v>
      </c>
      <c r="W13" s="10">
        <v>3</v>
      </c>
      <c r="X13" s="10">
        <v>1</v>
      </c>
      <c r="Y13" s="10">
        <v>1</v>
      </c>
      <c r="Z13" s="10" t="s">
        <v>33</v>
      </c>
      <c r="AA13" s="10">
        <v>9.6000000000000002E-2</v>
      </c>
      <c r="AB13" s="10" t="s">
        <v>34</v>
      </c>
      <c r="AC13" s="10" t="s">
        <v>390</v>
      </c>
      <c r="AD13" s="10" t="s">
        <v>277</v>
      </c>
      <c r="AE13" s="10">
        <v>0.96779999999999999</v>
      </c>
      <c r="AF13" s="10" t="s">
        <v>342</v>
      </c>
      <c r="AG13" s="10">
        <v>2017</v>
      </c>
      <c r="AH13" s="94" t="s">
        <v>389</v>
      </c>
      <c r="AI13" s="2">
        <v>40</v>
      </c>
      <c r="AJ13" s="2">
        <v>2</v>
      </c>
      <c r="AK13" s="2">
        <v>1.25</v>
      </c>
      <c r="AL13" s="2" t="str">
        <f t="shared" si="3"/>
        <v>Liu et al. (2017)</v>
      </c>
      <c r="AQ13" s="91"/>
      <c r="AW13" s="11">
        <v>13.486842105263101</v>
      </c>
      <c r="AX13" s="11">
        <v>6433.6372847011098</v>
      </c>
      <c r="AZ13" s="11">
        <v>6.91216655823031</v>
      </c>
      <c r="BA13" s="11">
        <v>30.669895076674901</v>
      </c>
    </row>
    <row r="14" spans="1:72" x14ac:dyDescent="0.3">
      <c r="A14" s="11">
        <v>29.295736504123308</v>
      </c>
      <c r="B14" s="11">
        <v>1468.5114503816701</v>
      </c>
      <c r="C14" s="10" t="s">
        <v>33</v>
      </c>
      <c r="D14" s="10" t="s">
        <v>386</v>
      </c>
      <c r="E14" s="10" t="s">
        <v>387</v>
      </c>
      <c r="F14" s="10">
        <v>0.13800000000000001</v>
      </c>
      <c r="G14" s="10">
        <v>0.30199999999999999</v>
      </c>
      <c r="H14" s="10">
        <v>0.215</v>
      </c>
      <c r="I14" s="10">
        <v>0.34399999999999997</v>
      </c>
      <c r="J14" s="10">
        <v>2.1800000000000002</v>
      </c>
      <c r="K14" s="10">
        <v>0.92</v>
      </c>
      <c r="L14" s="10">
        <v>0</v>
      </c>
      <c r="M14" s="10">
        <v>40</v>
      </c>
      <c r="N14" s="10">
        <v>1075.05</v>
      </c>
      <c r="O14" s="10">
        <v>1.75</v>
      </c>
      <c r="P14" s="10">
        <v>1.27</v>
      </c>
      <c r="Q14" s="10">
        <v>0</v>
      </c>
      <c r="R14" s="10">
        <v>2.75</v>
      </c>
      <c r="S14" s="10">
        <v>4.4500000000000003E-4</v>
      </c>
      <c r="T14" s="10" t="s">
        <v>36</v>
      </c>
      <c r="U14" s="10" t="s">
        <v>388</v>
      </c>
      <c r="V14" s="10" t="s">
        <v>38</v>
      </c>
      <c r="W14" s="10">
        <v>3</v>
      </c>
      <c r="X14" s="10">
        <v>1</v>
      </c>
      <c r="Y14" s="10">
        <v>1</v>
      </c>
      <c r="Z14" s="10" t="s">
        <v>33</v>
      </c>
      <c r="AA14" s="10">
        <v>9.6000000000000002E-2</v>
      </c>
      <c r="AB14" s="10" t="s">
        <v>34</v>
      </c>
      <c r="AC14" s="10" t="s">
        <v>390</v>
      </c>
      <c r="AD14" s="10" t="s">
        <v>277</v>
      </c>
      <c r="AE14" s="10">
        <v>0.96779999999999999</v>
      </c>
      <c r="AF14" s="10" t="s">
        <v>342</v>
      </c>
      <c r="AG14" s="10">
        <v>2017</v>
      </c>
      <c r="AH14" s="94" t="s">
        <v>389</v>
      </c>
      <c r="AI14" s="2">
        <v>40</v>
      </c>
      <c r="AJ14" s="2">
        <v>2</v>
      </c>
      <c r="AK14" s="2">
        <v>1.25</v>
      </c>
      <c r="AL14" s="2" t="str">
        <f t="shared" si="3"/>
        <v>Liu et al. (2017)</v>
      </c>
      <c r="AQ14" s="91"/>
      <c r="AW14" s="11">
        <v>16.523279352226702</v>
      </c>
      <c r="AX14" s="11">
        <v>8581.5602836879407</v>
      </c>
      <c r="AZ14" s="11">
        <v>6.6206896551724101</v>
      </c>
      <c r="BA14" s="11">
        <v>45.197740112994502</v>
      </c>
    </row>
    <row r="15" spans="1:72" s="15" customFormat="1" ht="16.2" thickBot="1" x14ac:dyDescent="0.35">
      <c r="A15" s="17">
        <v>32.740284568562458</v>
      </c>
      <c r="B15" s="17">
        <v>2458.96946564885</v>
      </c>
      <c r="C15" s="14" t="s">
        <v>33</v>
      </c>
      <c r="D15" s="14" t="s">
        <v>386</v>
      </c>
      <c r="E15" s="14" t="s">
        <v>387</v>
      </c>
      <c r="F15" s="14">
        <v>0.13800000000000001</v>
      </c>
      <c r="G15" s="14">
        <v>0.30199999999999999</v>
      </c>
      <c r="H15" s="14">
        <v>0.215</v>
      </c>
      <c r="I15" s="14">
        <v>0.34399999999999997</v>
      </c>
      <c r="J15" s="14">
        <v>2.1800000000000002</v>
      </c>
      <c r="K15" s="14">
        <v>0.92</v>
      </c>
      <c r="L15" s="14">
        <v>0</v>
      </c>
      <c r="M15" s="14">
        <v>40</v>
      </c>
      <c r="N15" s="14">
        <v>1075.05</v>
      </c>
      <c r="O15" s="14">
        <v>1.75</v>
      </c>
      <c r="P15" s="14">
        <v>1.27</v>
      </c>
      <c r="Q15" s="14">
        <v>0</v>
      </c>
      <c r="R15" s="14">
        <v>2.75</v>
      </c>
      <c r="S15" s="14">
        <v>4.4500000000000003E-4</v>
      </c>
      <c r="T15" s="14" t="s">
        <v>36</v>
      </c>
      <c r="U15" s="14" t="s">
        <v>388</v>
      </c>
      <c r="V15" s="14" t="s">
        <v>38</v>
      </c>
      <c r="W15" s="14">
        <v>3</v>
      </c>
      <c r="X15" s="14">
        <v>1</v>
      </c>
      <c r="Y15" s="14">
        <v>1</v>
      </c>
      <c r="Z15" s="14" t="s">
        <v>33</v>
      </c>
      <c r="AA15" s="14">
        <v>9.6000000000000002E-2</v>
      </c>
      <c r="AB15" s="14" t="s">
        <v>34</v>
      </c>
      <c r="AC15" s="14" t="s">
        <v>390</v>
      </c>
      <c r="AD15" s="14" t="s">
        <v>277</v>
      </c>
      <c r="AE15" s="14">
        <v>0.96779999999999999</v>
      </c>
      <c r="AF15" s="14" t="s">
        <v>342</v>
      </c>
      <c r="AG15" s="14">
        <v>2017</v>
      </c>
      <c r="AH15" s="62" t="s">
        <v>389</v>
      </c>
      <c r="AI15" s="15">
        <v>40</v>
      </c>
      <c r="AJ15" s="15">
        <v>2</v>
      </c>
      <c r="AK15" s="15">
        <v>1.25</v>
      </c>
      <c r="AL15" s="15" t="str">
        <f t="shared" si="3"/>
        <v>Liu et al. (2017)</v>
      </c>
      <c r="AQ15" s="96"/>
      <c r="AW15" s="11">
        <v>17.484817813765101</v>
      </c>
      <c r="AX15" s="11">
        <v>9027.3556231003004</v>
      </c>
      <c r="AZ15" s="11">
        <v>6.5270006506180804</v>
      </c>
      <c r="BA15" s="11">
        <v>58.111380145278503</v>
      </c>
    </row>
    <row r="16" spans="1:72" x14ac:dyDescent="0.3">
      <c r="A16" s="12">
        <v>15.98</v>
      </c>
      <c r="B16" s="12">
        <v>1343</v>
      </c>
      <c r="C16" s="13" t="s">
        <v>33</v>
      </c>
      <c r="D16" s="13" t="s">
        <v>35</v>
      </c>
      <c r="E16" s="13" t="s">
        <v>387</v>
      </c>
      <c r="F16" s="13">
        <v>0.26</v>
      </c>
      <c r="G16" s="13">
        <v>0.54400000000000004</v>
      </c>
      <c r="H16" s="13">
        <v>0.42</v>
      </c>
      <c r="I16" s="13">
        <v>0.57999999999999996</v>
      </c>
      <c r="J16" s="13">
        <v>2.2309999999999999</v>
      </c>
      <c r="K16" s="13">
        <v>1.17</v>
      </c>
      <c r="L16" s="13">
        <v>0</v>
      </c>
      <c r="M16" s="13">
        <v>48</v>
      </c>
      <c r="N16" s="13">
        <v>1355</v>
      </c>
      <c r="O16" s="13">
        <v>1.244</v>
      </c>
      <c r="P16" s="13">
        <v>0.81100000000000005</v>
      </c>
      <c r="Q16" s="13">
        <v>0</v>
      </c>
      <c r="R16" s="13">
        <v>2.76</v>
      </c>
      <c r="S16" s="13" t="s">
        <v>34</v>
      </c>
      <c r="T16" s="13" t="s">
        <v>36</v>
      </c>
      <c r="U16" s="13" t="s">
        <v>388</v>
      </c>
      <c r="V16" s="13" t="s">
        <v>38</v>
      </c>
      <c r="W16" s="13">
        <v>4</v>
      </c>
      <c r="X16" s="13">
        <v>0.5</v>
      </c>
      <c r="Y16" s="13">
        <v>1</v>
      </c>
      <c r="Z16" s="13" t="s">
        <v>33</v>
      </c>
      <c r="AA16" s="13">
        <v>0.28499999999999998</v>
      </c>
      <c r="AB16" s="13" t="s">
        <v>34</v>
      </c>
      <c r="AC16" s="13" t="s">
        <v>391</v>
      </c>
      <c r="AD16" s="13" t="s">
        <v>34</v>
      </c>
      <c r="AE16" s="13" t="s">
        <v>34</v>
      </c>
      <c r="AF16" s="13" t="s">
        <v>125</v>
      </c>
      <c r="AG16" s="13">
        <v>2021</v>
      </c>
      <c r="AH16" s="95" t="s">
        <v>392</v>
      </c>
      <c r="AI16" s="2">
        <v>39.1</v>
      </c>
      <c r="AJ16" s="2">
        <v>2.0499999999999998</v>
      </c>
      <c r="AK16" s="2">
        <v>1.25</v>
      </c>
      <c r="AL16" s="2" t="str">
        <f t="shared" si="3"/>
        <v>Zhao et al. (2021)</v>
      </c>
      <c r="AQ16" s="91"/>
      <c r="AW16" s="11">
        <v>19.1295546558704</v>
      </c>
      <c r="AX16" s="11">
        <v>5643.3637284701099</v>
      </c>
      <c r="AZ16" s="11">
        <v>6.46454131424853</v>
      </c>
      <c r="BA16" s="11">
        <v>92.009685230024104</v>
      </c>
    </row>
    <row r="17" spans="1:53" x14ac:dyDescent="0.3">
      <c r="A17" s="11">
        <v>11.386639676113299</v>
      </c>
      <c r="B17" s="11">
        <v>3515.70415400202</v>
      </c>
      <c r="C17" s="10" t="s">
        <v>33</v>
      </c>
      <c r="D17" s="10" t="s">
        <v>35</v>
      </c>
      <c r="E17" s="10" t="s">
        <v>387</v>
      </c>
      <c r="F17" s="10">
        <v>0.23</v>
      </c>
      <c r="G17" s="10">
        <v>0.4</v>
      </c>
      <c r="H17" s="10">
        <v>0.32</v>
      </c>
      <c r="I17" s="10">
        <v>0.42</v>
      </c>
      <c r="J17" s="10">
        <v>1.83</v>
      </c>
      <c r="K17" s="10">
        <v>1.06</v>
      </c>
      <c r="L17" s="10">
        <v>0</v>
      </c>
      <c r="M17" s="10">
        <v>30</v>
      </c>
      <c r="N17" s="10">
        <v>1311.1888111888113</v>
      </c>
      <c r="O17" s="10">
        <v>1.1599999999999999</v>
      </c>
      <c r="P17" s="10">
        <v>0.82399999999999995</v>
      </c>
      <c r="Q17" s="10">
        <v>39.229629629629628</v>
      </c>
      <c r="R17" s="10">
        <v>2.7</v>
      </c>
      <c r="S17" s="10" t="s">
        <v>34</v>
      </c>
      <c r="T17" s="10" t="s">
        <v>36</v>
      </c>
      <c r="U17" s="10" t="s">
        <v>388</v>
      </c>
      <c r="V17" s="10" t="s">
        <v>38</v>
      </c>
      <c r="W17" s="10">
        <v>6</v>
      </c>
      <c r="X17" s="10">
        <v>1</v>
      </c>
      <c r="Y17" s="10">
        <v>1</v>
      </c>
      <c r="Z17" s="10" t="s">
        <v>33</v>
      </c>
      <c r="AA17" s="10">
        <v>0.38219999999999998</v>
      </c>
      <c r="AB17" s="10" t="s">
        <v>34</v>
      </c>
      <c r="AC17" s="10" t="s">
        <v>40</v>
      </c>
      <c r="AD17" s="10" t="s">
        <v>277</v>
      </c>
      <c r="AE17" s="10">
        <v>0.67649999999999999</v>
      </c>
      <c r="AF17" s="10" t="s">
        <v>309</v>
      </c>
      <c r="AG17" s="10">
        <v>2023</v>
      </c>
      <c r="AH17" s="94" t="s">
        <v>393</v>
      </c>
      <c r="AI17" s="2">
        <v>40</v>
      </c>
      <c r="AJ17" s="2">
        <v>2</v>
      </c>
      <c r="AK17" s="2">
        <v>1.25</v>
      </c>
      <c r="AL17" s="2" t="str">
        <f t="shared" si="3"/>
        <v>Chen et al. (2023)</v>
      </c>
      <c r="AQ17" s="91"/>
      <c r="AW17" s="11">
        <v>20.799595141700401</v>
      </c>
      <c r="AX17" s="11">
        <v>4083.0800405268501</v>
      </c>
      <c r="AZ17" s="11">
        <v>7.2036434612882196</v>
      </c>
      <c r="BA17" s="11">
        <v>77.481840193704599</v>
      </c>
    </row>
    <row r="18" spans="1:53" x14ac:dyDescent="0.3">
      <c r="A18" s="11">
        <v>13.486842105263101</v>
      </c>
      <c r="B18" s="11">
        <v>6433.6372847011098</v>
      </c>
      <c r="C18" s="10" t="s">
        <v>33</v>
      </c>
      <c r="D18" s="10" t="s">
        <v>35</v>
      </c>
      <c r="E18" s="10" t="s">
        <v>387</v>
      </c>
      <c r="F18" s="10">
        <v>0.23</v>
      </c>
      <c r="G18" s="10">
        <v>0.4</v>
      </c>
      <c r="H18" s="10">
        <v>0.32</v>
      </c>
      <c r="I18" s="10">
        <v>0.42</v>
      </c>
      <c r="J18" s="10">
        <v>1.83</v>
      </c>
      <c r="K18" s="10">
        <v>1.06</v>
      </c>
      <c r="L18" s="10">
        <v>0</v>
      </c>
      <c r="M18" s="10">
        <v>40</v>
      </c>
      <c r="N18" s="10">
        <v>1332.9383886255923</v>
      </c>
      <c r="O18" s="10">
        <v>1.1599999999999999</v>
      </c>
      <c r="P18" s="10">
        <v>0.82399999999999995</v>
      </c>
      <c r="Q18" s="10">
        <v>37.985185185185181</v>
      </c>
      <c r="R18" s="10">
        <v>2.7</v>
      </c>
      <c r="S18" s="10" t="s">
        <v>34</v>
      </c>
      <c r="T18" s="10" t="s">
        <v>36</v>
      </c>
      <c r="U18" s="10" t="s">
        <v>388</v>
      </c>
      <c r="V18" s="10" t="s">
        <v>38</v>
      </c>
      <c r="W18" s="10">
        <v>6</v>
      </c>
      <c r="X18" s="10">
        <v>1</v>
      </c>
      <c r="Y18" s="10">
        <v>1</v>
      </c>
      <c r="Z18" s="10" t="s">
        <v>33</v>
      </c>
      <c r="AA18" s="10">
        <v>0.38219999999999998</v>
      </c>
      <c r="AB18" s="10" t="s">
        <v>34</v>
      </c>
      <c r="AC18" s="10" t="s">
        <v>40</v>
      </c>
      <c r="AD18" s="10" t="s">
        <v>277</v>
      </c>
      <c r="AE18" s="10">
        <v>1.6765000000000001</v>
      </c>
      <c r="AF18" s="10" t="s">
        <v>309</v>
      </c>
      <c r="AG18" s="10">
        <v>2023</v>
      </c>
      <c r="AH18" s="94" t="s">
        <v>393</v>
      </c>
      <c r="AI18" s="2">
        <v>40</v>
      </c>
      <c r="AJ18" s="2">
        <v>2</v>
      </c>
      <c r="AK18" s="2">
        <v>1.25</v>
      </c>
      <c r="AL18" s="2" t="str">
        <f t="shared" si="3"/>
        <v>Chen et al. (2023)</v>
      </c>
      <c r="AQ18" s="91"/>
      <c r="AW18" s="11">
        <v>6.4832535885167397</v>
      </c>
      <c r="AX18" s="11">
        <v>736.84210526315997</v>
      </c>
      <c r="AZ18" s="11">
        <v>3.82042940793754</v>
      </c>
      <c r="BA18" s="11">
        <v>118.64406779661</v>
      </c>
    </row>
    <row r="19" spans="1:53" x14ac:dyDescent="0.3">
      <c r="A19" s="11">
        <v>16.523279352226702</v>
      </c>
      <c r="B19" s="11">
        <v>8581.5602836879407</v>
      </c>
      <c r="C19" s="10" t="s">
        <v>33</v>
      </c>
      <c r="D19" s="10" t="s">
        <v>35</v>
      </c>
      <c r="E19" s="10" t="s">
        <v>387</v>
      </c>
      <c r="F19" s="10">
        <v>0.23</v>
      </c>
      <c r="G19" s="10">
        <v>0.4</v>
      </c>
      <c r="H19" s="10">
        <v>0.32</v>
      </c>
      <c r="I19" s="10">
        <v>0.42</v>
      </c>
      <c r="J19" s="10">
        <v>1.83</v>
      </c>
      <c r="K19" s="10">
        <v>1.06</v>
      </c>
      <c r="L19" s="10">
        <v>0</v>
      </c>
      <c r="M19" s="10">
        <v>50</v>
      </c>
      <c r="N19" s="10">
        <v>1355.4216867469879</v>
      </c>
      <c r="O19" s="10">
        <v>1.1599999999999999</v>
      </c>
      <c r="P19" s="10">
        <v>0.82399999999999995</v>
      </c>
      <c r="Q19" s="10">
        <v>36.74074074074074</v>
      </c>
      <c r="R19" s="10">
        <v>2.7</v>
      </c>
      <c r="S19" s="10" t="s">
        <v>34</v>
      </c>
      <c r="T19" s="10" t="s">
        <v>36</v>
      </c>
      <c r="U19" s="10" t="s">
        <v>388</v>
      </c>
      <c r="V19" s="10" t="s">
        <v>38</v>
      </c>
      <c r="W19" s="10">
        <v>6</v>
      </c>
      <c r="X19" s="10">
        <v>1</v>
      </c>
      <c r="Y19" s="10">
        <v>1</v>
      </c>
      <c r="Z19" s="10" t="s">
        <v>33</v>
      </c>
      <c r="AA19" s="10">
        <v>0.38219999999999998</v>
      </c>
      <c r="AB19" s="10" t="s">
        <v>34</v>
      </c>
      <c r="AC19" s="10" t="s">
        <v>40</v>
      </c>
      <c r="AD19" s="10" t="s">
        <v>277</v>
      </c>
      <c r="AE19" s="10">
        <v>2.6764999999999999</v>
      </c>
      <c r="AF19" s="10" t="s">
        <v>309</v>
      </c>
      <c r="AG19" s="10">
        <v>2023</v>
      </c>
      <c r="AH19" s="94" t="s">
        <v>393</v>
      </c>
      <c r="AI19" s="2">
        <v>40</v>
      </c>
      <c r="AJ19" s="2">
        <v>2</v>
      </c>
      <c r="AK19" s="2">
        <v>1.25</v>
      </c>
      <c r="AL19" s="2" t="str">
        <f t="shared" si="3"/>
        <v>Chen et al. (2023)</v>
      </c>
      <c r="AQ19" s="91"/>
      <c r="AW19" s="11">
        <v>9.0909090909090899</v>
      </c>
      <c r="AX19" s="11">
        <v>1492.8229665071699</v>
      </c>
      <c r="AZ19" s="11">
        <v>4.1431359791802196</v>
      </c>
      <c r="BA19" s="11">
        <v>127.522195318805</v>
      </c>
    </row>
    <row r="20" spans="1:53" x14ac:dyDescent="0.3">
      <c r="A20" s="11">
        <v>17.484817813765101</v>
      </c>
      <c r="B20" s="11">
        <v>9027.3556231003004</v>
      </c>
      <c r="C20" s="10" t="s">
        <v>33</v>
      </c>
      <c r="D20" s="10" t="s">
        <v>35</v>
      </c>
      <c r="E20" s="10" t="s">
        <v>387</v>
      </c>
      <c r="F20" s="10">
        <v>0.23</v>
      </c>
      <c r="G20" s="10">
        <v>0.4</v>
      </c>
      <c r="H20" s="10">
        <v>0.32</v>
      </c>
      <c r="I20" s="10">
        <v>0.42</v>
      </c>
      <c r="J20" s="10">
        <v>1.83</v>
      </c>
      <c r="K20" s="10">
        <v>1.06</v>
      </c>
      <c r="L20" s="10">
        <v>0</v>
      </c>
      <c r="M20" s="10">
        <v>60</v>
      </c>
      <c r="N20" s="10">
        <v>1378.6764705882354</v>
      </c>
      <c r="O20" s="10">
        <v>1.1599999999999999</v>
      </c>
      <c r="P20" s="10">
        <v>0.82399999999999995</v>
      </c>
      <c r="Q20" s="10">
        <v>35.496296296296293</v>
      </c>
      <c r="R20" s="10">
        <v>2.7</v>
      </c>
      <c r="S20" s="10" t="s">
        <v>34</v>
      </c>
      <c r="T20" s="10" t="s">
        <v>36</v>
      </c>
      <c r="U20" s="10" t="s">
        <v>388</v>
      </c>
      <c r="V20" s="10" t="s">
        <v>38</v>
      </c>
      <c r="W20" s="10">
        <v>6</v>
      </c>
      <c r="X20" s="10">
        <v>1</v>
      </c>
      <c r="Y20" s="10">
        <v>1</v>
      </c>
      <c r="Z20" s="10" t="s">
        <v>33</v>
      </c>
      <c r="AA20" s="10">
        <v>0.38219999999999998</v>
      </c>
      <c r="AB20" s="10" t="s">
        <v>34</v>
      </c>
      <c r="AC20" s="10" t="s">
        <v>40</v>
      </c>
      <c r="AD20" s="10" t="s">
        <v>277</v>
      </c>
      <c r="AE20" s="10">
        <v>3.6764999999999999</v>
      </c>
      <c r="AF20" s="10" t="s">
        <v>309</v>
      </c>
      <c r="AG20" s="10">
        <v>2023</v>
      </c>
      <c r="AH20" s="94" t="s">
        <v>393</v>
      </c>
      <c r="AI20" s="2">
        <v>40</v>
      </c>
      <c r="AJ20" s="2">
        <v>2</v>
      </c>
      <c r="AK20" s="2">
        <v>1.25</v>
      </c>
      <c r="AL20" s="2" t="str">
        <f t="shared" si="3"/>
        <v>Chen et al. (2023)</v>
      </c>
      <c r="AQ20" s="91"/>
      <c r="AW20" s="11">
        <v>12.511961722488</v>
      </c>
      <c r="AX20" s="11">
        <v>5732.0574162679404</v>
      </c>
      <c r="AZ20" s="11">
        <v>4.90305790500976</v>
      </c>
      <c r="BA20" s="11">
        <v>121.872477804681</v>
      </c>
    </row>
    <row r="21" spans="1:53" x14ac:dyDescent="0.3">
      <c r="A21" s="11">
        <v>19.1295546558704</v>
      </c>
      <c r="B21" s="11">
        <v>5643.3637284701099</v>
      </c>
      <c r="C21" s="10" t="s">
        <v>33</v>
      </c>
      <c r="D21" s="10" t="s">
        <v>35</v>
      </c>
      <c r="E21" s="10" t="s">
        <v>387</v>
      </c>
      <c r="F21" s="10">
        <v>0.23</v>
      </c>
      <c r="G21" s="10">
        <v>0.4</v>
      </c>
      <c r="H21" s="10">
        <v>0.32</v>
      </c>
      <c r="I21" s="10">
        <v>0.42</v>
      </c>
      <c r="J21" s="10">
        <v>1.83</v>
      </c>
      <c r="K21" s="10">
        <v>1.06</v>
      </c>
      <c r="L21" s="10">
        <v>0</v>
      </c>
      <c r="M21" s="10">
        <v>70</v>
      </c>
      <c r="N21" s="10">
        <v>1402.7431421446383</v>
      </c>
      <c r="O21" s="10">
        <v>1.1599999999999999</v>
      </c>
      <c r="P21" s="10">
        <v>0.82399999999999995</v>
      </c>
      <c r="Q21" s="10">
        <v>34.251851851851853</v>
      </c>
      <c r="R21" s="10">
        <v>2.7</v>
      </c>
      <c r="S21" s="10" t="s">
        <v>34</v>
      </c>
      <c r="T21" s="10" t="s">
        <v>36</v>
      </c>
      <c r="U21" s="10" t="s">
        <v>388</v>
      </c>
      <c r="V21" s="10" t="s">
        <v>38</v>
      </c>
      <c r="W21" s="10">
        <v>6</v>
      </c>
      <c r="X21" s="10">
        <v>1</v>
      </c>
      <c r="Y21" s="10">
        <v>1</v>
      </c>
      <c r="Z21" s="10" t="s">
        <v>33</v>
      </c>
      <c r="AA21" s="10">
        <v>0.38219999999999998</v>
      </c>
      <c r="AB21" s="10" t="s">
        <v>34</v>
      </c>
      <c r="AC21" s="10" t="s">
        <v>40</v>
      </c>
      <c r="AD21" s="10" t="s">
        <v>277</v>
      </c>
      <c r="AE21" s="10">
        <v>4.6764999999999999</v>
      </c>
      <c r="AF21" s="10" t="s">
        <v>309</v>
      </c>
      <c r="AG21" s="10">
        <v>2023</v>
      </c>
      <c r="AH21" s="94" t="s">
        <v>393</v>
      </c>
      <c r="AI21" s="2">
        <v>40</v>
      </c>
      <c r="AJ21" s="2">
        <v>2</v>
      </c>
      <c r="AK21" s="2">
        <v>1.25</v>
      </c>
      <c r="AL21" s="2" t="str">
        <f t="shared" si="3"/>
        <v>Chen et al. (2023)</v>
      </c>
      <c r="AQ21" s="91"/>
      <c r="AW21" s="11">
        <v>16.507177033492798</v>
      </c>
      <c r="AX21" s="11">
        <v>8593.3014354067</v>
      </c>
      <c r="AZ21" s="11">
        <v>7.5679895901106002</v>
      </c>
      <c r="BA21" s="11">
        <v>238.902340597256</v>
      </c>
    </row>
    <row r="22" spans="1:53" x14ac:dyDescent="0.3">
      <c r="A22" s="11">
        <v>20.799595141700401</v>
      </c>
      <c r="B22" s="11">
        <v>4083.0800405268501</v>
      </c>
      <c r="C22" s="10" t="s">
        <v>33</v>
      </c>
      <c r="D22" s="10" t="s">
        <v>35</v>
      </c>
      <c r="E22" s="10" t="s">
        <v>387</v>
      </c>
      <c r="F22" s="10">
        <v>0.23</v>
      </c>
      <c r="G22" s="10">
        <v>0.4</v>
      </c>
      <c r="H22" s="10">
        <v>0.32</v>
      </c>
      <c r="I22" s="10">
        <v>0.42</v>
      </c>
      <c r="J22" s="10">
        <v>1.83</v>
      </c>
      <c r="K22" s="10">
        <v>1.06</v>
      </c>
      <c r="L22" s="10">
        <v>0</v>
      </c>
      <c r="M22" s="10">
        <v>80</v>
      </c>
      <c r="N22" s="10">
        <v>1427.6649746192893</v>
      </c>
      <c r="O22" s="10">
        <v>1.1599999999999999</v>
      </c>
      <c r="P22" s="10">
        <v>0.82399999999999995</v>
      </c>
      <c r="Q22" s="10">
        <v>33.007407407407406</v>
      </c>
      <c r="R22" s="10">
        <v>2.7</v>
      </c>
      <c r="S22" s="10" t="s">
        <v>34</v>
      </c>
      <c r="T22" s="10" t="s">
        <v>36</v>
      </c>
      <c r="U22" s="10" t="s">
        <v>388</v>
      </c>
      <c r="V22" s="10" t="s">
        <v>38</v>
      </c>
      <c r="W22" s="10">
        <v>6</v>
      </c>
      <c r="X22" s="10">
        <v>1</v>
      </c>
      <c r="Y22" s="10">
        <v>1</v>
      </c>
      <c r="Z22" s="10" t="s">
        <v>33</v>
      </c>
      <c r="AA22" s="10">
        <v>0.38219999999999998</v>
      </c>
      <c r="AB22" s="10" t="s">
        <v>34</v>
      </c>
      <c r="AC22" s="10" t="s">
        <v>40</v>
      </c>
      <c r="AD22" s="10" t="s">
        <v>277</v>
      </c>
      <c r="AE22" s="10">
        <v>5.6764999999999999</v>
      </c>
      <c r="AF22" s="10" t="s">
        <v>309</v>
      </c>
      <c r="AG22" s="10">
        <v>2023</v>
      </c>
      <c r="AH22" s="94" t="s">
        <v>393</v>
      </c>
      <c r="AI22" s="2">
        <v>40</v>
      </c>
      <c r="AJ22" s="2">
        <v>2</v>
      </c>
      <c r="AK22" s="2">
        <v>1.25</v>
      </c>
      <c r="AL22" s="2" t="str">
        <f t="shared" si="3"/>
        <v>Chen et al. (2023)</v>
      </c>
      <c r="AQ22" s="91"/>
      <c r="AW22" s="11">
        <v>17.511961722488</v>
      </c>
      <c r="AX22" s="11">
        <v>6220.0956937799001</v>
      </c>
      <c r="AZ22" s="11">
        <v>7.5783994795055296</v>
      </c>
      <c r="BA22" s="11">
        <v>207.42534301856301</v>
      </c>
    </row>
    <row r="23" spans="1:53" x14ac:dyDescent="0.3">
      <c r="A23" s="11">
        <v>6.4832535885167397</v>
      </c>
      <c r="B23" s="11">
        <v>736.84210526315997</v>
      </c>
      <c r="C23" s="10" t="s">
        <v>33</v>
      </c>
      <c r="D23" s="10" t="s">
        <v>35</v>
      </c>
      <c r="E23" s="10" t="s">
        <v>387</v>
      </c>
      <c r="F23" s="10">
        <v>0.23</v>
      </c>
      <c r="G23" s="10">
        <v>0.4</v>
      </c>
      <c r="H23" s="10">
        <v>0.32</v>
      </c>
      <c r="I23" s="10">
        <v>0.42</v>
      </c>
      <c r="J23" s="10">
        <v>1.83</v>
      </c>
      <c r="K23" s="10">
        <v>1.06</v>
      </c>
      <c r="L23" s="10">
        <v>0</v>
      </c>
      <c r="M23" s="10">
        <v>50</v>
      </c>
      <c r="N23" s="10">
        <v>1355.4216867469879</v>
      </c>
      <c r="O23" s="10">
        <v>1.1599999999999999</v>
      </c>
      <c r="P23" s="10">
        <v>0.82399999999999995</v>
      </c>
      <c r="Q23" s="10">
        <v>36.74074074074074</v>
      </c>
      <c r="R23" s="10">
        <v>2.7</v>
      </c>
      <c r="S23" s="10" t="s">
        <v>34</v>
      </c>
      <c r="T23" s="10" t="s">
        <v>36</v>
      </c>
      <c r="U23" s="10" t="s">
        <v>388</v>
      </c>
      <c r="V23" s="10" t="s">
        <v>38</v>
      </c>
      <c r="W23" s="10">
        <v>6</v>
      </c>
      <c r="X23" s="10">
        <v>0.25</v>
      </c>
      <c r="Y23" s="10">
        <v>1</v>
      </c>
      <c r="Z23" s="10" t="s">
        <v>33</v>
      </c>
      <c r="AA23" s="10">
        <v>0.38219999999999998</v>
      </c>
      <c r="AB23" s="10" t="s">
        <v>34</v>
      </c>
      <c r="AC23" s="10" t="s">
        <v>40</v>
      </c>
      <c r="AD23" s="10" t="s">
        <v>277</v>
      </c>
      <c r="AE23" s="10">
        <v>6.6764999999999999</v>
      </c>
      <c r="AF23" s="10" t="s">
        <v>309</v>
      </c>
      <c r="AG23" s="10">
        <v>2023</v>
      </c>
      <c r="AH23" s="94" t="s">
        <v>393</v>
      </c>
      <c r="AI23" s="2">
        <v>40</v>
      </c>
      <c r="AJ23" s="2">
        <v>2</v>
      </c>
      <c r="AK23" s="2">
        <v>1.25</v>
      </c>
      <c r="AL23" s="2" t="str">
        <f t="shared" si="3"/>
        <v>Chen et al. (2023)</v>
      </c>
      <c r="AQ23" s="91"/>
      <c r="AW23" s="11">
        <v>15.2392344497607</v>
      </c>
      <c r="AX23" s="11">
        <v>4755.9808612440202</v>
      </c>
      <c r="AZ23" s="11">
        <v>9.8789850357839892</v>
      </c>
      <c r="BA23" s="11">
        <v>305.08474576271101</v>
      </c>
    </row>
    <row r="24" spans="1:53" x14ac:dyDescent="0.3">
      <c r="A24" s="11">
        <v>9.0909090909090899</v>
      </c>
      <c r="B24" s="11">
        <v>1492.8229665071699</v>
      </c>
      <c r="C24" s="10" t="s">
        <v>33</v>
      </c>
      <c r="D24" s="10" t="s">
        <v>35</v>
      </c>
      <c r="E24" s="10" t="s">
        <v>387</v>
      </c>
      <c r="F24" s="10">
        <v>0.23</v>
      </c>
      <c r="G24" s="10">
        <v>0.4</v>
      </c>
      <c r="H24" s="10">
        <v>0.32</v>
      </c>
      <c r="I24" s="10">
        <v>0.42</v>
      </c>
      <c r="J24" s="10">
        <v>1.83</v>
      </c>
      <c r="K24" s="10">
        <v>1.06</v>
      </c>
      <c r="L24" s="10">
        <v>0</v>
      </c>
      <c r="M24" s="10">
        <v>50</v>
      </c>
      <c r="N24" s="10">
        <v>1355.4216867469879</v>
      </c>
      <c r="O24" s="10">
        <v>1.1599999999999999</v>
      </c>
      <c r="P24" s="10">
        <v>0.82399999999999995</v>
      </c>
      <c r="Q24" s="10">
        <v>36.74074074074074</v>
      </c>
      <c r="R24" s="10">
        <v>2.7</v>
      </c>
      <c r="S24" s="10" t="s">
        <v>34</v>
      </c>
      <c r="T24" s="10" t="s">
        <v>36</v>
      </c>
      <c r="U24" s="10" t="s">
        <v>388</v>
      </c>
      <c r="V24" s="10" t="s">
        <v>38</v>
      </c>
      <c r="W24" s="10">
        <v>6</v>
      </c>
      <c r="X24" s="10">
        <v>0.5</v>
      </c>
      <c r="Y24" s="10">
        <v>1</v>
      </c>
      <c r="Z24" s="10" t="s">
        <v>33</v>
      </c>
      <c r="AA24" s="10">
        <v>0.38219999999999998</v>
      </c>
      <c r="AB24" s="10" t="s">
        <v>34</v>
      </c>
      <c r="AC24" s="10" t="s">
        <v>40</v>
      </c>
      <c r="AD24" s="10" t="s">
        <v>277</v>
      </c>
      <c r="AE24" s="10">
        <v>7.6764999999999999</v>
      </c>
      <c r="AF24" s="10" t="s">
        <v>309</v>
      </c>
      <c r="AG24" s="10">
        <v>2023</v>
      </c>
      <c r="AH24" s="94" t="s">
        <v>393</v>
      </c>
      <c r="AI24" s="2">
        <v>40</v>
      </c>
      <c r="AJ24" s="2">
        <v>2</v>
      </c>
      <c r="AK24" s="2">
        <v>1.25</v>
      </c>
      <c r="AL24" s="2" t="str">
        <f t="shared" si="3"/>
        <v>Chen et al. (2023)</v>
      </c>
      <c r="AQ24" s="91"/>
      <c r="AW24" s="11">
        <v>13.1100478468899</v>
      </c>
      <c r="AX24" s="11">
        <v>2516.7464114832501</v>
      </c>
      <c r="AZ24" s="11">
        <v>10.1808718282368</v>
      </c>
      <c r="BA24" s="11">
        <v>322.84100080710198</v>
      </c>
    </row>
    <row r="25" spans="1:53" x14ac:dyDescent="0.3">
      <c r="A25" s="11">
        <v>12.511961722488</v>
      </c>
      <c r="B25" s="11">
        <v>5732.0574162679404</v>
      </c>
      <c r="C25" s="10" t="s">
        <v>33</v>
      </c>
      <c r="D25" s="10" t="s">
        <v>35</v>
      </c>
      <c r="E25" s="10" t="s">
        <v>387</v>
      </c>
      <c r="F25" s="10">
        <v>0.23</v>
      </c>
      <c r="G25" s="10">
        <v>0.4</v>
      </c>
      <c r="H25" s="10">
        <v>0.32</v>
      </c>
      <c r="I25" s="10">
        <v>0.42</v>
      </c>
      <c r="J25" s="10">
        <v>1.83</v>
      </c>
      <c r="K25" s="10">
        <v>1.06</v>
      </c>
      <c r="L25" s="10">
        <v>0</v>
      </c>
      <c r="M25" s="10">
        <v>50</v>
      </c>
      <c r="N25" s="10">
        <v>1355.4216867469879</v>
      </c>
      <c r="O25" s="10">
        <v>1.1599999999999999</v>
      </c>
      <c r="P25" s="10">
        <v>0.82399999999999995</v>
      </c>
      <c r="Q25" s="10">
        <v>36.74074074074074</v>
      </c>
      <c r="R25" s="10">
        <v>2.7</v>
      </c>
      <c r="S25" s="10" t="s">
        <v>34</v>
      </c>
      <c r="T25" s="10" t="s">
        <v>36</v>
      </c>
      <c r="U25" s="10" t="s">
        <v>388</v>
      </c>
      <c r="V25" s="10" t="s">
        <v>38</v>
      </c>
      <c r="W25" s="10">
        <v>6</v>
      </c>
      <c r="X25" s="10">
        <v>0.75</v>
      </c>
      <c r="Y25" s="10">
        <v>1</v>
      </c>
      <c r="Z25" s="10" t="s">
        <v>33</v>
      </c>
      <c r="AA25" s="10">
        <v>0.38219999999999998</v>
      </c>
      <c r="AB25" s="10" t="s">
        <v>34</v>
      </c>
      <c r="AC25" s="10" t="s">
        <v>40</v>
      </c>
      <c r="AD25" s="10" t="s">
        <v>277</v>
      </c>
      <c r="AE25" s="10">
        <v>8.6765000000000008</v>
      </c>
      <c r="AF25" s="10" t="s">
        <v>309</v>
      </c>
      <c r="AG25" s="10">
        <v>2023</v>
      </c>
      <c r="AH25" s="94" t="s">
        <v>393</v>
      </c>
      <c r="AI25" s="2">
        <v>40</v>
      </c>
      <c r="AJ25" s="2">
        <v>2</v>
      </c>
      <c r="AK25" s="2">
        <v>1.25</v>
      </c>
      <c r="AL25" s="2" t="str">
        <f t="shared" si="3"/>
        <v>Chen et al. (2023)</v>
      </c>
      <c r="AQ25" s="91"/>
      <c r="AW25" s="11">
        <v>6.2862669245647904</v>
      </c>
      <c r="AX25" s="11">
        <v>560.92843326883303</v>
      </c>
      <c r="AZ25" s="11">
        <v>9.9726740403383207</v>
      </c>
      <c r="BA25" s="11">
        <v>393.05891848264702</v>
      </c>
    </row>
    <row r="26" spans="1:53" x14ac:dyDescent="0.3">
      <c r="A26" s="11">
        <v>16.507177033492798</v>
      </c>
      <c r="B26" s="11">
        <v>8593.3014354067</v>
      </c>
      <c r="C26" s="10" t="s">
        <v>33</v>
      </c>
      <c r="D26" s="10" t="s">
        <v>35</v>
      </c>
      <c r="E26" s="10" t="s">
        <v>387</v>
      </c>
      <c r="F26" s="10">
        <v>0.23</v>
      </c>
      <c r="G26" s="10">
        <v>0.4</v>
      </c>
      <c r="H26" s="10">
        <v>0.32</v>
      </c>
      <c r="I26" s="10">
        <v>0.42</v>
      </c>
      <c r="J26" s="10">
        <v>1.83</v>
      </c>
      <c r="K26" s="10">
        <v>1.06</v>
      </c>
      <c r="L26" s="10">
        <v>0</v>
      </c>
      <c r="M26" s="10">
        <v>50</v>
      </c>
      <c r="N26" s="10">
        <v>1355.4216867469879</v>
      </c>
      <c r="O26" s="10">
        <v>1.1599999999999999</v>
      </c>
      <c r="P26" s="10">
        <v>0.82399999999999995</v>
      </c>
      <c r="Q26" s="10">
        <v>36.74074074074074</v>
      </c>
      <c r="R26" s="10">
        <v>2.7</v>
      </c>
      <c r="S26" s="10" t="s">
        <v>34</v>
      </c>
      <c r="T26" s="10" t="s">
        <v>36</v>
      </c>
      <c r="U26" s="10" t="s">
        <v>388</v>
      </c>
      <c r="V26" s="10" t="s">
        <v>38</v>
      </c>
      <c r="W26" s="10">
        <v>6</v>
      </c>
      <c r="X26" s="10">
        <v>1</v>
      </c>
      <c r="Y26" s="10">
        <v>1</v>
      </c>
      <c r="Z26" s="10" t="s">
        <v>33</v>
      </c>
      <c r="AA26" s="10">
        <v>0.38219999999999998</v>
      </c>
      <c r="AB26" s="10" t="s">
        <v>34</v>
      </c>
      <c r="AC26" s="10" t="s">
        <v>40</v>
      </c>
      <c r="AD26" s="10" t="s">
        <v>277</v>
      </c>
      <c r="AE26" s="10">
        <v>9.6765000000000008</v>
      </c>
      <c r="AF26" s="10" t="s">
        <v>309</v>
      </c>
      <c r="AG26" s="10">
        <v>2023</v>
      </c>
      <c r="AH26" s="94" t="s">
        <v>393</v>
      </c>
      <c r="AI26" s="2">
        <v>40</v>
      </c>
      <c r="AJ26" s="2">
        <v>2</v>
      </c>
      <c r="AK26" s="2">
        <v>1.25</v>
      </c>
      <c r="AL26" s="2" t="str">
        <f t="shared" si="3"/>
        <v>Chen et al. (2023)</v>
      </c>
      <c r="AQ26" s="91"/>
      <c r="AW26" s="11">
        <v>9.3810444874274594</v>
      </c>
      <c r="AX26" s="11">
        <v>1199.2263056092499</v>
      </c>
      <c r="AZ26" s="11">
        <v>11.9713728041639</v>
      </c>
      <c r="BA26" s="11">
        <v>516.54560129136405</v>
      </c>
    </row>
    <row r="27" spans="1:53" x14ac:dyDescent="0.3">
      <c r="A27" s="11">
        <v>17.511961722488</v>
      </c>
      <c r="B27" s="11">
        <v>6220.0956937799001</v>
      </c>
      <c r="C27" s="10" t="s">
        <v>33</v>
      </c>
      <c r="D27" s="10" t="s">
        <v>35</v>
      </c>
      <c r="E27" s="10" t="s">
        <v>387</v>
      </c>
      <c r="F27" s="10">
        <v>0.23</v>
      </c>
      <c r="G27" s="10">
        <v>0.4</v>
      </c>
      <c r="H27" s="10">
        <v>0.32</v>
      </c>
      <c r="I27" s="10">
        <v>0.42</v>
      </c>
      <c r="J27" s="10">
        <v>1.83</v>
      </c>
      <c r="K27" s="10">
        <v>1.06</v>
      </c>
      <c r="L27" s="10">
        <v>0</v>
      </c>
      <c r="M27" s="10">
        <v>50</v>
      </c>
      <c r="N27" s="10">
        <v>1355.4216867469879</v>
      </c>
      <c r="O27" s="10">
        <v>1.1599999999999999</v>
      </c>
      <c r="P27" s="10">
        <v>0.82399999999999995</v>
      </c>
      <c r="Q27" s="10">
        <v>36.74074074074074</v>
      </c>
      <c r="R27" s="10">
        <v>2.7</v>
      </c>
      <c r="S27" s="10" t="s">
        <v>34</v>
      </c>
      <c r="T27" s="10" t="s">
        <v>36</v>
      </c>
      <c r="U27" s="10" t="s">
        <v>388</v>
      </c>
      <c r="V27" s="10" t="s">
        <v>38</v>
      </c>
      <c r="W27" s="10">
        <v>6</v>
      </c>
      <c r="X27" s="10">
        <v>1.25</v>
      </c>
      <c r="Y27" s="10">
        <v>1</v>
      </c>
      <c r="Z27" s="10" t="s">
        <v>33</v>
      </c>
      <c r="AA27" s="10">
        <v>0.38219999999999998</v>
      </c>
      <c r="AB27" s="10" t="s">
        <v>34</v>
      </c>
      <c r="AC27" s="10" t="s">
        <v>40</v>
      </c>
      <c r="AD27" s="10" t="s">
        <v>277</v>
      </c>
      <c r="AE27" s="10">
        <v>10.676500000000001</v>
      </c>
      <c r="AF27" s="10" t="s">
        <v>309</v>
      </c>
      <c r="AG27" s="10">
        <v>2023</v>
      </c>
      <c r="AH27" s="94" t="s">
        <v>393</v>
      </c>
      <c r="AI27" s="2">
        <v>40</v>
      </c>
      <c r="AJ27" s="2">
        <v>2</v>
      </c>
      <c r="AK27" s="2">
        <v>1.25</v>
      </c>
      <c r="AL27" s="2" t="str">
        <f t="shared" si="3"/>
        <v>Chen et al. (2023)</v>
      </c>
      <c r="AQ27" s="91"/>
      <c r="AW27" s="11">
        <v>12.693423597678899</v>
      </c>
      <c r="AX27" s="11">
        <v>6402.3210831721299</v>
      </c>
      <c r="AZ27" s="11">
        <v>11.638256343526299</v>
      </c>
      <c r="BA27" s="11">
        <v>480.22598870056498</v>
      </c>
    </row>
    <row r="28" spans="1:53" x14ac:dyDescent="0.3">
      <c r="A28" s="11">
        <v>15.2392344497607</v>
      </c>
      <c r="B28" s="11">
        <v>4755.9808612440202</v>
      </c>
      <c r="C28" s="10" t="s">
        <v>33</v>
      </c>
      <c r="D28" s="10" t="s">
        <v>35</v>
      </c>
      <c r="E28" s="10" t="s">
        <v>387</v>
      </c>
      <c r="F28" s="10">
        <v>0.23</v>
      </c>
      <c r="G28" s="10">
        <v>0.4</v>
      </c>
      <c r="H28" s="10">
        <v>0.32</v>
      </c>
      <c r="I28" s="10">
        <v>0.42</v>
      </c>
      <c r="J28" s="10">
        <v>1.83</v>
      </c>
      <c r="K28" s="10">
        <v>1.06</v>
      </c>
      <c r="L28" s="10">
        <v>0</v>
      </c>
      <c r="M28" s="10">
        <v>50</v>
      </c>
      <c r="N28" s="10">
        <v>1355.4216867469879</v>
      </c>
      <c r="O28" s="10">
        <v>1.1599999999999999</v>
      </c>
      <c r="P28" s="10">
        <v>0.82399999999999995</v>
      </c>
      <c r="Q28" s="10">
        <v>36.74074074074074</v>
      </c>
      <c r="R28" s="10">
        <v>2.7</v>
      </c>
      <c r="S28" s="10" t="s">
        <v>34</v>
      </c>
      <c r="T28" s="10" t="s">
        <v>36</v>
      </c>
      <c r="U28" s="10" t="s">
        <v>388</v>
      </c>
      <c r="V28" s="10" t="s">
        <v>38</v>
      </c>
      <c r="W28" s="10">
        <v>6</v>
      </c>
      <c r="X28" s="10">
        <v>1.5</v>
      </c>
      <c r="Y28" s="10">
        <v>1</v>
      </c>
      <c r="Z28" s="10" t="s">
        <v>33</v>
      </c>
      <c r="AA28" s="10">
        <v>0.38219999999999998</v>
      </c>
      <c r="AB28" s="10" t="s">
        <v>34</v>
      </c>
      <c r="AC28" s="10" t="s">
        <v>40</v>
      </c>
      <c r="AD28" s="10" t="s">
        <v>277</v>
      </c>
      <c r="AE28" s="10">
        <v>11.676500000000001</v>
      </c>
      <c r="AF28" s="10" t="s">
        <v>309</v>
      </c>
      <c r="AG28" s="10">
        <v>2023</v>
      </c>
      <c r="AH28" s="94" t="s">
        <v>393</v>
      </c>
      <c r="AI28" s="2">
        <v>40</v>
      </c>
      <c r="AJ28" s="2">
        <v>2</v>
      </c>
      <c r="AK28" s="2">
        <v>1.25</v>
      </c>
      <c r="AL28" s="2" t="str">
        <f t="shared" si="3"/>
        <v>Chen et al. (2023)</v>
      </c>
      <c r="AQ28" s="91"/>
      <c r="AW28" s="11">
        <v>18.5203094777562</v>
      </c>
      <c r="AX28" s="11">
        <v>11547.3887814313</v>
      </c>
      <c r="AZ28" s="11">
        <v>13.220559531554899</v>
      </c>
      <c r="BA28" s="11">
        <v>519.77401129943496</v>
      </c>
    </row>
    <row r="29" spans="1:53" x14ac:dyDescent="0.3">
      <c r="A29" s="11">
        <v>13.1100478468899</v>
      </c>
      <c r="B29" s="11">
        <v>2516.7464114832501</v>
      </c>
      <c r="C29" s="10" t="s">
        <v>33</v>
      </c>
      <c r="D29" s="10" t="s">
        <v>35</v>
      </c>
      <c r="E29" s="10" t="s">
        <v>387</v>
      </c>
      <c r="F29" s="10">
        <v>0.23</v>
      </c>
      <c r="G29" s="10">
        <v>0.4</v>
      </c>
      <c r="H29" s="10">
        <v>0.32</v>
      </c>
      <c r="I29" s="10">
        <v>0.42</v>
      </c>
      <c r="J29" s="10">
        <v>1.83</v>
      </c>
      <c r="K29" s="10">
        <v>1.06</v>
      </c>
      <c r="L29" s="10">
        <v>0</v>
      </c>
      <c r="M29" s="10">
        <v>50</v>
      </c>
      <c r="N29" s="10">
        <v>1355.4216867469879</v>
      </c>
      <c r="O29" s="10">
        <v>1.1599999999999999</v>
      </c>
      <c r="P29" s="10">
        <v>0.82399999999999995</v>
      </c>
      <c r="Q29" s="10">
        <v>36.74074074074074</v>
      </c>
      <c r="R29" s="10">
        <v>2.7</v>
      </c>
      <c r="S29" s="10" t="s">
        <v>34</v>
      </c>
      <c r="T29" s="10" t="s">
        <v>36</v>
      </c>
      <c r="U29" s="10" t="s">
        <v>388</v>
      </c>
      <c r="V29" s="10" t="s">
        <v>38</v>
      </c>
      <c r="W29" s="10">
        <v>6</v>
      </c>
      <c r="X29" s="10">
        <v>1.75</v>
      </c>
      <c r="Y29" s="10">
        <v>1</v>
      </c>
      <c r="Z29" s="10" t="s">
        <v>33</v>
      </c>
      <c r="AA29" s="10">
        <v>0.38219999999999998</v>
      </c>
      <c r="AB29" s="10" t="s">
        <v>34</v>
      </c>
      <c r="AC29" s="10" t="s">
        <v>40</v>
      </c>
      <c r="AD29" s="10" t="s">
        <v>277</v>
      </c>
      <c r="AE29" s="10">
        <v>12.676500000000001</v>
      </c>
      <c r="AF29" s="10" t="s">
        <v>309</v>
      </c>
      <c r="AG29" s="10">
        <v>2023</v>
      </c>
      <c r="AH29" s="94" t="s">
        <v>393</v>
      </c>
      <c r="AI29" s="2">
        <v>40</v>
      </c>
      <c r="AJ29" s="2">
        <v>2</v>
      </c>
      <c r="AK29" s="2">
        <v>1.25</v>
      </c>
      <c r="AL29" s="2" t="str">
        <f t="shared" si="3"/>
        <v>Chen et al. (2023)</v>
      </c>
      <c r="AQ29" s="91"/>
      <c r="AW29" s="11">
        <v>20.382011605415801</v>
      </c>
      <c r="AX29" s="11">
        <v>13771.7601547388</v>
      </c>
      <c r="AZ29" s="11">
        <v>12.6271958360442</v>
      </c>
      <c r="BA29" s="11">
        <v>429.37853107344603</v>
      </c>
    </row>
    <row r="30" spans="1:53" x14ac:dyDescent="0.3">
      <c r="A30" s="11">
        <v>6.2862669245647904</v>
      </c>
      <c r="B30" s="11">
        <v>560.92843326883303</v>
      </c>
      <c r="C30" s="10" t="s">
        <v>33</v>
      </c>
      <c r="D30" s="10" t="s">
        <v>35</v>
      </c>
      <c r="E30" s="10" t="s">
        <v>387</v>
      </c>
      <c r="F30" s="10">
        <v>0.23</v>
      </c>
      <c r="G30" s="10">
        <v>0.4</v>
      </c>
      <c r="H30" s="10">
        <v>0.32</v>
      </c>
      <c r="I30" s="10">
        <v>0.42</v>
      </c>
      <c r="J30" s="10">
        <v>1.83</v>
      </c>
      <c r="K30" s="10">
        <v>1.06</v>
      </c>
      <c r="L30" s="10">
        <v>0</v>
      </c>
      <c r="M30" s="10">
        <v>50</v>
      </c>
      <c r="N30" s="10">
        <v>1355.4216867469879</v>
      </c>
      <c r="O30" s="10">
        <v>1.1599999999999999</v>
      </c>
      <c r="P30" s="10">
        <v>0.82399999999999995</v>
      </c>
      <c r="Q30" s="10">
        <v>36.74074074074074</v>
      </c>
      <c r="R30" s="10">
        <v>2.7</v>
      </c>
      <c r="S30" s="10" t="s">
        <v>34</v>
      </c>
      <c r="T30" s="10" t="s">
        <v>36</v>
      </c>
      <c r="U30" s="10" t="s">
        <v>388</v>
      </c>
      <c r="V30" s="10" t="s">
        <v>38</v>
      </c>
      <c r="W30" s="10">
        <v>3</v>
      </c>
      <c r="X30" s="10">
        <v>1</v>
      </c>
      <c r="Y30" s="10">
        <v>1</v>
      </c>
      <c r="Z30" s="10" t="s">
        <v>33</v>
      </c>
      <c r="AA30" s="10">
        <v>0.38219999999999998</v>
      </c>
      <c r="AB30" s="10" t="s">
        <v>34</v>
      </c>
      <c r="AC30" s="10" t="s">
        <v>40</v>
      </c>
      <c r="AD30" s="10" t="s">
        <v>277</v>
      </c>
      <c r="AE30" s="10">
        <v>13.676500000000001</v>
      </c>
      <c r="AF30" s="10" t="s">
        <v>309</v>
      </c>
      <c r="AG30" s="10">
        <v>2023</v>
      </c>
      <c r="AH30" s="94" t="s">
        <v>393</v>
      </c>
      <c r="AI30" s="2">
        <v>40</v>
      </c>
      <c r="AJ30" s="2">
        <v>2</v>
      </c>
      <c r="AK30" s="2">
        <v>1.25</v>
      </c>
      <c r="AL30" s="2" t="str">
        <f t="shared" si="3"/>
        <v>Chen et al. (2023)</v>
      </c>
      <c r="AQ30" s="91"/>
      <c r="AW30" s="11">
        <v>21.179883945841301</v>
      </c>
      <c r="AX30" s="11">
        <v>14603.4816247582</v>
      </c>
      <c r="AZ30" s="11">
        <v>12.9394925178919</v>
      </c>
      <c r="BA30" s="11">
        <v>727.19935431799797</v>
      </c>
    </row>
    <row r="31" spans="1:53" ht="16.2" thickBot="1" x14ac:dyDescent="0.35">
      <c r="A31" s="11">
        <v>9.3810444874274594</v>
      </c>
      <c r="B31" s="11">
        <v>1199.2263056092499</v>
      </c>
      <c r="C31" s="10" t="s">
        <v>33</v>
      </c>
      <c r="D31" s="10" t="s">
        <v>35</v>
      </c>
      <c r="E31" s="10" t="s">
        <v>387</v>
      </c>
      <c r="F31" s="10">
        <v>0.23</v>
      </c>
      <c r="G31" s="10">
        <v>0.4</v>
      </c>
      <c r="H31" s="10">
        <v>0.32</v>
      </c>
      <c r="I31" s="10">
        <v>0.42</v>
      </c>
      <c r="J31" s="10">
        <v>1.83</v>
      </c>
      <c r="K31" s="10">
        <v>1.06</v>
      </c>
      <c r="L31" s="10">
        <v>0</v>
      </c>
      <c r="M31" s="10">
        <v>50</v>
      </c>
      <c r="N31" s="10">
        <v>1355.4216867469879</v>
      </c>
      <c r="O31" s="10">
        <v>1.1599999999999999</v>
      </c>
      <c r="P31" s="10">
        <v>0.82399999999999995</v>
      </c>
      <c r="Q31" s="10">
        <v>36.74074074074074</v>
      </c>
      <c r="R31" s="10">
        <v>2.7</v>
      </c>
      <c r="S31" s="10" t="s">
        <v>34</v>
      </c>
      <c r="T31" s="10" t="s">
        <v>36</v>
      </c>
      <c r="U31" s="10" t="s">
        <v>388</v>
      </c>
      <c r="V31" s="10" t="s">
        <v>38</v>
      </c>
      <c r="W31" s="10">
        <v>5</v>
      </c>
      <c r="X31" s="10">
        <v>1</v>
      </c>
      <c r="Y31" s="10">
        <v>1</v>
      </c>
      <c r="Z31" s="10" t="s">
        <v>33</v>
      </c>
      <c r="AA31" s="10">
        <v>0.38219999999999998</v>
      </c>
      <c r="AB31" s="10" t="s">
        <v>34</v>
      </c>
      <c r="AC31" s="10" t="s">
        <v>40</v>
      </c>
      <c r="AD31" s="10" t="s">
        <v>277</v>
      </c>
      <c r="AE31" s="10">
        <v>14.676500000000001</v>
      </c>
      <c r="AF31" s="10" t="s">
        <v>309</v>
      </c>
      <c r="AG31" s="10">
        <v>2023</v>
      </c>
      <c r="AH31" s="94" t="s">
        <v>393</v>
      </c>
      <c r="AI31" s="2">
        <v>40</v>
      </c>
      <c r="AJ31" s="2">
        <v>2</v>
      </c>
      <c r="AK31" s="2">
        <v>1.25</v>
      </c>
      <c r="AL31" s="2" t="str">
        <f t="shared" si="3"/>
        <v>Chen et al. (2023)</v>
      </c>
      <c r="AQ31" s="91"/>
      <c r="AW31" s="17">
        <v>21.784332688588002</v>
      </c>
      <c r="AX31" s="17">
        <v>15183.7524177949</v>
      </c>
      <c r="AZ31" s="11">
        <v>13.459986987638199</v>
      </c>
      <c r="BA31" s="11">
        <v>870.05649717514098</v>
      </c>
    </row>
    <row r="32" spans="1:53" x14ac:dyDescent="0.3">
      <c r="A32" s="11">
        <v>12.693423597678899</v>
      </c>
      <c r="B32" s="11">
        <v>6402.3210831721299</v>
      </c>
      <c r="C32" s="10" t="s">
        <v>33</v>
      </c>
      <c r="D32" s="10" t="s">
        <v>35</v>
      </c>
      <c r="E32" s="10" t="s">
        <v>387</v>
      </c>
      <c r="F32" s="10">
        <v>0.23</v>
      </c>
      <c r="G32" s="10">
        <v>0.4</v>
      </c>
      <c r="H32" s="10">
        <v>0.32</v>
      </c>
      <c r="I32" s="10">
        <v>0.42</v>
      </c>
      <c r="J32" s="10">
        <v>1.83</v>
      </c>
      <c r="K32" s="10">
        <v>1.06</v>
      </c>
      <c r="L32" s="10">
        <v>0</v>
      </c>
      <c r="M32" s="10">
        <v>50</v>
      </c>
      <c r="N32" s="10">
        <v>1355.4216867469879</v>
      </c>
      <c r="O32" s="10">
        <v>1.1599999999999999</v>
      </c>
      <c r="P32" s="10">
        <v>0.82399999999999995</v>
      </c>
      <c r="Q32" s="10">
        <v>36.74074074074074</v>
      </c>
      <c r="R32" s="10">
        <v>2.7</v>
      </c>
      <c r="S32" s="10" t="s">
        <v>34</v>
      </c>
      <c r="T32" s="10" t="s">
        <v>36</v>
      </c>
      <c r="U32" s="10" t="s">
        <v>388</v>
      </c>
      <c r="V32" s="10" t="s">
        <v>38</v>
      </c>
      <c r="W32" s="10">
        <v>7</v>
      </c>
      <c r="X32" s="10">
        <v>1</v>
      </c>
      <c r="Y32" s="10">
        <v>1</v>
      </c>
      <c r="Z32" s="10" t="s">
        <v>33</v>
      </c>
      <c r="AA32" s="10">
        <v>0.38219999999999998</v>
      </c>
      <c r="AB32" s="10" t="s">
        <v>34</v>
      </c>
      <c r="AC32" s="10" t="s">
        <v>40</v>
      </c>
      <c r="AD32" s="10" t="s">
        <v>277</v>
      </c>
      <c r="AE32" s="10">
        <v>15.676500000000001</v>
      </c>
      <c r="AF32" s="10" t="s">
        <v>309</v>
      </c>
      <c r="AG32" s="10">
        <v>2023</v>
      </c>
      <c r="AH32" s="94" t="s">
        <v>393</v>
      </c>
      <c r="AI32" s="2">
        <v>40</v>
      </c>
      <c r="AJ32" s="2">
        <v>2</v>
      </c>
      <c r="AK32" s="2">
        <v>1.25</v>
      </c>
      <c r="AL32" s="2" t="str">
        <f t="shared" si="3"/>
        <v>Chen et al. (2023)</v>
      </c>
      <c r="AQ32" s="91"/>
      <c r="AZ32" s="11">
        <v>8.0676642810670103</v>
      </c>
      <c r="BA32" s="11">
        <v>154.963680387409</v>
      </c>
    </row>
    <row r="33" spans="1:53" x14ac:dyDescent="0.3">
      <c r="A33" s="11">
        <v>18.5203094777562</v>
      </c>
      <c r="B33" s="11">
        <v>11547.3887814313</v>
      </c>
      <c r="C33" s="10" t="s">
        <v>33</v>
      </c>
      <c r="D33" s="10" t="s">
        <v>35</v>
      </c>
      <c r="E33" s="10" t="s">
        <v>387</v>
      </c>
      <c r="F33" s="10">
        <v>0.23</v>
      </c>
      <c r="G33" s="10">
        <v>0.4</v>
      </c>
      <c r="H33" s="10">
        <v>0.32</v>
      </c>
      <c r="I33" s="10">
        <v>0.42</v>
      </c>
      <c r="J33" s="10">
        <v>1.83</v>
      </c>
      <c r="K33" s="10">
        <v>1.06</v>
      </c>
      <c r="L33" s="10">
        <v>0</v>
      </c>
      <c r="M33" s="10">
        <v>50</v>
      </c>
      <c r="N33" s="10">
        <v>1355.4216867469879</v>
      </c>
      <c r="O33" s="10">
        <v>1.1599999999999999</v>
      </c>
      <c r="P33" s="10">
        <v>0.82399999999999995</v>
      </c>
      <c r="Q33" s="10">
        <v>36.74074074074074</v>
      </c>
      <c r="R33" s="10">
        <v>2.7</v>
      </c>
      <c r="S33" s="10" t="s">
        <v>34</v>
      </c>
      <c r="T33" s="10" t="s">
        <v>36</v>
      </c>
      <c r="U33" s="10" t="s">
        <v>388</v>
      </c>
      <c r="V33" s="10" t="s">
        <v>38</v>
      </c>
      <c r="W33" s="10">
        <v>13</v>
      </c>
      <c r="X33" s="10">
        <v>1</v>
      </c>
      <c r="Y33" s="10">
        <v>1</v>
      </c>
      <c r="Z33" s="10" t="s">
        <v>33</v>
      </c>
      <c r="AA33" s="10">
        <v>0.38219999999999998</v>
      </c>
      <c r="AB33" s="10" t="s">
        <v>34</v>
      </c>
      <c r="AC33" s="10" t="s">
        <v>40</v>
      </c>
      <c r="AD33" s="10" t="s">
        <v>277</v>
      </c>
      <c r="AE33" s="10">
        <v>16.676500000000001</v>
      </c>
      <c r="AF33" s="10" t="s">
        <v>309</v>
      </c>
      <c r="AG33" s="10">
        <v>2023</v>
      </c>
      <c r="AH33" s="94" t="s">
        <v>393</v>
      </c>
      <c r="AI33" s="2">
        <v>40</v>
      </c>
      <c r="AJ33" s="2">
        <v>2</v>
      </c>
      <c r="AK33" s="2">
        <v>1.25</v>
      </c>
      <c r="AL33" s="2" t="str">
        <f t="shared" si="3"/>
        <v>Chen et al. (2023)</v>
      </c>
      <c r="AQ33" s="91"/>
      <c r="AZ33" s="11">
        <v>7.78659726740403</v>
      </c>
      <c r="BA33" s="11">
        <v>191.28329297820801</v>
      </c>
    </row>
    <row r="34" spans="1:53" x14ac:dyDescent="0.3">
      <c r="A34" s="11">
        <v>20.382011605415801</v>
      </c>
      <c r="B34" s="11">
        <v>13771.7601547388</v>
      </c>
      <c r="C34" s="10" t="s">
        <v>33</v>
      </c>
      <c r="D34" s="10" t="s">
        <v>35</v>
      </c>
      <c r="E34" s="10" t="s">
        <v>387</v>
      </c>
      <c r="F34" s="10">
        <v>0.23</v>
      </c>
      <c r="G34" s="10">
        <v>0.4</v>
      </c>
      <c r="H34" s="10">
        <v>0.32</v>
      </c>
      <c r="I34" s="10">
        <v>0.42</v>
      </c>
      <c r="J34" s="10">
        <v>1.83</v>
      </c>
      <c r="K34" s="10">
        <v>1.06</v>
      </c>
      <c r="L34" s="10">
        <v>0</v>
      </c>
      <c r="M34" s="10">
        <v>50</v>
      </c>
      <c r="N34" s="10">
        <v>1355.4216867469879</v>
      </c>
      <c r="O34" s="10">
        <v>1.1599999999999999</v>
      </c>
      <c r="P34" s="10">
        <v>0.82399999999999995</v>
      </c>
      <c r="Q34" s="10">
        <v>36.74074074074074</v>
      </c>
      <c r="R34" s="10">
        <v>2.7</v>
      </c>
      <c r="S34" s="10" t="s">
        <v>34</v>
      </c>
      <c r="T34" s="10" t="s">
        <v>36</v>
      </c>
      <c r="U34" s="10" t="s">
        <v>388</v>
      </c>
      <c r="V34" s="10" t="s">
        <v>38</v>
      </c>
      <c r="W34" s="10">
        <v>15</v>
      </c>
      <c r="X34" s="10">
        <v>1</v>
      </c>
      <c r="Y34" s="10">
        <v>1</v>
      </c>
      <c r="Z34" s="10" t="s">
        <v>33</v>
      </c>
      <c r="AA34" s="10">
        <v>0.38219999999999998</v>
      </c>
      <c r="AB34" s="10" t="s">
        <v>34</v>
      </c>
      <c r="AC34" s="10" t="s">
        <v>40</v>
      </c>
      <c r="AD34" s="10" t="s">
        <v>277</v>
      </c>
      <c r="AE34" s="10">
        <v>17.676500000000001</v>
      </c>
      <c r="AF34" s="10" t="s">
        <v>309</v>
      </c>
      <c r="AG34" s="10">
        <v>2023</v>
      </c>
      <c r="AH34" s="94" t="s">
        <v>393</v>
      </c>
      <c r="AI34" s="2">
        <v>40</v>
      </c>
      <c r="AJ34" s="2">
        <v>2</v>
      </c>
      <c r="AK34" s="2">
        <v>1.25</v>
      </c>
      <c r="AL34" s="2" t="str">
        <f t="shared" ref="AL34:AL65" si="4">CONCATENATE(AF34, " et al. (",AG34,")")</f>
        <v>Chen et al. (2023)</v>
      </c>
      <c r="AQ34" s="91"/>
      <c r="AZ34" s="11">
        <v>7.8074170461938799</v>
      </c>
      <c r="BA34" s="11">
        <v>247.780468119451</v>
      </c>
    </row>
    <row r="35" spans="1:53" x14ac:dyDescent="0.3">
      <c r="A35" s="11">
        <v>21.179883945841301</v>
      </c>
      <c r="B35" s="11">
        <v>14603.4816247582</v>
      </c>
      <c r="C35" s="10" t="s">
        <v>33</v>
      </c>
      <c r="D35" s="10" t="s">
        <v>35</v>
      </c>
      <c r="E35" s="10" t="s">
        <v>387</v>
      </c>
      <c r="F35" s="10">
        <v>0.23</v>
      </c>
      <c r="G35" s="10">
        <v>0.4</v>
      </c>
      <c r="H35" s="10">
        <v>0.32</v>
      </c>
      <c r="I35" s="10">
        <v>0.42</v>
      </c>
      <c r="J35" s="10">
        <v>1.83</v>
      </c>
      <c r="K35" s="10">
        <v>1.06</v>
      </c>
      <c r="L35" s="10">
        <v>0</v>
      </c>
      <c r="M35" s="10">
        <v>50</v>
      </c>
      <c r="N35" s="10">
        <v>1355.4216867469879</v>
      </c>
      <c r="O35" s="10">
        <v>1.1599999999999999</v>
      </c>
      <c r="P35" s="10">
        <v>0.82399999999999995</v>
      </c>
      <c r="Q35" s="10">
        <v>36.74074074074074</v>
      </c>
      <c r="R35" s="10">
        <v>2.7</v>
      </c>
      <c r="S35" s="10" t="s">
        <v>34</v>
      </c>
      <c r="T35" s="10" t="s">
        <v>36</v>
      </c>
      <c r="U35" s="10" t="s">
        <v>388</v>
      </c>
      <c r="V35" s="10" t="s">
        <v>38</v>
      </c>
      <c r="W35" s="10">
        <v>17</v>
      </c>
      <c r="X35" s="10">
        <v>1</v>
      </c>
      <c r="Y35" s="10">
        <v>1</v>
      </c>
      <c r="Z35" s="10" t="s">
        <v>33</v>
      </c>
      <c r="AA35" s="10">
        <v>0.38219999999999998</v>
      </c>
      <c r="AB35" s="10" t="s">
        <v>34</v>
      </c>
      <c r="AC35" s="10" t="s">
        <v>40</v>
      </c>
      <c r="AD35" s="10" t="s">
        <v>277</v>
      </c>
      <c r="AE35" s="10">
        <v>18.676500000000001</v>
      </c>
      <c r="AF35" s="10" t="s">
        <v>309</v>
      </c>
      <c r="AG35" s="10">
        <v>2023</v>
      </c>
      <c r="AH35" s="94" t="s">
        <v>393</v>
      </c>
      <c r="AI35" s="2">
        <v>40</v>
      </c>
      <c r="AJ35" s="2">
        <v>2</v>
      </c>
      <c r="AK35" s="2">
        <v>1.25</v>
      </c>
      <c r="AL35" s="2" t="str">
        <f t="shared" si="4"/>
        <v>Chen et al. (2023)</v>
      </c>
      <c r="AQ35" s="91"/>
      <c r="AZ35" s="11">
        <v>10.1912817176317</v>
      </c>
      <c r="BA35" s="11">
        <v>333.33333333333297</v>
      </c>
    </row>
    <row r="36" spans="1:53" s="15" customFormat="1" ht="16.2" thickBot="1" x14ac:dyDescent="0.35">
      <c r="A36" s="17">
        <v>21.784332688588002</v>
      </c>
      <c r="B36" s="17">
        <v>15183.7524177949</v>
      </c>
      <c r="C36" s="14" t="s">
        <v>33</v>
      </c>
      <c r="D36" s="14" t="s">
        <v>35</v>
      </c>
      <c r="E36" s="14" t="s">
        <v>387</v>
      </c>
      <c r="F36" s="14">
        <v>0.23</v>
      </c>
      <c r="G36" s="14">
        <v>0.4</v>
      </c>
      <c r="H36" s="14">
        <v>0.32</v>
      </c>
      <c r="I36" s="14">
        <v>0.42</v>
      </c>
      <c r="J36" s="14">
        <v>1.83</v>
      </c>
      <c r="K36" s="14">
        <v>1.06</v>
      </c>
      <c r="L36" s="14">
        <v>0</v>
      </c>
      <c r="M36" s="14">
        <v>50</v>
      </c>
      <c r="N36" s="14">
        <v>1355.4216867469879</v>
      </c>
      <c r="O36" s="14">
        <v>1.1599999999999999</v>
      </c>
      <c r="P36" s="14">
        <v>0.82399999999999995</v>
      </c>
      <c r="Q36" s="14">
        <v>36.74074074074074</v>
      </c>
      <c r="R36" s="14">
        <v>2.7</v>
      </c>
      <c r="S36" s="14" t="s">
        <v>34</v>
      </c>
      <c r="T36" s="14" t="s">
        <v>36</v>
      </c>
      <c r="U36" s="14" t="s">
        <v>388</v>
      </c>
      <c r="V36" s="14" t="s">
        <v>38</v>
      </c>
      <c r="W36" s="14">
        <v>19</v>
      </c>
      <c r="X36" s="14">
        <v>1</v>
      </c>
      <c r="Y36" s="14">
        <v>1</v>
      </c>
      <c r="Z36" s="14" t="s">
        <v>33</v>
      </c>
      <c r="AA36" s="14">
        <v>0.38219999999999998</v>
      </c>
      <c r="AB36" s="14" t="s">
        <v>34</v>
      </c>
      <c r="AC36" s="14" t="s">
        <v>40</v>
      </c>
      <c r="AD36" s="14" t="s">
        <v>277</v>
      </c>
      <c r="AE36" s="14">
        <v>19.676500000000001</v>
      </c>
      <c r="AF36" s="14" t="s">
        <v>309</v>
      </c>
      <c r="AG36" s="14">
        <v>2023</v>
      </c>
      <c r="AH36" s="62" t="s">
        <v>393</v>
      </c>
      <c r="AI36" s="15">
        <v>40</v>
      </c>
      <c r="AJ36" s="15">
        <v>2</v>
      </c>
      <c r="AK36" s="15">
        <v>1.25</v>
      </c>
      <c r="AL36" s="15" t="str">
        <f t="shared" si="4"/>
        <v>Chen et al. (2023)</v>
      </c>
      <c r="AQ36" s="96"/>
      <c r="AZ36" s="11">
        <v>9.9518542615484709</v>
      </c>
      <c r="BA36" s="11">
        <v>364.81033091202499</v>
      </c>
    </row>
    <row r="37" spans="1:53" x14ac:dyDescent="0.3">
      <c r="A37" s="12">
        <v>1.0201691607026599</v>
      </c>
      <c r="B37" s="12">
        <v>4.8426150121067604</v>
      </c>
      <c r="C37" s="13" t="s">
        <v>34</v>
      </c>
      <c r="D37" s="13" t="s">
        <v>394</v>
      </c>
      <c r="E37" s="13" t="s">
        <v>387</v>
      </c>
      <c r="F37" s="13" t="s">
        <v>34</v>
      </c>
      <c r="G37" s="13" t="s">
        <v>34</v>
      </c>
      <c r="H37" s="13" t="s">
        <v>34</v>
      </c>
      <c r="I37" s="13" t="s">
        <v>34</v>
      </c>
      <c r="J37" s="13" t="s">
        <v>34</v>
      </c>
      <c r="K37" s="13" t="s">
        <v>34</v>
      </c>
      <c r="L37" s="13">
        <v>0</v>
      </c>
      <c r="M37" s="13">
        <v>34.1</v>
      </c>
      <c r="N37" s="13">
        <v>1400.49</v>
      </c>
      <c r="O37" s="13">
        <v>1.143</v>
      </c>
      <c r="P37" s="13">
        <v>0.84099999999999997</v>
      </c>
      <c r="Q37" s="13">
        <v>36.4</v>
      </c>
      <c r="R37" s="13">
        <v>2.8570000000000002</v>
      </c>
      <c r="S37" s="13" t="s">
        <v>34</v>
      </c>
      <c r="T37" s="13" t="s">
        <v>49</v>
      </c>
      <c r="U37" s="13" t="s">
        <v>362</v>
      </c>
      <c r="V37" s="13" t="s">
        <v>38</v>
      </c>
      <c r="W37" s="13" t="s">
        <v>43</v>
      </c>
      <c r="X37" s="13">
        <v>0.5</v>
      </c>
      <c r="Y37" s="13">
        <v>1</v>
      </c>
      <c r="Z37" s="13" t="s">
        <v>339</v>
      </c>
      <c r="AA37" s="13">
        <v>0.47339999999999999</v>
      </c>
      <c r="AB37" s="13" t="s">
        <v>34</v>
      </c>
      <c r="AC37" s="13" t="s">
        <v>391</v>
      </c>
      <c r="AD37" s="13" t="s">
        <v>277</v>
      </c>
      <c r="AE37" s="13">
        <v>0.86780000000000002</v>
      </c>
      <c r="AF37" s="13" t="s">
        <v>395</v>
      </c>
      <c r="AG37" s="13">
        <v>2024</v>
      </c>
      <c r="AH37" s="95" t="s">
        <v>396</v>
      </c>
      <c r="AI37" s="2">
        <v>50</v>
      </c>
      <c r="AJ37" s="2">
        <v>2</v>
      </c>
      <c r="AK37" s="2" t="s">
        <v>34</v>
      </c>
      <c r="AL37" s="2" t="str">
        <f t="shared" si="4"/>
        <v>Cui et al. (2024)</v>
      </c>
      <c r="AQ37" s="91"/>
      <c r="AZ37" s="11">
        <v>9.9934938191281706</v>
      </c>
      <c r="BA37" s="11">
        <v>478.61178369652902</v>
      </c>
    </row>
    <row r="38" spans="1:53" x14ac:dyDescent="0.3">
      <c r="A38" s="11">
        <v>1.5510735198438499</v>
      </c>
      <c r="B38" s="11">
        <v>5.6497175141243998</v>
      </c>
      <c r="C38" s="10" t="s">
        <v>34</v>
      </c>
      <c r="D38" s="10" t="s">
        <v>394</v>
      </c>
      <c r="E38" s="10" t="s">
        <v>387</v>
      </c>
      <c r="F38" s="10" t="s">
        <v>34</v>
      </c>
      <c r="G38" s="10" t="s">
        <v>34</v>
      </c>
      <c r="H38" s="10" t="s">
        <v>34</v>
      </c>
      <c r="I38" s="10" t="s">
        <v>34</v>
      </c>
      <c r="J38" s="10" t="s">
        <v>34</v>
      </c>
      <c r="K38" s="10" t="s">
        <v>34</v>
      </c>
      <c r="L38" s="10">
        <v>0</v>
      </c>
      <c r="M38" s="10">
        <v>34.1</v>
      </c>
      <c r="N38" s="10">
        <v>1400.49</v>
      </c>
      <c r="O38" s="10">
        <v>1.143</v>
      </c>
      <c r="P38" s="10">
        <v>0.84099999999999997</v>
      </c>
      <c r="Q38" s="10">
        <v>36.4</v>
      </c>
      <c r="R38" s="10">
        <v>2.8570000000000002</v>
      </c>
      <c r="S38" s="10" t="s">
        <v>34</v>
      </c>
      <c r="T38" s="10" t="s">
        <v>49</v>
      </c>
      <c r="U38" s="10" t="s">
        <v>362</v>
      </c>
      <c r="V38" s="10" t="s">
        <v>38</v>
      </c>
      <c r="W38" s="10" t="s">
        <v>43</v>
      </c>
      <c r="X38" s="10">
        <v>0.5</v>
      </c>
      <c r="Y38" s="10">
        <v>1</v>
      </c>
      <c r="Z38" s="10" t="s">
        <v>339</v>
      </c>
      <c r="AA38" s="10">
        <v>0.47339999999999999</v>
      </c>
      <c r="AB38" s="10" t="s">
        <v>34</v>
      </c>
      <c r="AC38" s="10" t="s">
        <v>391</v>
      </c>
      <c r="AD38" s="10" t="s">
        <v>277</v>
      </c>
      <c r="AE38" s="10">
        <v>0.86780000000000002</v>
      </c>
      <c r="AF38" s="10" t="s">
        <v>395</v>
      </c>
      <c r="AG38" s="10">
        <v>2024</v>
      </c>
      <c r="AH38" s="94" t="s">
        <v>396</v>
      </c>
      <c r="AI38" s="2">
        <v>50</v>
      </c>
      <c r="AJ38" s="2">
        <v>2</v>
      </c>
      <c r="AK38" s="2" t="s">
        <v>34</v>
      </c>
      <c r="AL38" s="2" t="str">
        <f t="shared" si="4"/>
        <v>Cui et al. (2024)</v>
      </c>
      <c r="AQ38" s="91"/>
      <c r="AZ38" s="11">
        <v>12.2524398178269</v>
      </c>
      <c r="BA38" s="11">
        <v>660.20984665052401</v>
      </c>
    </row>
    <row r="39" spans="1:53" x14ac:dyDescent="0.3">
      <c r="A39" s="11">
        <v>2.6441119063109899</v>
      </c>
      <c r="B39" s="11">
        <v>16.9491525423729</v>
      </c>
      <c r="C39" s="10" t="s">
        <v>34</v>
      </c>
      <c r="D39" s="10" t="s">
        <v>394</v>
      </c>
      <c r="E39" s="10" t="s">
        <v>387</v>
      </c>
      <c r="F39" s="10" t="s">
        <v>34</v>
      </c>
      <c r="G39" s="10" t="s">
        <v>34</v>
      </c>
      <c r="H39" s="10" t="s">
        <v>34</v>
      </c>
      <c r="I39" s="10" t="s">
        <v>34</v>
      </c>
      <c r="J39" s="10" t="s">
        <v>34</v>
      </c>
      <c r="K39" s="10" t="s">
        <v>34</v>
      </c>
      <c r="L39" s="10">
        <v>0</v>
      </c>
      <c r="M39" s="10">
        <v>34.1</v>
      </c>
      <c r="N39" s="10">
        <v>1400.49</v>
      </c>
      <c r="O39" s="10">
        <v>1.143</v>
      </c>
      <c r="P39" s="10">
        <v>0.84099999999999997</v>
      </c>
      <c r="Q39" s="10">
        <v>36.4</v>
      </c>
      <c r="R39" s="10">
        <v>2.8570000000000002</v>
      </c>
      <c r="S39" s="10" t="s">
        <v>34</v>
      </c>
      <c r="T39" s="10" t="s">
        <v>49</v>
      </c>
      <c r="U39" s="10" t="s">
        <v>362</v>
      </c>
      <c r="V39" s="10" t="s">
        <v>38</v>
      </c>
      <c r="W39" s="10" t="s">
        <v>43</v>
      </c>
      <c r="X39" s="10">
        <v>0.5</v>
      </c>
      <c r="Y39" s="10">
        <v>1</v>
      </c>
      <c r="Z39" s="10" t="s">
        <v>339</v>
      </c>
      <c r="AA39" s="10">
        <v>0.47339999999999999</v>
      </c>
      <c r="AB39" s="10" t="s">
        <v>34</v>
      </c>
      <c r="AC39" s="10" t="s">
        <v>391</v>
      </c>
      <c r="AD39" s="10" t="s">
        <v>277</v>
      </c>
      <c r="AE39" s="10">
        <v>0.86780000000000002</v>
      </c>
      <c r="AF39" s="10" t="s">
        <v>395</v>
      </c>
      <c r="AG39" s="10">
        <v>2024</v>
      </c>
      <c r="AH39" s="94" t="s">
        <v>396</v>
      </c>
      <c r="AI39" s="2">
        <v>50</v>
      </c>
      <c r="AJ39" s="2">
        <v>2</v>
      </c>
      <c r="AK39" s="2" t="s">
        <v>34</v>
      </c>
      <c r="AL39" s="2" t="str">
        <f t="shared" si="4"/>
        <v>Cui et al. (2024)</v>
      </c>
      <c r="AQ39" s="91"/>
      <c r="AZ39" s="11">
        <v>12.0130123617436</v>
      </c>
      <c r="BA39" s="11">
        <v>721.54963680387402</v>
      </c>
    </row>
    <row r="40" spans="1:53" s="15" customFormat="1" ht="16.2" thickBot="1" x14ac:dyDescent="0.35">
      <c r="A40" s="17">
        <v>3.38321405335068</v>
      </c>
      <c r="B40" s="17">
        <v>21.791767554479499</v>
      </c>
      <c r="C40" s="14" t="s">
        <v>34</v>
      </c>
      <c r="D40" s="14" t="s">
        <v>394</v>
      </c>
      <c r="E40" s="14" t="s">
        <v>387</v>
      </c>
      <c r="F40" s="14" t="s">
        <v>34</v>
      </c>
      <c r="G40" s="14" t="s">
        <v>34</v>
      </c>
      <c r="H40" s="14" t="s">
        <v>34</v>
      </c>
      <c r="I40" s="14" t="s">
        <v>34</v>
      </c>
      <c r="J40" s="14" t="s">
        <v>34</v>
      </c>
      <c r="K40" s="14" t="s">
        <v>34</v>
      </c>
      <c r="L40" s="14">
        <v>0</v>
      </c>
      <c r="M40" s="14">
        <v>34.1</v>
      </c>
      <c r="N40" s="14">
        <v>1400.49</v>
      </c>
      <c r="O40" s="14">
        <v>1.143</v>
      </c>
      <c r="P40" s="14">
        <v>0.84099999999999997</v>
      </c>
      <c r="Q40" s="14">
        <v>36.4</v>
      </c>
      <c r="R40" s="14">
        <v>2.8570000000000002</v>
      </c>
      <c r="S40" s="14" t="s">
        <v>34</v>
      </c>
      <c r="T40" s="14" t="s">
        <v>49</v>
      </c>
      <c r="U40" s="14" t="s">
        <v>362</v>
      </c>
      <c r="V40" s="14" t="s">
        <v>38</v>
      </c>
      <c r="W40" s="14" t="s">
        <v>43</v>
      </c>
      <c r="X40" s="14">
        <v>0.5</v>
      </c>
      <c r="Y40" s="14">
        <v>1</v>
      </c>
      <c r="Z40" s="14" t="s">
        <v>339</v>
      </c>
      <c r="AA40" s="14">
        <v>0.47339999999999999</v>
      </c>
      <c r="AB40" s="14" t="s">
        <v>34</v>
      </c>
      <c r="AC40" s="14" t="s">
        <v>391</v>
      </c>
      <c r="AD40" s="14" t="s">
        <v>277</v>
      </c>
      <c r="AE40" s="14">
        <v>0.86780000000000002</v>
      </c>
      <c r="AF40" s="14" t="s">
        <v>395</v>
      </c>
      <c r="AG40" s="14">
        <v>2024</v>
      </c>
      <c r="AH40" s="62" t="s">
        <v>396</v>
      </c>
      <c r="AI40" s="15">
        <v>50</v>
      </c>
      <c r="AJ40" s="15">
        <v>2</v>
      </c>
      <c r="AK40" s="34" t="s">
        <v>34</v>
      </c>
      <c r="AL40" s="2" t="str">
        <f t="shared" si="4"/>
        <v>Cui et al. (2024)</v>
      </c>
      <c r="AZ40" s="11">
        <v>12.2940793754066</v>
      </c>
      <c r="BA40" s="11">
        <v>854.72154963680396</v>
      </c>
    </row>
    <row r="41" spans="1:53" x14ac:dyDescent="0.3">
      <c r="A41" s="12">
        <v>4.5178919973975296</v>
      </c>
      <c r="B41" s="12">
        <v>27.4414850686039</v>
      </c>
      <c r="C41" s="13" t="s">
        <v>34</v>
      </c>
      <c r="D41" s="13" t="s">
        <v>394</v>
      </c>
      <c r="E41" s="13" t="s">
        <v>387</v>
      </c>
      <c r="F41" s="10" t="s">
        <v>34</v>
      </c>
      <c r="G41" s="10" t="s">
        <v>34</v>
      </c>
      <c r="H41" s="13" t="s">
        <v>34</v>
      </c>
      <c r="I41" s="13" t="s">
        <v>34</v>
      </c>
      <c r="J41" s="13" t="s">
        <v>34</v>
      </c>
      <c r="K41" s="13" t="s">
        <v>34</v>
      </c>
      <c r="L41" s="13">
        <v>0</v>
      </c>
      <c r="M41" s="13">
        <v>34.1</v>
      </c>
      <c r="N41" s="13">
        <v>1400.49</v>
      </c>
      <c r="O41" s="13">
        <v>1.143</v>
      </c>
      <c r="P41" s="13">
        <v>0.84099999999999997</v>
      </c>
      <c r="Q41" s="13">
        <v>36.4</v>
      </c>
      <c r="R41" s="13">
        <v>2.8570000000000002</v>
      </c>
      <c r="S41" s="13" t="s">
        <v>34</v>
      </c>
      <c r="T41" s="13" t="s">
        <v>49</v>
      </c>
      <c r="U41" s="13" t="s">
        <v>362</v>
      </c>
      <c r="V41" s="13" t="s">
        <v>38</v>
      </c>
      <c r="W41" s="13" t="s">
        <v>43</v>
      </c>
      <c r="X41" s="13">
        <v>0.5</v>
      </c>
      <c r="Y41" s="13">
        <v>1</v>
      </c>
      <c r="Z41" s="13" t="s">
        <v>339</v>
      </c>
      <c r="AA41" s="13">
        <v>0.47339999999999999</v>
      </c>
      <c r="AB41" s="13" t="s">
        <v>34</v>
      </c>
      <c r="AC41" s="13" t="s">
        <v>391</v>
      </c>
      <c r="AD41" s="13" t="s">
        <v>277</v>
      </c>
      <c r="AE41" s="13">
        <v>0.86780000000000002</v>
      </c>
      <c r="AF41" s="94" t="s">
        <v>395</v>
      </c>
      <c r="AG41" s="13">
        <v>2024</v>
      </c>
      <c r="AH41" s="94" t="s">
        <v>396</v>
      </c>
      <c r="AI41" s="2">
        <v>50</v>
      </c>
      <c r="AJ41" s="2">
        <v>2</v>
      </c>
      <c r="AK41" s="2" t="s">
        <v>34</v>
      </c>
      <c r="AL41" s="2" t="str">
        <f t="shared" si="4"/>
        <v>Cui et al. (2024)</v>
      </c>
      <c r="AZ41" s="11">
        <v>7.8698763825634304</v>
      </c>
      <c r="BA41" s="11">
        <v>129.13640032284101</v>
      </c>
    </row>
    <row r="42" spans="1:53" x14ac:dyDescent="0.3">
      <c r="A42" s="11">
        <v>5.17371502927781</v>
      </c>
      <c r="B42" s="11">
        <v>38.7409200968522</v>
      </c>
      <c r="C42" s="10" t="s">
        <v>34</v>
      </c>
      <c r="D42" s="10" t="s">
        <v>394</v>
      </c>
      <c r="E42" s="10" t="s">
        <v>387</v>
      </c>
      <c r="F42" s="10" t="s">
        <v>34</v>
      </c>
      <c r="G42" s="10" t="s">
        <v>34</v>
      </c>
      <c r="H42" s="13" t="s">
        <v>34</v>
      </c>
      <c r="I42" s="13" t="s">
        <v>34</v>
      </c>
      <c r="J42" s="13" t="s">
        <v>34</v>
      </c>
      <c r="K42" s="13" t="s">
        <v>34</v>
      </c>
      <c r="L42" s="13">
        <v>0</v>
      </c>
      <c r="M42" s="13">
        <v>34.1</v>
      </c>
      <c r="N42" s="13">
        <v>1400.49</v>
      </c>
      <c r="O42" s="13">
        <v>1.143</v>
      </c>
      <c r="P42" s="13">
        <v>0.84099999999999997</v>
      </c>
      <c r="Q42" s="13">
        <v>36.4</v>
      </c>
      <c r="R42" s="13">
        <v>2.8570000000000002</v>
      </c>
      <c r="S42" s="13" t="s">
        <v>34</v>
      </c>
      <c r="T42" s="13" t="s">
        <v>49</v>
      </c>
      <c r="U42" s="13" t="s">
        <v>362</v>
      </c>
      <c r="V42" s="13" t="s">
        <v>38</v>
      </c>
      <c r="W42" s="13" t="s">
        <v>43</v>
      </c>
      <c r="X42" s="13">
        <v>0.5</v>
      </c>
      <c r="Y42" s="13">
        <v>1</v>
      </c>
      <c r="Z42" s="13" t="s">
        <v>339</v>
      </c>
      <c r="AA42" s="13">
        <v>0.47339999999999999</v>
      </c>
      <c r="AB42" s="13" t="s">
        <v>34</v>
      </c>
      <c r="AC42" s="13" t="s">
        <v>391</v>
      </c>
      <c r="AD42" s="13" t="s">
        <v>277</v>
      </c>
      <c r="AE42" s="13">
        <v>0.86780000000000002</v>
      </c>
      <c r="AF42" s="94" t="s">
        <v>395</v>
      </c>
      <c r="AG42" s="13">
        <v>2024</v>
      </c>
      <c r="AH42" s="94" t="s">
        <v>396</v>
      </c>
      <c r="AI42" s="2">
        <v>50</v>
      </c>
      <c r="AJ42" s="2">
        <v>2</v>
      </c>
      <c r="AK42" s="2" t="s">
        <v>34</v>
      </c>
      <c r="AL42" s="2" t="str">
        <f t="shared" si="4"/>
        <v>Cui et al. (2024)</v>
      </c>
      <c r="AZ42" s="11">
        <v>7.7033181522446297</v>
      </c>
      <c r="BA42" s="11">
        <v>150.92816787731999</v>
      </c>
    </row>
    <row r="43" spans="1:53" x14ac:dyDescent="0.3">
      <c r="A43" s="11">
        <v>5.8295380611581002</v>
      </c>
      <c r="B43" s="11">
        <v>58.111380145278503</v>
      </c>
      <c r="C43" s="10" t="s">
        <v>34</v>
      </c>
      <c r="D43" s="10" t="s">
        <v>394</v>
      </c>
      <c r="E43" s="10" t="s">
        <v>387</v>
      </c>
      <c r="F43" s="10" t="s">
        <v>34</v>
      </c>
      <c r="G43" s="10" t="s">
        <v>34</v>
      </c>
      <c r="H43" s="13" t="s">
        <v>34</v>
      </c>
      <c r="I43" s="13" t="s">
        <v>34</v>
      </c>
      <c r="J43" s="13" t="s">
        <v>34</v>
      </c>
      <c r="K43" s="13" t="s">
        <v>34</v>
      </c>
      <c r="L43" s="13">
        <v>0</v>
      </c>
      <c r="M43" s="13">
        <v>34.1</v>
      </c>
      <c r="N43" s="13">
        <v>1400.49</v>
      </c>
      <c r="O43" s="13">
        <v>1.143</v>
      </c>
      <c r="P43" s="13">
        <v>0.84099999999999997</v>
      </c>
      <c r="Q43" s="13">
        <v>36.4</v>
      </c>
      <c r="R43" s="13">
        <v>2.8570000000000002</v>
      </c>
      <c r="S43" s="13" t="s">
        <v>34</v>
      </c>
      <c r="T43" s="13" t="s">
        <v>49</v>
      </c>
      <c r="U43" s="13" t="s">
        <v>362</v>
      </c>
      <c r="V43" s="13" t="s">
        <v>38</v>
      </c>
      <c r="W43" s="13" t="s">
        <v>43</v>
      </c>
      <c r="X43" s="13">
        <v>0.5</v>
      </c>
      <c r="Y43" s="13">
        <v>1</v>
      </c>
      <c r="Z43" s="13" t="s">
        <v>339</v>
      </c>
      <c r="AA43" s="13">
        <v>0.47339999999999999</v>
      </c>
      <c r="AB43" s="13" t="s">
        <v>34</v>
      </c>
      <c r="AC43" s="13" t="s">
        <v>391</v>
      </c>
      <c r="AD43" s="13" t="s">
        <v>277</v>
      </c>
      <c r="AE43" s="13">
        <v>0.86780000000000002</v>
      </c>
      <c r="AF43" s="94" t="s">
        <v>395</v>
      </c>
      <c r="AG43" s="13">
        <v>2024</v>
      </c>
      <c r="AH43" s="94" t="s">
        <v>396</v>
      </c>
      <c r="AI43" s="2">
        <v>50</v>
      </c>
      <c r="AJ43" s="2">
        <v>2</v>
      </c>
      <c r="AK43" s="2" t="s">
        <v>34</v>
      </c>
      <c r="AL43" s="2" t="str">
        <f t="shared" si="4"/>
        <v>Cui et al. (2024)</v>
      </c>
      <c r="AZ43" s="11">
        <v>8.16135328562134</v>
      </c>
      <c r="BA43" s="11">
        <v>213.882163034705</v>
      </c>
    </row>
    <row r="44" spans="1:53" x14ac:dyDescent="0.3">
      <c r="A44" s="11">
        <v>6.91216655823031</v>
      </c>
      <c r="B44" s="11">
        <v>30.669895076674901</v>
      </c>
      <c r="C44" s="10" t="s">
        <v>34</v>
      </c>
      <c r="D44" s="10" t="s">
        <v>394</v>
      </c>
      <c r="E44" s="10" t="s">
        <v>387</v>
      </c>
      <c r="F44" s="10" t="s">
        <v>34</v>
      </c>
      <c r="G44" s="10" t="s">
        <v>34</v>
      </c>
      <c r="H44" s="13" t="s">
        <v>34</v>
      </c>
      <c r="I44" s="13" t="s">
        <v>34</v>
      </c>
      <c r="J44" s="13" t="s">
        <v>34</v>
      </c>
      <c r="K44" s="13" t="s">
        <v>34</v>
      </c>
      <c r="L44" s="13">
        <v>0</v>
      </c>
      <c r="M44" s="13">
        <v>34.1</v>
      </c>
      <c r="N44" s="13">
        <v>1400.49</v>
      </c>
      <c r="O44" s="13">
        <v>1.143</v>
      </c>
      <c r="P44" s="13">
        <v>0.84099999999999997</v>
      </c>
      <c r="Q44" s="13">
        <v>36.4</v>
      </c>
      <c r="R44" s="13">
        <v>2.8570000000000002</v>
      </c>
      <c r="S44" s="13" t="s">
        <v>34</v>
      </c>
      <c r="T44" s="13" t="s">
        <v>49</v>
      </c>
      <c r="U44" s="13" t="s">
        <v>362</v>
      </c>
      <c r="V44" s="13" t="s">
        <v>38</v>
      </c>
      <c r="W44" s="13" t="s">
        <v>43</v>
      </c>
      <c r="X44" s="13">
        <v>0.5</v>
      </c>
      <c r="Y44" s="13">
        <v>1</v>
      </c>
      <c r="Z44" s="13" t="s">
        <v>339</v>
      </c>
      <c r="AA44" s="13">
        <v>0.47339999999999999</v>
      </c>
      <c r="AB44" s="13" t="s">
        <v>34</v>
      </c>
      <c r="AC44" s="13" t="s">
        <v>391</v>
      </c>
      <c r="AD44" s="13" t="s">
        <v>277</v>
      </c>
      <c r="AE44" s="13">
        <v>0.86780000000000002</v>
      </c>
      <c r="AF44" s="94" t="s">
        <v>395</v>
      </c>
      <c r="AG44" s="13">
        <v>2024</v>
      </c>
      <c r="AH44" s="94" t="s">
        <v>396</v>
      </c>
      <c r="AI44" s="2">
        <v>50</v>
      </c>
      <c r="AJ44" s="2">
        <v>2</v>
      </c>
      <c r="AK44" s="2" t="s">
        <v>34</v>
      </c>
      <c r="AL44" s="2" t="str">
        <f t="shared" si="4"/>
        <v>Cui et al. (2024)</v>
      </c>
      <c r="AZ44" s="11">
        <v>9.7124268054651903</v>
      </c>
      <c r="BA44" s="11">
        <v>309.927360774818</v>
      </c>
    </row>
    <row r="45" spans="1:53" x14ac:dyDescent="0.3">
      <c r="A45" s="11">
        <v>6.6206896551724101</v>
      </c>
      <c r="B45" s="11">
        <v>45.197740112994502</v>
      </c>
      <c r="C45" s="10" t="s">
        <v>34</v>
      </c>
      <c r="D45" s="10" t="s">
        <v>394</v>
      </c>
      <c r="E45" s="10" t="s">
        <v>387</v>
      </c>
      <c r="F45" s="10" t="s">
        <v>34</v>
      </c>
      <c r="G45" s="10" t="s">
        <v>34</v>
      </c>
      <c r="H45" s="13" t="s">
        <v>34</v>
      </c>
      <c r="I45" s="13" t="s">
        <v>34</v>
      </c>
      <c r="J45" s="13" t="s">
        <v>34</v>
      </c>
      <c r="K45" s="13" t="s">
        <v>34</v>
      </c>
      <c r="L45" s="13">
        <v>0</v>
      </c>
      <c r="M45" s="13">
        <v>34.1</v>
      </c>
      <c r="N45" s="13">
        <v>1400.49</v>
      </c>
      <c r="O45" s="13">
        <v>1.143</v>
      </c>
      <c r="P45" s="13">
        <v>0.84099999999999997</v>
      </c>
      <c r="Q45" s="13">
        <v>36.4</v>
      </c>
      <c r="R45" s="13">
        <v>2.8570000000000002</v>
      </c>
      <c r="S45" s="13" t="s">
        <v>34</v>
      </c>
      <c r="T45" s="13" t="s">
        <v>49</v>
      </c>
      <c r="U45" s="13" t="s">
        <v>362</v>
      </c>
      <c r="V45" s="13" t="s">
        <v>38</v>
      </c>
      <c r="W45" s="13" t="s">
        <v>43</v>
      </c>
      <c r="X45" s="13">
        <v>0.5</v>
      </c>
      <c r="Y45" s="13">
        <v>1</v>
      </c>
      <c r="Z45" s="13" t="s">
        <v>339</v>
      </c>
      <c r="AA45" s="13">
        <v>0.47339999999999999</v>
      </c>
      <c r="AB45" s="13" t="s">
        <v>34</v>
      </c>
      <c r="AC45" s="13" t="s">
        <v>391</v>
      </c>
      <c r="AD45" s="13" t="s">
        <v>277</v>
      </c>
      <c r="AE45" s="13">
        <v>0.86780000000000002</v>
      </c>
      <c r="AF45" s="94" t="s">
        <v>395</v>
      </c>
      <c r="AG45" s="13">
        <v>2024</v>
      </c>
      <c r="AH45" s="94" t="s">
        <v>396</v>
      </c>
      <c r="AI45" s="2">
        <v>50</v>
      </c>
      <c r="AJ45" s="2">
        <v>2</v>
      </c>
      <c r="AK45" s="2" t="s">
        <v>34</v>
      </c>
      <c r="AL45" s="2" t="str">
        <f t="shared" si="4"/>
        <v>Cui et al. (2024)</v>
      </c>
      <c r="AZ45" s="11">
        <v>10.1080026024723</v>
      </c>
      <c r="BA45" s="11">
        <v>318.80548829701303</v>
      </c>
    </row>
    <row r="46" spans="1:53" x14ac:dyDescent="0.3">
      <c r="A46" s="11">
        <v>6.5270006506180804</v>
      </c>
      <c r="B46" s="11">
        <v>58.111380145278503</v>
      </c>
      <c r="C46" s="10" t="s">
        <v>34</v>
      </c>
      <c r="D46" s="10" t="s">
        <v>394</v>
      </c>
      <c r="E46" s="10" t="s">
        <v>387</v>
      </c>
      <c r="F46" s="10" t="s">
        <v>34</v>
      </c>
      <c r="G46" s="10" t="s">
        <v>34</v>
      </c>
      <c r="H46" s="13" t="s">
        <v>34</v>
      </c>
      <c r="I46" s="13" t="s">
        <v>34</v>
      </c>
      <c r="J46" s="13" t="s">
        <v>34</v>
      </c>
      <c r="K46" s="13" t="s">
        <v>34</v>
      </c>
      <c r="L46" s="13">
        <v>0</v>
      </c>
      <c r="M46" s="13">
        <v>34.1</v>
      </c>
      <c r="N46" s="13">
        <v>1400.49</v>
      </c>
      <c r="O46" s="13">
        <v>1.143</v>
      </c>
      <c r="P46" s="13">
        <v>0.84099999999999997</v>
      </c>
      <c r="Q46" s="13">
        <v>36.4</v>
      </c>
      <c r="R46" s="13">
        <v>2.8570000000000002</v>
      </c>
      <c r="S46" s="13" t="s">
        <v>34</v>
      </c>
      <c r="T46" s="13" t="s">
        <v>49</v>
      </c>
      <c r="U46" s="13" t="s">
        <v>362</v>
      </c>
      <c r="V46" s="13" t="s">
        <v>38</v>
      </c>
      <c r="W46" s="13" t="s">
        <v>43</v>
      </c>
      <c r="X46" s="13">
        <v>0.5</v>
      </c>
      <c r="Y46" s="13">
        <v>1</v>
      </c>
      <c r="Z46" s="13" t="s">
        <v>339</v>
      </c>
      <c r="AA46" s="13">
        <v>0.47339999999999999</v>
      </c>
      <c r="AB46" s="13" t="s">
        <v>34</v>
      </c>
      <c r="AC46" s="13" t="s">
        <v>391</v>
      </c>
      <c r="AD46" s="13" t="s">
        <v>277</v>
      </c>
      <c r="AE46" s="13">
        <v>0.86780000000000002</v>
      </c>
      <c r="AF46" s="94" t="s">
        <v>395</v>
      </c>
      <c r="AG46" s="13">
        <v>2024</v>
      </c>
      <c r="AH46" s="94" t="s">
        <v>396</v>
      </c>
      <c r="AI46" s="2">
        <v>50</v>
      </c>
      <c r="AJ46" s="2">
        <v>2</v>
      </c>
      <c r="AK46" s="2" t="s">
        <v>34</v>
      </c>
      <c r="AL46" s="2" t="str">
        <f t="shared" si="4"/>
        <v>Cui et al. (2024)</v>
      </c>
      <c r="AZ46" s="11">
        <v>11.929733246584201</v>
      </c>
      <c r="BA46" s="11">
        <v>482.64729620661802</v>
      </c>
    </row>
    <row r="47" spans="1:53" x14ac:dyDescent="0.3">
      <c r="A47" s="11">
        <v>6.46454131424853</v>
      </c>
      <c r="B47" s="11">
        <v>92.009685230024104</v>
      </c>
      <c r="C47" s="10" t="s">
        <v>34</v>
      </c>
      <c r="D47" s="10" t="s">
        <v>394</v>
      </c>
      <c r="E47" s="10" t="s">
        <v>387</v>
      </c>
      <c r="F47" s="10" t="s">
        <v>34</v>
      </c>
      <c r="G47" s="10" t="s">
        <v>34</v>
      </c>
      <c r="H47" s="13" t="s">
        <v>34</v>
      </c>
      <c r="I47" s="13" t="s">
        <v>34</v>
      </c>
      <c r="J47" s="13" t="s">
        <v>34</v>
      </c>
      <c r="K47" s="13" t="s">
        <v>34</v>
      </c>
      <c r="L47" s="13">
        <v>0</v>
      </c>
      <c r="M47" s="13">
        <v>34.1</v>
      </c>
      <c r="N47" s="13">
        <v>1400.49</v>
      </c>
      <c r="O47" s="13">
        <v>1.143</v>
      </c>
      <c r="P47" s="13">
        <v>0.84099999999999997</v>
      </c>
      <c r="Q47" s="13">
        <v>36.4</v>
      </c>
      <c r="R47" s="13">
        <v>2.8570000000000002</v>
      </c>
      <c r="S47" s="13" t="s">
        <v>34</v>
      </c>
      <c r="T47" s="13" t="s">
        <v>49</v>
      </c>
      <c r="U47" s="13" t="s">
        <v>362</v>
      </c>
      <c r="V47" s="13" t="s">
        <v>38</v>
      </c>
      <c r="W47" s="13" t="s">
        <v>43</v>
      </c>
      <c r="X47" s="13">
        <v>0.5</v>
      </c>
      <c r="Y47" s="13">
        <v>1</v>
      </c>
      <c r="Z47" s="13" t="s">
        <v>339</v>
      </c>
      <c r="AA47" s="13">
        <v>0.47339999999999999</v>
      </c>
      <c r="AB47" s="13" t="s">
        <v>34</v>
      </c>
      <c r="AC47" s="13" t="s">
        <v>391</v>
      </c>
      <c r="AD47" s="13" t="s">
        <v>277</v>
      </c>
      <c r="AE47" s="13">
        <v>0.86780000000000002</v>
      </c>
      <c r="AF47" s="94" t="s">
        <v>395</v>
      </c>
      <c r="AG47" s="13">
        <v>2024</v>
      </c>
      <c r="AH47" s="94" t="s">
        <v>396</v>
      </c>
      <c r="AI47" s="2">
        <v>50</v>
      </c>
      <c r="AJ47" s="2">
        <v>2</v>
      </c>
      <c r="AK47" s="2" t="s">
        <v>34</v>
      </c>
      <c r="AL47" s="2" t="str">
        <f t="shared" si="4"/>
        <v>Cui et al. (2024)</v>
      </c>
      <c r="AZ47" s="11">
        <v>12.2836694860117</v>
      </c>
      <c r="BA47" s="11">
        <v>728.00645682001596</v>
      </c>
    </row>
    <row r="48" spans="1:53" ht="16.2" thickBot="1" x14ac:dyDescent="0.35">
      <c r="A48" s="11">
        <v>7.2036434612882196</v>
      </c>
      <c r="B48" s="11">
        <v>77.481840193704599</v>
      </c>
      <c r="C48" s="10" t="s">
        <v>34</v>
      </c>
      <c r="D48" s="10" t="s">
        <v>394</v>
      </c>
      <c r="E48" s="10" t="s">
        <v>387</v>
      </c>
      <c r="F48" s="10" t="s">
        <v>34</v>
      </c>
      <c r="G48" s="10" t="s">
        <v>34</v>
      </c>
      <c r="H48" s="13" t="s">
        <v>34</v>
      </c>
      <c r="I48" s="13" t="s">
        <v>34</v>
      </c>
      <c r="J48" s="13" t="s">
        <v>34</v>
      </c>
      <c r="K48" s="13" t="s">
        <v>34</v>
      </c>
      <c r="L48" s="13">
        <v>0</v>
      </c>
      <c r="M48" s="13">
        <v>34.1</v>
      </c>
      <c r="N48" s="13">
        <v>1400.49</v>
      </c>
      <c r="O48" s="13">
        <v>1.143</v>
      </c>
      <c r="P48" s="13">
        <v>0.84099999999999997</v>
      </c>
      <c r="Q48" s="13">
        <v>36.4</v>
      </c>
      <c r="R48" s="13">
        <v>2.8570000000000002</v>
      </c>
      <c r="S48" s="13" t="s">
        <v>34</v>
      </c>
      <c r="T48" s="13" t="s">
        <v>49</v>
      </c>
      <c r="U48" s="13" t="s">
        <v>362</v>
      </c>
      <c r="V48" s="13" t="s">
        <v>38</v>
      </c>
      <c r="W48" s="13" t="s">
        <v>43</v>
      </c>
      <c r="X48" s="13">
        <v>0.5</v>
      </c>
      <c r="Y48" s="13">
        <v>1</v>
      </c>
      <c r="Z48" s="13" t="s">
        <v>339</v>
      </c>
      <c r="AA48" s="13">
        <v>0.47339999999999999</v>
      </c>
      <c r="AB48" s="13" t="s">
        <v>34</v>
      </c>
      <c r="AC48" s="13" t="s">
        <v>391</v>
      </c>
      <c r="AD48" s="13" t="s">
        <v>277</v>
      </c>
      <c r="AE48" s="13">
        <v>0.86780000000000002</v>
      </c>
      <c r="AF48" s="94" t="s">
        <v>395</v>
      </c>
      <c r="AG48" s="13">
        <v>2024</v>
      </c>
      <c r="AH48" s="94" t="s">
        <v>396</v>
      </c>
      <c r="AI48" s="2">
        <v>50</v>
      </c>
      <c r="AJ48" s="2">
        <v>2</v>
      </c>
      <c r="AK48" s="2" t="s">
        <v>34</v>
      </c>
      <c r="AL48" s="2" t="str">
        <f t="shared" si="4"/>
        <v>Cui et al. (2024)</v>
      </c>
      <c r="AZ48" s="17">
        <v>11.81522446324</v>
      </c>
      <c r="BA48" s="17">
        <v>900.72639225181604</v>
      </c>
    </row>
    <row r="49" spans="1:38" x14ac:dyDescent="0.3">
      <c r="A49" s="11">
        <v>3.82042940793754</v>
      </c>
      <c r="B49" s="11">
        <v>118.64406779661</v>
      </c>
      <c r="C49" s="10" t="s">
        <v>34</v>
      </c>
      <c r="D49" s="10" t="s">
        <v>394</v>
      </c>
      <c r="E49" s="10" t="s">
        <v>387</v>
      </c>
      <c r="F49" s="10" t="s">
        <v>34</v>
      </c>
      <c r="G49" s="10" t="s">
        <v>34</v>
      </c>
      <c r="H49" s="13" t="s">
        <v>34</v>
      </c>
      <c r="I49" s="13" t="s">
        <v>34</v>
      </c>
      <c r="J49" s="13" t="s">
        <v>34</v>
      </c>
      <c r="K49" s="13" t="s">
        <v>34</v>
      </c>
      <c r="L49" s="13">
        <v>0</v>
      </c>
      <c r="M49" s="13">
        <v>34.1</v>
      </c>
      <c r="N49" s="13">
        <v>1400.49</v>
      </c>
      <c r="O49" s="13">
        <v>1.143</v>
      </c>
      <c r="P49" s="13">
        <v>0.84099999999999997</v>
      </c>
      <c r="Q49" s="13">
        <v>36.4</v>
      </c>
      <c r="R49" s="13">
        <v>2.8570000000000002</v>
      </c>
      <c r="S49" s="13" t="s">
        <v>34</v>
      </c>
      <c r="T49" s="13" t="s">
        <v>49</v>
      </c>
      <c r="U49" s="13" t="s">
        <v>362</v>
      </c>
      <c r="V49" s="13" t="s">
        <v>38</v>
      </c>
      <c r="W49" s="13" t="s">
        <v>43</v>
      </c>
      <c r="X49" s="13">
        <v>0.5</v>
      </c>
      <c r="Y49" s="13">
        <v>1</v>
      </c>
      <c r="Z49" s="13" t="s">
        <v>339</v>
      </c>
      <c r="AA49" s="13">
        <v>0.31900000000000001</v>
      </c>
      <c r="AB49" s="13" t="s">
        <v>34</v>
      </c>
      <c r="AC49" s="13" t="s">
        <v>397</v>
      </c>
      <c r="AD49" s="13" t="s">
        <v>277</v>
      </c>
      <c r="AE49" s="13">
        <v>0.86780000000000002</v>
      </c>
      <c r="AF49" s="94" t="s">
        <v>395</v>
      </c>
      <c r="AG49" s="13">
        <v>2024</v>
      </c>
      <c r="AH49" s="94" t="s">
        <v>396</v>
      </c>
      <c r="AI49" s="2">
        <v>50</v>
      </c>
      <c r="AJ49" s="2">
        <v>2</v>
      </c>
      <c r="AK49" s="2" t="s">
        <v>34</v>
      </c>
      <c r="AL49" s="2" t="str">
        <f t="shared" si="4"/>
        <v>Cui et al. (2024)</v>
      </c>
    </row>
    <row r="50" spans="1:38" x14ac:dyDescent="0.3">
      <c r="A50" s="11">
        <v>4.1431359791802196</v>
      </c>
      <c r="B50" s="11">
        <v>127.522195318805</v>
      </c>
      <c r="C50" s="10" t="s">
        <v>34</v>
      </c>
      <c r="D50" s="10" t="s">
        <v>394</v>
      </c>
      <c r="E50" s="10" t="s">
        <v>387</v>
      </c>
      <c r="F50" s="10" t="s">
        <v>34</v>
      </c>
      <c r="G50" s="10" t="s">
        <v>34</v>
      </c>
      <c r="H50" s="13" t="s">
        <v>34</v>
      </c>
      <c r="I50" s="13" t="s">
        <v>34</v>
      </c>
      <c r="J50" s="13" t="s">
        <v>34</v>
      </c>
      <c r="K50" s="13" t="s">
        <v>34</v>
      </c>
      <c r="L50" s="13">
        <v>0</v>
      </c>
      <c r="M50" s="13">
        <v>34.1</v>
      </c>
      <c r="N50" s="13">
        <v>1400.49</v>
      </c>
      <c r="O50" s="13">
        <v>1.143</v>
      </c>
      <c r="P50" s="13">
        <v>0.84099999999999997</v>
      </c>
      <c r="Q50" s="13">
        <v>36.4</v>
      </c>
      <c r="R50" s="13">
        <v>2.8570000000000002</v>
      </c>
      <c r="S50" s="13" t="s">
        <v>34</v>
      </c>
      <c r="T50" s="13" t="s">
        <v>49</v>
      </c>
      <c r="U50" s="13" t="s">
        <v>362</v>
      </c>
      <c r="V50" s="13" t="s">
        <v>38</v>
      </c>
      <c r="W50" s="13" t="s">
        <v>43</v>
      </c>
      <c r="X50" s="13">
        <v>0.5</v>
      </c>
      <c r="Y50" s="13">
        <v>1</v>
      </c>
      <c r="Z50" s="13" t="s">
        <v>339</v>
      </c>
      <c r="AA50" s="13">
        <v>0.31900000000000001</v>
      </c>
      <c r="AB50" s="13" t="s">
        <v>34</v>
      </c>
      <c r="AC50" s="13" t="s">
        <v>397</v>
      </c>
      <c r="AD50" s="13" t="s">
        <v>277</v>
      </c>
      <c r="AE50" s="13">
        <v>0.86780000000000002</v>
      </c>
      <c r="AF50" s="94" t="s">
        <v>395</v>
      </c>
      <c r="AG50" s="13">
        <v>2024</v>
      </c>
      <c r="AH50" s="94" t="s">
        <v>396</v>
      </c>
      <c r="AI50" s="2">
        <v>50</v>
      </c>
      <c r="AJ50" s="2">
        <v>2</v>
      </c>
      <c r="AK50" s="2" t="s">
        <v>34</v>
      </c>
      <c r="AL50" s="2" t="str">
        <f t="shared" si="4"/>
        <v>Cui et al. (2024)</v>
      </c>
    </row>
    <row r="51" spans="1:38" x14ac:dyDescent="0.3">
      <c r="A51" s="11">
        <v>4.90305790500976</v>
      </c>
      <c r="B51" s="11">
        <v>121.872477804681</v>
      </c>
      <c r="C51" s="10" t="s">
        <v>34</v>
      </c>
      <c r="D51" s="10" t="s">
        <v>394</v>
      </c>
      <c r="E51" s="10" t="s">
        <v>387</v>
      </c>
      <c r="F51" s="10" t="s">
        <v>34</v>
      </c>
      <c r="G51" s="10" t="s">
        <v>34</v>
      </c>
      <c r="H51" s="13" t="s">
        <v>34</v>
      </c>
      <c r="I51" s="13" t="s">
        <v>34</v>
      </c>
      <c r="J51" s="13" t="s">
        <v>34</v>
      </c>
      <c r="K51" s="13" t="s">
        <v>34</v>
      </c>
      <c r="L51" s="13">
        <v>0</v>
      </c>
      <c r="M51" s="13">
        <v>34.1</v>
      </c>
      <c r="N51" s="13">
        <v>1400.49</v>
      </c>
      <c r="O51" s="13">
        <v>1.143</v>
      </c>
      <c r="P51" s="13">
        <v>0.84099999999999997</v>
      </c>
      <c r="Q51" s="13">
        <v>36.4</v>
      </c>
      <c r="R51" s="13">
        <v>2.8570000000000002</v>
      </c>
      <c r="S51" s="13" t="s">
        <v>34</v>
      </c>
      <c r="T51" s="13" t="s">
        <v>49</v>
      </c>
      <c r="U51" s="13" t="s">
        <v>362</v>
      </c>
      <c r="V51" s="13" t="s">
        <v>38</v>
      </c>
      <c r="W51" s="13" t="s">
        <v>43</v>
      </c>
      <c r="X51" s="13">
        <v>0.5</v>
      </c>
      <c r="Y51" s="13">
        <v>1</v>
      </c>
      <c r="Z51" s="13" t="s">
        <v>339</v>
      </c>
      <c r="AA51" s="13">
        <v>0.31900000000000001</v>
      </c>
      <c r="AB51" s="13" t="s">
        <v>34</v>
      </c>
      <c r="AC51" s="13" t="s">
        <v>397</v>
      </c>
      <c r="AD51" s="13" t="s">
        <v>277</v>
      </c>
      <c r="AE51" s="13">
        <v>0.86780000000000002</v>
      </c>
      <c r="AF51" s="94" t="s">
        <v>395</v>
      </c>
      <c r="AG51" s="13">
        <v>2024</v>
      </c>
      <c r="AH51" s="94" t="s">
        <v>396</v>
      </c>
      <c r="AI51" s="2">
        <v>50</v>
      </c>
      <c r="AJ51" s="2">
        <v>2</v>
      </c>
      <c r="AK51" s="2" t="s">
        <v>34</v>
      </c>
      <c r="AL51" s="2" t="str">
        <f t="shared" si="4"/>
        <v>Cui et al. (2024)</v>
      </c>
    </row>
    <row r="52" spans="1:38" x14ac:dyDescent="0.3">
      <c r="A52" s="11">
        <v>7.5679895901106002</v>
      </c>
      <c r="B52" s="11">
        <v>238.902340597256</v>
      </c>
      <c r="C52" s="10" t="s">
        <v>34</v>
      </c>
      <c r="D52" s="10" t="s">
        <v>394</v>
      </c>
      <c r="E52" s="10" t="s">
        <v>387</v>
      </c>
      <c r="F52" s="10" t="s">
        <v>34</v>
      </c>
      <c r="G52" s="10" t="s">
        <v>34</v>
      </c>
      <c r="H52" s="13" t="s">
        <v>34</v>
      </c>
      <c r="I52" s="13" t="s">
        <v>34</v>
      </c>
      <c r="J52" s="13" t="s">
        <v>34</v>
      </c>
      <c r="K52" s="13" t="s">
        <v>34</v>
      </c>
      <c r="L52" s="13">
        <v>0</v>
      </c>
      <c r="M52" s="13">
        <v>34.1</v>
      </c>
      <c r="N52" s="13">
        <v>1400.49</v>
      </c>
      <c r="O52" s="13">
        <v>1.143</v>
      </c>
      <c r="P52" s="13">
        <v>0.84099999999999997</v>
      </c>
      <c r="Q52" s="13">
        <v>36.4</v>
      </c>
      <c r="R52" s="13">
        <v>2.8570000000000002</v>
      </c>
      <c r="S52" s="13" t="s">
        <v>34</v>
      </c>
      <c r="T52" s="13" t="s">
        <v>49</v>
      </c>
      <c r="U52" s="13" t="s">
        <v>362</v>
      </c>
      <c r="V52" s="13" t="s">
        <v>38</v>
      </c>
      <c r="W52" s="13" t="s">
        <v>43</v>
      </c>
      <c r="X52" s="13">
        <v>0.5</v>
      </c>
      <c r="Y52" s="13">
        <v>1</v>
      </c>
      <c r="Z52" s="13" t="s">
        <v>339</v>
      </c>
      <c r="AA52" s="13">
        <v>0.31900000000000001</v>
      </c>
      <c r="AB52" s="13" t="s">
        <v>34</v>
      </c>
      <c r="AC52" s="13" t="s">
        <v>397</v>
      </c>
      <c r="AD52" s="13" t="s">
        <v>277</v>
      </c>
      <c r="AE52" s="13">
        <v>0.86780000000000002</v>
      </c>
      <c r="AF52" s="94" t="s">
        <v>395</v>
      </c>
      <c r="AG52" s="13">
        <v>2024</v>
      </c>
      <c r="AH52" s="94" t="s">
        <v>396</v>
      </c>
      <c r="AI52" s="2">
        <v>50</v>
      </c>
      <c r="AJ52" s="2">
        <v>2</v>
      </c>
      <c r="AK52" s="2" t="s">
        <v>34</v>
      </c>
      <c r="AL52" s="2" t="str">
        <f t="shared" si="4"/>
        <v>Cui et al. (2024)</v>
      </c>
    </row>
    <row r="53" spans="1:38" x14ac:dyDescent="0.3">
      <c r="A53" s="11">
        <v>7.5783994795055296</v>
      </c>
      <c r="B53" s="11">
        <v>207.42534301856301</v>
      </c>
      <c r="C53" s="10" t="s">
        <v>34</v>
      </c>
      <c r="D53" s="10" t="s">
        <v>394</v>
      </c>
      <c r="E53" s="10" t="s">
        <v>387</v>
      </c>
      <c r="F53" s="10" t="s">
        <v>34</v>
      </c>
      <c r="G53" s="10" t="s">
        <v>34</v>
      </c>
      <c r="H53" s="13" t="s">
        <v>34</v>
      </c>
      <c r="I53" s="13" t="s">
        <v>34</v>
      </c>
      <c r="J53" s="13" t="s">
        <v>34</v>
      </c>
      <c r="K53" s="13" t="s">
        <v>34</v>
      </c>
      <c r="L53" s="13">
        <v>0</v>
      </c>
      <c r="M53" s="13">
        <v>34.1</v>
      </c>
      <c r="N53" s="13">
        <v>1400.49</v>
      </c>
      <c r="O53" s="13">
        <v>1.143</v>
      </c>
      <c r="P53" s="13">
        <v>0.84099999999999997</v>
      </c>
      <c r="Q53" s="13">
        <v>36.4</v>
      </c>
      <c r="R53" s="13">
        <v>2.8570000000000002</v>
      </c>
      <c r="S53" s="13" t="s">
        <v>34</v>
      </c>
      <c r="T53" s="13" t="s">
        <v>49</v>
      </c>
      <c r="U53" s="13" t="s">
        <v>362</v>
      </c>
      <c r="V53" s="13" t="s">
        <v>38</v>
      </c>
      <c r="W53" s="13" t="s">
        <v>43</v>
      </c>
      <c r="X53" s="13">
        <v>0.5</v>
      </c>
      <c r="Y53" s="13">
        <v>1</v>
      </c>
      <c r="Z53" s="13" t="s">
        <v>339</v>
      </c>
      <c r="AA53" s="13">
        <v>0.31900000000000001</v>
      </c>
      <c r="AB53" s="13" t="s">
        <v>34</v>
      </c>
      <c r="AC53" s="13" t="s">
        <v>397</v>
      </c>
      <c r="AD53" s="13" t="s">
        <v>277</v>
      </c>
      <c r="AE53" s="13">
        <v>0.86780000000000002</v>
      </c>
      <c r="AF53" s="94" t="s">
        <v>395</v>
      </c>
      <c r="AG53" s="13">
        <v>2024</v>
      </c>
      <c r="AH53" s="94" t="s">
        <v>396</v>
      </c>
      <c r="AI53" s="2">
        <v>50</v>
      </c>
      <c r="AJ53" s="2">
        <v>2</v>
      </c>
      <c r="AK53" s="2" t="s">
        <v>34</v>
      </c>
      <c r="AL53" s="2" t="str">
        <f t="shared" si="4"/>
        <v>Cui et al. (2024)</v>
      </c>
    </row>
    <row r="54" spans="1:38" x14ac:dyDescent="0.3">
      <c r="A54" s="11">
        <v>9.8789850357839892</v>
      </c>
      <c r="B54" s="11">
        <v>305.08474576271101</v>
      </c>
      <c r="C54" s="10" t="s">
        <v>34</v>
      </c>
      <c r="D54" s="10" t="s">
        <v>394</v>
      </c>
      <c r="E54" s="10" t="s">
        <v>387</v>
      </c>
      <c r="F54" s="10" t="s">
        <v>34</v>
      </c>
      <c r="G54" s="10" t="s">
        <v>34</v>
      </c>
      <c r="H54" s="13" t="s">
        <v>34</v>
      </c>
      <c r="I54" s="13" t="s">
        <v>34</v>
      </c>
      <c r="J54" s="13" t="s">
        <v>34</v>
      </c>
      <c r="K54" s="13" t="s">
        <v>34</v>
      </c>
      <c r="L54" s="13">
        <v>0</v>
      </c>
      <c r="M54" s="13">
        <v>34.1</v>
      </c>
      <c r="N54" s="13">
        <v>1400.49</v>
      </c>
      <c r="O54" s="13">
        <v>1.143</v>
      </c>
      <c r="P54" s="13">
        <v>0.84099999999999997</v>
      </c>
      <c r="Q54" s="13">
        <v>36.4</v>
      </c>
      <c r="R54" s="13">
        <v>2.8570000000000002</v>
      </c>
      <c r="S54" s="13" t="s">
        <v>34</v>
      </c>
      <c r="T54" s="13" t="s">
        <v>49</v>
      </c>
      <c r="U54" s="13" t="s">
        <v>362</v>
      </c>
      <c r="V54" s="13" t="s">
        <v>38</v>
      </c>
      <c r="W54" s="13" t="s">
        <v>43</v>
      </c>
      <c r="X54" s="13">
        <v>0.5</v>
      </c>
      <c r="Y54" s="13">
        <v>1</v>
      </c>
      <c r="Z54" s="13" t="s">
        <v>339</v>
      </c>
      <c r="AA54" s="13">
        <v>0.31900000000000001</v>
      </c>
      <c r="AB54" s="13" t="s">
        <v>34</v>
      </c>
      <c r="AC54" s="13" t="s">
        <v>397</v>
      </c>
      <c r="AD54" s="13" t="s">
        <v>277</v>
      </c>
      <c r="AE54" s="13">
        <v>0.86780000000000002</v>
      </c>
      <c r="AF54" s="94" t="s">
        <v>395</v>
      </c>
      <c r="AG54" s="13">
        <v>2024</v>
      </c>
      <c r="AH54" s="94" t="s">
        <v>396</v>
      </c>
      <c r="AI54" s="2">
        <v>50</v>
      </c>
      <c r="AJ54" s="2">
        <v>2</v>
      </c>
      <c r="AK54" s="2" t="s">
        <v>34</v>
      </c>
      <c r="AL54" s="2" t="str">
        <f t="shared" si="4"/>
        <v>Cui et al. (2024)</v>
      </c>
    </row>
    <row r="55" spans="1:38" x14ac:dyDescent="0.3">
      <c r="A55" s="11">
        <v>10.1808718282368</v>
      </c>
      <c r="B55" s="11">
        <v>322.84100080710198</v>
      </c>
      <c r="C55" s="10" t="s">
        <v>34</v>
      </c>
      <c r="D55" s="10" t="s">
        <v>394</v>
      </c>
      <c r="E55" s="10" t="s">
        <v>387</v>
      </c>
      <c r="F55" s="10" t="s">
        <v>34</v>
      </c>
      <c r="G55" s="10" t="s">
        <v>34</v>
      </c>
      <c r="H55" s="13" t="s">
        <v>34</v>
      </c>
      <c r="I55" s="13" t="s">
        <v>34</v>
      </c>
      <c r="J55" s="13" t="s">
        <v>34</v>
      </c>
      <c r="K55" s="13" t="s">
        <v>34</v>
      </c>
      <c r="L55" s="13">
        <v>0</v>
      </c>
      <c r="M55" s="13">
        <v>34.1</v>
      </c>
      <c r="N55" s="13">
        <v>1400.49</v>
      </c>
      <c r="O55" s="13">
        <v>1.143</v>
      </c>
      <c r="P55" s="13">
        <v>0.84099999999999997</v>
      </c>
      <c r="Q55" s="13">
        <v>36.4</v>
      </c>
      <c r="R55" s="13">
        <v>2.8570000000000002</v>
      </c>
      <c r="S55" s="13" t="s">
        <v>34</v>
      </c>
      <c r="T55" s="13" t="s">
        <v>49</v>
      </c>
      <c r="U55" s="13" t="s">
        <v>362</v>
      </c>
      <c r="V55" s="13" t="s">
        <v>38</v>
      </c>
      <c r="W55" s="13" t="s">
        <v>43</v>
      </c>
      <c r="X55" s="13">
        <v>0.5</v>
      </c>
      <c r="Y55" s="13">
        <v>1</v>
      </c>
      <c r="Z55" s="13" t="s">
        <v>339</v>
      </c>
      <c r="AA55" s="13">
        <v>0.31900000000000001</v>
      </c>
      <c r="AB55" s="13" t="s">
        <v>34</v>
      </c>
      <c r="AC55" s="13" t="s">
        <v>397</v>
      </c>
      <c r="AD55" s="13" t="s">
        <v>277</v>
      </c>
      <c r="AE55" s="13">
        <v>0.86780000000000002</v>
      </c>
      <c r="AF55" s="94" t="s">
        <v>395</v>
      </c>
      <c r="AG55" s="13">
        <v>2024</v>
      </c>
      <c r="AH55" s="94" t="s">
        <v>396</v>
      </c>
      <c r="AI55" s="2">
        <v>50</v>
      </c>
      <c r="AJ55" s="2">
        <v>2</v>
      </c>
      <c r="AK55" s="2" t="s">
        <v>34</v>
      </c>
      <c r="AL55" s="2" t="str">
        <f t="shared" si="4"/>
        <v>Cui et al. (2024)</v>
      </c>
    </row>
    <row r="56" spans="1:38" x14ac:dyDescent="0.3">
      <c r="A56" s="11">
        <v>9.9726740403383207</v>
      </c>
      <c r="B56" s="11">
        <v>393.05891848264702</v>
      </c>
      <c r="C56" s="10" t="s">
        <v>34</v>
      </c>
      <c r="D56" s="10" t="s">
        <v>394</v>
      </c>
      <c r="E56" s="10" t="s">
        <v>387</v>
      </c>
      <c r="F56" s="10" t="s">
        <v>34</v>
      </c>
      <c r="G56" s="10" t="s">
        <v>34</v>
      </c>
      <c r="H56" s="13" t="s">
        <v>34</v>
      </c>
      <c r="I56" s="13" t="s">
        <v>34</v>
      </c>
      <c r="J56" s="13" t="s">
        <v>34</v>
      </c>
      <c r="K56" s="13" t="s">
        <v>34</v>
      </c>
      <c r="L56" s="13">
        <v>0</v>
      </c>
      <c r="M56" s="13">
        <v>34.1</v>
      </c>
      <c r="N56" s="13">
        <v>1400.49</v>
      </c>
      <c r="O56" s="13">
        <v>1.143</v>
      </c>
      <c r="P56" s="13">
        <v>0.84099999999999997</v>
      </c>
      <c r="Q56" s="13">
        <v>36.4</v>
      </c>
      <c r="R56" s="13">
        <v>2.8570000000000002</v>
      </c>
      <c r="S56" s="13" t="s">
        <v>34</v>
      </c>
      <c r="T56" s="13" t="s">
        <v>49</v>
      </c>
      <c r="U56" s="13" t="s">
        <v>362</v>
      </c>
      <c r="V56" s="13" t="s">
        <v>38</v>
      </c>
      <c r="W56" s="13" t="s">
        <v>43</v>
      </c>
      <c r="X56" s="10">
        <v>0.5</v>
      </c>
      <c r="Y56" s="13">
        <v>1</v>
      </c>
      <c r="Z56" s="13" t="s">
        <v>339</v>
      </c>
      <c r="AA56" s="13">
        <v>0.31900000000000001</v>
      </c>
      <c r="AB56" s="13" t="s">
        <v>34</v>
      </c>
      <c r="AC56" s="13" t="s">
        <v>397</v>
      </c>
      <c r="AD56" s="13" t="s">
        <v>277</v>
      </c>
      <c r="AE56" s="13">
        <v>0.86780000000000002</v>
      </c>
      <c r="AF56" s="94" t="s">
        <v>395</v>
      </c>
      <c r="AG56" s="13">
        <v>2024</v>
      </c>
      <c r="AH56" s="94" t="s">
        <v>396</v>
      </c>
      <c r="AI56" s="2">
        <v>50</v>
      </c>
      <c r="AJ56" s="2">
        <v>2</v>
      </c>
      <c r="AK56" s="2" t="s">
        <v>34</v>
      </c>
      <c r="AL56" s="2" t="str">
        <f t="shared" si="4"/>
        <v>Cui et al. (2024)</v>
      </c>
    </row>
    <row r="57" spans="1:38" x14ac:dyDescent="0.3">
      <c r="A57" s="11">
        <v>11.9713728041639</v>
      </c>
      <c r="B57" s="11">
        <v>516.54560129136405</v>
      </c>
      <c r="C57" s="10" t="s">
        <v>34</v>
      </c>
      <c r="D57" s="10" t="s">
        <v>394</v>
      </c>
      <c r="E57" s="10" t="s">
        <v>387</v>
      </c>
      <c r="F57" s="10" t="s">
        <v>34</v>
      </c>
      <c r="G57" s="10" t="s">
        <v>34</v>
      </c>
      <c r="H57" s="13" t="s">
        <v>34</v>
      </c>
      <c r="I57" s="13" t="s">
        <v>34</v>
      </c>
      <c r="J57" s="13" t="s">
        <v>34</v>
      </c>
      <c r="K57" s="13" t="s">
        <v>34</v>
      </c>
      <c r="L57" s="13">
        <v>0</v>
      </c>
      <c r="M57" s="13">
        <v>34.1</v>
      </c>
      <c r="N57" s="13">
        <v>1400.49</v>
      </c>
      <c r="O57" s="13">
        <v>1.143</v>
      </c>
      <c r="P57" s="13">
        <v>0.84099999999999997</v>
      </c>
      <c r="Q57" s="13">
        <v>36.4</v>
      </c>
      <c r="R57" s="13">
        <v>2.8570000000000002</v>
      </c>
      <c r="S57" s="13" t="s">
        <v>34</v>
      </c>
      <c r="T57" s="13" t="s">
        <v>49</v>
      </c>
      <c r="U57" s="13" t="s">
        <v>362</v>
      </c>
      <c r="V57" s="13" t="s">
        <v>38</v>
      </c>
      <c r="W57" s="13" t="s">
        <v>43</v>
      </c>
      <c r="X57" s="10">
        <v>0.5</v>
      </c>
      <c r="Y57" s="13">
        <v>1</v>
      </c>
      <c r="Z57" s="13" t="s">
        <v>339</v>
      </c>
      <c r="AA57" s="13">
        <v>0.31900000000000001</v>
      </c>
      <c r="AB57" s="13" t="s">
        <v>34</v>
      </c>
      <c r="AC57" s="13" t="s">
        <v>397</v>
      </c>
      <c r="AD57" s="13" t="s">
        <v>277</v>
      </c>
      <c r="AE57" s="13">
        <v>0.86780000000000002</v>
      </c>
      <c r="AF57" s="94" t="s">
        <v>395</v>
      </c>
      <c r="AG57" s="13">
        <v>2024</v>
      </c>
      <c r="AH57" s="94" t="s">
        <v>396</v>
      </c>
      <c r="AI57" s="2">
        <v>50</v>
      </c>
      <c r="AJ57" s="2">
        <v>2</v>
      </c>
      <c r="AK57" s="2" t="s">
        <v>34</v>
      </c>
      <c r="AL57" s="2" t="str">
        <f t="shared" si="4"/>
        <v>Cui et al. (2024)</v>
      </c>
    </row>
    <row r="58" spans="1:38" x14ac:dyDescent="0.3">
      <c r="A58" s="11">
        <v>11.638256343526299</v>
      </c>
      <c r="B58" s="11">
        <v>480.22598870056498</v>
      </c>
      <c r="C58" s="10" t="s">
        <v>34</v>
      </c>
      <c r="D58" s="10" t="s">
        <v>394</v>
      </c>
      <c r="E58" s="10" t="s">
        <v>387</v>
      </c>
      <c r="F58" s="10" t="s">
        <v>34</v>
      </c>
      <c r="G58" s="10" t="s">
        <v>34</v>
      </c>
      <c r="H58" s="13" t="s">
        <v>34</v>
      </c>
      <c r="I58" s="13" t="s">
        <v>34</v>
      </c>
      <c r="J58" s="13" t="s">
        <v>34</v>
      </c>
      <c r="K58" s="13" t="s">
        <v>34</v>
      </c>
      <c r="L58" s="13">
        <v>0</v>
      </c>
      <c r="M58" s="13">
        <v>34.1</v>
      </c>
      <c r="N58" s="13">
        <v>1400.49</v>
      </c>
      <c r="O58" s="13">
        <v>1.143</v>
      </c>
      <c r="P58" s="13">
        <v>0.84099999999999997</v>
      </c>
      <c r="Q58" s="13">
        <v>36.4</v>
      </c>
      <c r="R58" s="13">
        <v>2.8570000000000002</v>
      </c>
      <c r="S58" s="13" t="s">
        <v>34</v>
      </c>
      <c r="T58" s="13" t="s">
        <v>49</v>
      </c>
      <c r="U58" s="13" t="s">
        <v>362</v>
      </c>
      <c r="V58" s="13" t="s">
        <v>38</v>
      </c>
      <c r="W58" s="13" t="s">
        <v>43</v>
      </c>
      <c r="X58" s="10">
        <v>0.5</v>
      </c>
      <c r="Y58" s="13">
        <v>1</v>
      </c>
      <c r="Z58" s="13" t="s">
        <v>339</v>
      </c>
      <c r="AA58" s="13">
        <v>0.31900000000000001</v>
      </c>
      <c r="AB58" s="13" t="s">
        <v>34</v>
      </c>
      <c r="AC58" s="13" t="s">
        <v>397</v>
      </c>
      <c r="AD58" s="13" t="s">
        <v>277</v>
      </c>
      <c r="AE58" s="13">
        <v>0.86780000000000002</v>
      </c>
      <c r="AF58" s="94" t="s">
        <v>395</v>
      </c>
      <c r="AG58" s="13">
        <v>2024</v>
      </c>
      <c r="AH58" s="94" t="s">
        <v>396</v>
      </c>
      <c r="AI58" s="2">
        <v>50</v>
      </c>
      <c r="AJ58" s="2">
        <v>2</v>
      </c>
      <c r="AK58" s="2" t="s">
        <v>34</v>
      </c>
      <c r="AL58" s="2" t="str">
        <f t="shared" si="4"/>
        <v>Cui et al. (2024)</v>
      </c>
    </row>
    <row r="59" spans="1:38" x14ac:dyDescent="0.3">
      <c r="A59" s="11">
        <v>13.220559531554899</v>
      </c>
      <c r="B59" s="11">
        <v>519.77401129943496</v>
      </c>
      <c r="C59" s="10" t="s">
        <v>34</v>
      </c>
      <c r="D59" s="10" t="s">
        <v>394</v>
      </c>
      <c r="E59" s="10" t="s">
        <v>387</v>
      </c>
      <c r="F59" s="10" t="s">
        <v>34</v>
      </c>
      <c r="G59" s="10" t="s">
        <v>34</v>
      </c>
      <c r="H59" s="13" t="s">
        <v>34</v>
      </c>
      <c r="I59" s="13" t="s">
        <v>34</v>
      </c>
      <c r="J59" s="13" t="s">
        <v>34</v>
      </c>
      <c r="K59" s="13" t="s">
        <v>34</v>
      </c>
      <c r="L59" s="13">
        <v>0</v>
      </c>
      <c r="M59" s="13">
        <v>34.1</v>
      </c>
      <c r="N59" s="13">
        <v>1400.49</v>
      </c>
      <c r="O59" s="13">
        <v>1.143</v>
      </c>
      <c r="P59" s="13">
        <v>0.84099999999999997</v>
      </c>
      <c r="Q59" s="13">
        <v>36.4</v>
      </c>
      <c r="R59" s="13">
        <v>2.8570000000000002</v>
      </c>
      <c r="S59" s="13" t="s">
        <v>34</v>
      </c>
      <c r="T59" s="13" t="s">
        <v>49</v>
      </c>
      <c r="U59" s="13" t="s">
        <v>362</v>
      </c>
      <c r="V59" s="13" t="s">
        <v>38</v>
      </c>
      <c r="W59" s="13" t="s">
        <v>43</v>
      </c>
      <c r="X59" s="10">
        <v>0.5</v>
      </c>
      <c r="Y59" s="13">
        <v>1</v>
      </c>
      <c r="Z59" s="13" t="s">
        <v>339</v>
      </c>
      <c r="AA59" s="13">
        <v>0.31900000000000001</v>
      </c>
      <c r="AB59" s="13" t="s">
        <v>34</v>
      </c>
      <c r="AC59" s="13" t="s">
        <v>397</v>
      </c>
      <c r="AD59" s="13" t="s">
        <v>277</v>
      </c>
      <c r="AE59" s="13">
        <v>0.86780000000000002</v>
      </c>
      <c r="AF59" s="94" t="s">
        <v>395</v>
      </c>
      <c r="AG59" s="13">
        <v>2024</v>
      </c>
      <c r="AH59" s="94" t="s">
        <v>396</v>
      </c>
      <c r="AI59" s="2">
        <v>50</v>
      </c>
      <c r="AJ59" s="2">
        <v>2</v>
      </c>
      <c r="AK59" s="2" t="s">
        <v>34</v>
      </c>
      <c r="AL59" s="2" t="str">
        <f t="shared" si="4"/>
        <v>Cui et al. (2024)</v>
      </c>
    </row>
    <row r="60" spans="1:38" x14ac:dyDescent="0.3">
      <c r="A60" s="11">
        <v>12.6271958360442</v>
      </c>
      <c r="B60" s="11">
        <v>429.37853107344603</v>
      </c>
      <c r="C60" s="10" t="s">
        <v>34</v>
      </c>
      <c r="D60" s="10" t="s">
        <v>394</v>
      </c>
      <c r="E60" s="10" t="s">
        <v>387</v>
      </c>
      <c r="F60" s="10" t="s">
        <v>34</v>
      </c>
      <c r="G60" s="10" t="s">
        <v>34</v>
      </c>
      <c r="H60" s="13" t="s">
        <v>34</v>
      </c>
      <c r="I60" s="13" t="s">
        <v>34</v>
      </c>
      <c r="J60" s="13" t="s">
        <v>34</v>
      </c>
      <c r="K60" s="13" t="s">
        <v>34</v>
      </c>
      <c r="L60" s="13">
        <v>0</v>
      </c>
      <c r="M60" s="13">
        <v>34.1</v>
      </c>
      <c r="N60" s="13">
        <v>1400.49</v>
      </c>
      <c r="O60" s="13">
        <v>1.143</v>
      </c>
      <c r="P60" s="13">
        <v>0.84099999999999997</v>
      </c>
      <c r="Q60" s="13">
        <v>36.4</v>
      </c>
      <c r="R60" s="13">
        <v>2.8570000000000002</v>
      </c>
      <c r="S60" s="13" t="s">
        <v>34</v>
      </c>
      <c r="T60" s="13" t="s">
        <v>49</v>
      </c>
      <c r="U60" s="13" t="s">
        <v>362</v>
      </c>
      <c r="V60" s="13" t="s">
        <v>38</v>
      </c>
      <c r="W60" s="13" t="s">
        <v>43</v>
      </c>
      <c r="X60" s="10">
        <v>0.5</v>
      </c>
      <c r="Y60" s="13">
        <v>1</v>
      </c>
      <c r="Z60" s="13" t="s">
        <v>339</v>
      </c>
      <c r="AA60" s="13">
        <v>0.31900000000000001</v>
      </c>
      <c r="AB60" s="13" t="s">
        <v>34</v>
      </c>
      <c r="AC60" s="13" t="s">
        <v>397</v>
      </c>
      <c r="AD60" s="13" t="s">
        <v>277</v>
      </c>
      <c r="AE60" s="13">
        <v>0.86780000000000002</v>
      </c>
      <c r="AF60" s="94" t="s">
        <v>395</v>
      </c>
      <c r="AG60" s="13">
        <v>2024</v>
      </c>
      <c r="AH60" s="94" t="s">
        <v>396</v>
      </c>
      <c r="AI60" s="2">
        <v>50</v>
      </c>
      <c r="AJ60" s="2">
        <v>2</v>
      </c>
      <c r="AK60" s="2" t="s">
        <v>34</v>
      </c>
      <c r="AL60" s="2" t="str">
        <f t="shared" si="4"/>
        <v>Cui et al. (2024)</v>
      </c>
    </row>
    <row r="61" spans="1:38" x14ac:dyDescent="0.3">
      <c r="A61" s="11">
        <v>12.9394925178919</v>
      </c>
      <c r="B61" s="11">
        <v>727.19935431799797</v>
      </c>
      <c r="C61" s="10" t="s">
        <v>34</v>
      </c>
      <c r="D61" s="10" t="s">
        <v>394</v>
      </c>
      <c r="E61" s="10" t="s">
        <v>387</v>
      </c>
      <c r="F61" s="10" t="s">
        <v>34</v>
      </c>
      <c r="G61" s="10" t="s">
        <v>34</v>
      </c>
      <c r="H61" s="13" t="s">
        <v>34</v>
      </c>
      <c r="I61" s="13" t="s">
        <v>34</v>
      </c>
      <c r="J61" s="13" t="s">
        <v>34</v>
      </c>
      <c r="K61" s="13" t="s">
        <v>34</v>
      </c>
      <c r="L61" s="13">
        <v>0</v>
      </c>
      <c r="M61" s="13">
        <v>34.1</v>
      </c>
      <c r="N61" s="13">
        <v>1400.49</v>
      </c>
      <c r="O61" s="13">
        <v>1.143</v>
      </c>
      <c r="P61" s="13">
        <v>0.84099999999999997</v>
      </c>
      <c r="Q61" s="13">
        <v>36.4</v>
      </c>
      <c r="R61" s="13">
        <v>2.8570000000000002</v>
      </c>
      <c r="S61" s="13" t="s">
        <v>34</v>
      </c>
      <c r="T61" s="13" t="s">
        <v>49</v>
      </c>
      <c r="U61" s="13" t="s">
        <v>362</v>
      </c>
      <c r="V61" s="13" t="s">
        <v>38</v>
      </c>
      <c r="W61" s="13" t="s">
        <v>43</v>
      </c>
      <c r="X61" s="10">
        <v>0.5</v>
      </c>
      <c r="Y61" s="13">
        <v>1</v>
      </c>
      <c r="Z61" s="13" t="s">
        <v>339</v>
      </c>
      <c r="AA61" s="13">
        <v>0.31900000000000001</v>
      </c>
      <c r="AB61" s="13" t="s">
        <v>34</v>
      </c>
      <c r="AC61" s="13" t="s">
        <v>397</v>
      </c>
      <c r="AD61" s="13" t="s">
        <v>277</v>
      </c>
      <c r="AE61" s="13">
        <v>0.86780000000000002</v>
      </c>
      <c r="AF61" s="94" t="s">
        <v>395</v>
      </c>
      <c r="AG61" s="13">
        <v>2024</v>
      </c>
      <c r="AH61" s="94" t="s">
        <v>396</v>
      </c>
      <c r="AI61" s="2">
        <v>50</v>
      </c>
      <c r="AJ61" s="2">
        <v>2</v>
      </c>
      <c r="AK61" s="2" t="s">
        <v>34</v>
      </c>
      <c r="AL61" s="2" t="str">
        <f t="shared" si="4"/>
        <v>Cui et al. (2024)</v>
      </c>
    </row>
    <row r="62" spans="1:38" x14ac:dyDescent="0.3">
      <c r="A62" s="11">
        <v>13.459986987638199</v>
      </c>
      <c r="B62" s="11">
        <v>870.05649717514098</v>
      </c>
      <c r="C62" s="10" t="s">
        <v>34</v>
      </c>
      <c r="D62" s="10" t="s">
        <v>394</v>
      </c>
      <c r="E62" s="10" t="s">
        <v>387</v>
      </c>
      <c r="F62" s="10" t="s">
        <v>34</v>
      </c>
      <c r="G62" s="10" t="s">
        <v>34</v>
      </c>
      <c r="H62" s="13" t="s">
        <v>34</v>
      </c>
      <c r="I62" s="13" t="s">
        <v>34</v>
      </c>
      <c r="J62" s="13" t="s">
        <v>34</v>
      </c>
      <c r="K62" s="13" t="s">
        <v>34</v>
      </c>
      <c r="L62" s="13">
        <v>0</v>
      </c>
      <c r="M62" s="13">
        <v>34.1</v>
      </c>
      <c r="N62" s="13">
        <v>1400.49</v>
      </c>
      <c r="O62" s="13">
        <v>1.143</v>
      </c>
      <c r="P62" s="13">
        <v>0.84099999999999997</v>
      </c>
      <c r="Q62" s="13">
        <v>36.4</v>
      </c>
      <c r="R62" s="13">
        <v>2.8570000000000002</v>
      </c>
      <c r="S62" s="13" t="s">
        <v>34</v>
      </c>
      <c r="T62" s="13" t="s">
        <v>49</v>
      </c>
      <c r="U62" s="13" t="s">
        <v>362</v>
      </c>
      <c r="V62" s="13" t="s">
        <v>38</v>
      </c>
      <c r="W62" s="13" t="s">
        <v>43</v>
      </c>
      <c r="X62" s="10">
        <v>0.5</v>
      </c>
      <c r="Y62" s="13">
        <v>1</v>
      </c>
      <c r="Z62" s="13" t="s">
        <v>339</v>
      </c>
      <c r="AA62" s="13">
        <v>0.31900000000000001</v>
      </c>
      <c r="AB62" s="13" t="s">
        <v>34</v>
      </c>
      <c r="AC62" s="13" t="s">
        <v>397</v>
      </c>
      <c r="AD62" s="13" t="s">
        <v>277</v>
      </c>
      <c r="AE62" s="13">
        <v>0.86780000000000002</v>
      </c>
      <c r="AF62" s="94" t="s">
        <v>395</v>
      </c>
      <c r="AG62" s="13">
        <v>2024</v>
      </c>
      <c r="AH62" s="94" t="s">
        <v>396</v>
      </c>
      <c r="AI62" s="2">
        <v>50</v>
      </c>
      <c r="AJ62" s="2">
        <v>2</v>
      </c>
      <c r="AK62" s="2" t="s">
        <v>34</v>
      </c>
      <c r="AL62" s="2" t="str">
        <f t="shared" si="4"/>
        <v>Cui et al. (2024)</v>
      </c>
    </row>
    <row r="63" spans="1:38" x14ac:dyDescent="0.3">
      <c r="A63" s="11">
        <v>8.0676642810670103</v>
      </c>
      <c r="B63" s="11">
        <v>154.963680387409</v>
      </c>
      <c r="C63" s="10" t="s">
        <v>34</v>
      </c>
      <c r="D63" s="10" t="s">
        <v>394</v>
      </c>
      <c r="E63" s="10" t="s">
        <v>387</v>
      </c>
      <c r="F63" s="10" t="s">
        <v>34</v>
      </c>
      <c r="G63" s="10" t="s">
        <v>34</v>
      </c>
      <c r="H63" s="13" t="s">
        <v>34</v>
      </c>
      <c r="I63" s="13" t="s">
        <v>34</v>
      </c>
      <c r="J63" s="13" t="s">
        <v>34</v>
      </c>
      <c r="K63" s="13" t="s">
        <v>34</v>
      </c>
      <c r="L63" s="13">
        <v>0</v>
      </c>
      <c r="M63" s="13">
        <v>34.1</v>
      </c>
      <c r="N63" s="13">
        <v>1400.49</v>
      </c>
      <c r="O63" s="13">
        <v>1.143</v>
      </c>
      <c r="P63" s="13">
        <v>0.84099999999999997</v>
      </c>
      <c r="Q63" s="13">
        <v>36.4</v>
      </c>
      <c r="R63" s="13">
        <v>2.8570000000000002</v>
      </c>
      <c r="S63" s="13" t="s">
        <v>34</v>
      </c>
      <c r="T63" s="13" t="s">
        <v>49</v>
      </c>
      <c r="U63" s="13" t="s">
        <v>362</v>
      </c>
      <c r="V63" s="13" t="s">
        <v>38</v>
      </c>
      <c r="W63" s="13" t="s">
        <v>43</v>
      </c>
      <c r="X63" s="10">
        <v>0.5</v>
      </c>
      <c r="Y63" s="13">
        <v>1</v>
      </c>
      <c r="Z63" s="13" t="s">
        <v>339</v>
      </c>
      <c r="AA63" s="13">
        <v>0.36699999999999999</v>
      </c>
      <c r="AB63" s="13" t="s">
        <v>34</v>
      </c>
      <c r="AC63" s="13" t="s">
        <v>398</v>
      </c>
      <c r="AD63" s="13" t="s">
        <v>277</v>
      </c>
      <c r="AE63" s="13">
        <v>0.86780000000000002</v>
      </c>
      <c r="AF63" s="94" t="s">
        <v>395</v>
      </c>
      <c r="AG63" s="13">
        <v>2024</v>
      </c>
      <c r="AH63" s="94" t="s">
        <v>396</v>
      </c>
      <c r="AI63" s="2">
        <v>50</v>
      </c>
      <c r="AJ63" s="2">
        <v>2</v>
      </c>
      <c r="AK63" s="2" t="s">
        <v>34</v>
      </c>
      <c r="AL63" s="2" t="str">
        <f t="shared" si="4"/>
        <v>Cui et al. (2024)</v>
      </c>
    </row>
    <row r="64" spans="1:38" x14ac:dyDescent="0.3">
      <c r="A64" s="11">
        <v>7.78659726740403</v>
      </c>
      <c r="B64" s="11">
        <v>191.28329297820801</v>
      </c>
      <c r="C64" s="10" t="s">
        <v>34</v>
      </c>
      <c r="D64" s="10" t="s">
        <v>394</v>
      </c>
      <c r="E64" s="10" t="s">
        <v>387</v>
      </c>
      <c r="F64" s="10" t="s">
        <v>34</v>
      </c>
      <c r="G64" s="10" t="s">
        <v>34</v>
      </c>
      <c r="H64" s="13" t="s">
        <v>34</v>
      </c>
      <c r="I64" s="13" t="s">
        <v>34</v>
      </c>
      <c r="J64" s="13" t="s">
        <v>34</v>
      </c>
      <c r="K64" s="13" t="s">
        <v>34</v>
      </c>
      <c r="L64" s="13">
        <v>0</v>
      </c>
      <c r="M64" s="13">
        <v>34.1</v>
      </c>
      <c r="N64" s="13">
        <v>1400.49</v>
      </c>
      <c r="O64" s="13">
        <v>1.143</v>
      </c>
      <c r="P64" s="13">
        <v>0.84099999999999997</v>
      </c>
      <c r="Q64" s="13">
        <v>36.4</v>
      </c>
      <c r="R64" s="13">
        <v>2.8570000000000002</v>
      </c>
      <c r="S64" s="13" t="s">
        <v>34</v>
      </c>
      <c r="T64" s="13" t="s">
        <v>49</v>
      </c>
      <c r="U64" s="13" t="s">
        <v>362</v>
      </c>
      <c r="V64" s="13" t="s">
        <v>38</v>
      </c>
      <c r="W64" s="13" t="s">
        <v>43</v>
      </c>
      <c r="X64" s="10">
        <v>0.5</v>
      </c>
      <c r="Y64" s="13">
        <v>1</v>
      </c>
      <c r="Z64" s="13" t="s">
        <v>339</v>
      </c>
      <c r="AA64" s="13">
        <v>0.36699999999999999</v>
      </c>
      <c r="AB64" s="13" t="s">
        <v>34</v>
      </c>
      <c r="AC64" s="13" t="s">
        <v>398</v>
      </c>
      <c r="AD64" s="13" t="s">
        <v>277</v>
      </c>
      <c r="AE64" s="13">
        <v>0.86780000000000002</v>
      </c>
      <c r="AF64" s="94" t="s">
        <v>395</v>
      </c>
      <c r="AG64" s="13">
        <v>2024</v>
      </c>
      <c r="AH64" s="94" t="s">
        <v>396</v>
      </c>
      <c r="AI64" s="2">
        <v>50</v>
      </c>
      <c r="AJ64" s="2">
        <v>2</v>
      </c>
      <c r="AK64" s="2" t="s">
        <v>34</v>
      </c>
      <c r="AL64" s="2" t="str">
        <f t="shared" si="4"/>
        <v>Cui et al. (2024)</v>
      </c>
    </row>
    <row r="65" spans="1:38" x14ac:dyDescent="0.3">
      <c r="A65" s="11">
        <v>7.8074170461938799</v>
      </c>
      <c r="B65" s="11">
        <v>247.780468119451</v>
      </c>
      <c r="C65" s="10" t="s">
        <v>34</v>
      </c>
      <c r="D65" s="10" t="s">
        <v>394</v>
      </c>
      <c r="E65" s="10" t="s">
        <v>387</v>
      </c>
      <c r="F65" s="10" t="s">
        <v>34</v>
      </c>
      <c r="G65" s="10" t="s">
        <v>34</v>
      </c>
      <c r="H65" s="13" t="s">
        <v>34</v>
      </c>
      <c r="I65" s="13" t="s">
        <v>34</v>
      </c>
      <c r="J65" s="13" t="s">
        <v>34</v>
      </c>
      <c r="K65" s="13" t="s">
        <v>34</v>
      </c>
      <c r="L65" s="13">
        <v>0</v>
      </c>
      <c r="M65" s="13">
        <v>34.1</v>
      </c>
      <c r="N65" s="13">
        <v>1400.49</v>
      </c>
      <c r="O65" s="13">
        <v>1.143</v>
      </c>
      <c r="P65" s="13">
        <v>0.84099999999999997</v>
      </c>
      <c r="Q65" s="13">
        <v>36.4</v>
      </c>
      <c r="R65" s="13">
        <v>2.8570000000000002</v>
      </c>
      <c r="S65" s="13" t="s">
        <v>34</v>
      </c>
      <c r="T65" s="13" t="s">
        <v>49</v>
      </c>
      <c r="U65" s="13" t="s">
        <v>362</v>
      </c>
      <c r="V65" s="13" t="s">
        <v>38</v>
      </c>
      <c r="W65" s="13" t="s">
        <v>43</v>
      </c>
      <c r="X65" s="10">
        <v>0.5</v>
      </c>
      <c r="Y65" s="13">
        <v>1</v>
      </c>
      <c r="Z65" s="13" t="s">
        <v>339</v>
      </c>
      <c r="AA65" s="13">
        <v>0.36699999999999999</v>
      </c>
      <c r="AB65" s="13" t="s">
        <v>34</v>
      </c>
      <c r="AC65" s="13" t="s">
        <v>398</v>
      </c>
      <c r="AD65" s="13" t="s">
        <v>277</v>
      </c>
      <c r="AE65" s="13">
        <v>0.86780000000000002</v>
      </c>
      <c r="AF65" s="94" t="s">
        <v>395</v>
      </c>
      <c r="AG65" s="13">
        <v>2024</v>
      </c>
      <c r="AH65" s="94" t="s">
        <v>396</v>
      </c>
      <c r="AI65" s="2">
        <v>50</v>
      </c>
      <c r="AJ65" s="2">
        <v>2</v>
      </c>
      <c r="AK65" s="2" t="s">
        <v>34</v>
      </c>
      <c r="AL65" s="2" t="str">
        <f t="shared" si="4"/>
        <v>Cui et al. (2024)</v>
      </c>
    </row>
    <row r="66" spans="1:38" x14ac:dyDescent="0.3">
      <c r="A66" s="11">
        <v>10.1912817176317</v>
      </c>
      <c r="B66" s="11">
        <v>333.33333333333297</v>
      </c>
      <c r="C66" s="10" t="s">
        <v>34</v>
      </c>
      <c r="D66" s="10" t="s">
        <v>394</v>
      </c>
      <c r="E66" s="10" t="s">
        <v>387</v>
      </c>
      <c r="F66" s="10" t="s">
        <v>34</v>
      </c>
      <c r="G66" s="10" t="s">
        <v>34</v>
      </c>
      <c r="H66" s="13" t="s">
        <v>34</v>
      </c>
      <c r="I66" s="13" t="s">
        <v>34</v>
      </c>
      <c r="J66" s="13" t="s">
        <v>34</v>
      </c>
      <c r="K66" s="13" t="s">
        <v>34</v>
      </c>
      <c r="L66" s="13">
        <v>0</v>
      </c>
      <c r="M66" s="13">
        <v>34.1</v>
      </c>
      <c r="N66" s="13">
        <v>1400.49</v>
      </c>
      <c r="O66" s="13">
        <v>1.143</v>
      </c>
      <c r="P66" s="13">
        <v>0.84099999999999997</v>
      </c>
      <c r="Q66" s="13">
        <v>36.4</v>
      </c>
      <c r="R66" s="13">
        <v>2.8570000000000002</v>
      </c>
      <c r="S66" s="13" t="s">
        <v>34</v>
      </c>
      <c r="T66" s="13" t="s">
        <v>49</v>
      </c>
      <c r="U66" s="13" t="s">
        <v>362</v>
      </c>
      <c r="V66" s="13" t="s">
        <v>38</v>
      </c>
      <c r="W66" s="13" t="s">
        <v>43</v>
      </c>
      <c r="X66" s="10">
        <v>0.5</v>
      </c>
      <c r="Y66" s="13">
        <v>1</v>
      </c>
      <c r="Z66" s="13" t="s">
        <v>339</v>
      </c>
      <c r="AA66" s="13">
        <v>0.36699999999999999</v>
      </c>
      <c r="AB66" s="13" t="s">
        <v>34</v>
      </c>
      <c r="AC66" s="13" t="s">
        <v>398</v>
      </c>
      <c r="AD66" s="13" t="s">
        <v>277</v>
      </c>
      <c r="AE66" s="13">
        <v>0.86780000000000002</v>
      </c>
      <c r="AF66" s="94" t="s">
        <v>395</v>
      </c>
      <c r="AG66" s="13">
        <v>2024</v>
      </c>
      <c r="AH66" s="94" t="s">
        <v>396</v>
      </c>
      <c r="AI66" s="2">
        <v>50</v>
      </c>
      <c r="AJ66" s="2">
        <v>2</v>
      </c>
      <c r="AK66" s="2" t="s">
        <v>34</v>
      </c>
      <c r="AL66" s="2" t="str">
        <f t="shared" ref="AL66:AL82" si="5">CONCATENATE(AF66, " et al. (",AG66,")")</f>
        <v>Cui et al. (2024)</v>
      </c>
    </row>
    <row r="67" spans="1:38" x14ac:dyDescent="0.3">
      <c r="A67" s="11">
        <v>9.9518542615484709</v>
      </c>
      <c r="B67" s="11">
        <v>364.81033091202499</v>
      </c>
      <c r="C67" s="10" t="s">
        <v>34</v>
      </c>
      <c r="D67" s="10" t="s">
        <v>394</v>
      </c>
      <c r="E67" s="10" t="s">
        <v>387</v>
      </c>
      <c r="F67" s="10" t="s">
        <v>34</v>
      </c>
      <c r="G67" s="10" t="s">
        <v>34</v>
      </c>
      <c r="H67" s="13" t="s">
        <v>34</v>
      </c>
      <c r="I67" s="13" t="s">
        <v>34</v>
      </c>
      <c r="J67" s="13" t="s">
        <v>34</v>
      </c>
      <c r="K67" s="13" t="s">
        <v>34</v>
      </c>
      <c r="L67" s="13">
        <v>0</v>
      </c>
      <c r="M67" s="13">
        <v>34.1</v>
      </c>
      <c r="N67" s="13">
        <v>1400.49</v>
      </c>
      <c r="O67" s="13">
        <v>1.143</v>
      </c>
      <c r="P67" s="13">
        <v>0.84099999999999997</v>
      </c>
      <c r="Q67" s="13">
        <v>36.4</v>
      </c>
      <c r="R67" s="13">
        <v>2.8570000000000002</v>
      </c>
      <c r="S67" s="13" t="s">
        <v>34</v>
      </c>
      <c r="T67" s="13" t="s">
        <v>49</v>
      </c>
      <c r="U67" s="13" t="s">
        <v>362</v>
      </c>
      <c r="V67" s="13" t="s">
        <v>38</v>
      </c>
      <c r="W67" s="13" t="s">
        <v>43</v>
      </c>
      <c r="X67" s="10">
        <v>0.5</v>
      </c>
      <c r="Y67" s="13">
        <v>1</v>
      </c>
      <c r="Z67" s="13" t="s">
        <v>339</v>
      </c>
      <c r="AA67" s="13">
        <v>0.36699999999999999</v>
      </c>
      <c r="AB67" s="13" t="s">
        <v>34</v>
      </c>
      <c r="AC67" s="13" t="s">
        <v>398</v>
      </c>
      <c r="AD67" s="13" t="s">
        <v>277</v>
      </c>
      <c r="AE67" s="13">
        <v>0.86780000000000002</v>
      </c>
      <c r="AF67" s="94" t="s">
        <v>395</v>
      </c>
      <c r="AG67" s="13">
        <v>2024</v>
      </c>
      <c r="AH67" s="94" t="s">
        <v>396</v>
      </c>
      <c r="AI67" s="2">
        <v>50</v>
      </c>
      <c r="AJ67" s="2">
        <v>2</v>
      </c>
      <c r="AK67" s="2" t="s">
        <v>34</v>
      </c>
      <c r="AL67" s="2" t="str">
        <f t="shared" si="5"/>
        <v>Cui et al. (2024)</v>
      </c>
    </row>
    <row r="68" spans="1:38" x14ac:dyDescent="0.3">
      <c r="A68" s="11">
        <v>9.9934938191281706</v>
      </c>
      <c r="B68" s="11">
        <v>478.61178369652902</v>
      </c>
      <c r="C68" s="10" t="s">
        <v>34</v>
      </c>
      <c r="D68" s="10" t="s">
        <v>394</v>
      </c>
      <c r="E68" s="10" t="s">
        <v>387</v>
      </c>
      <c r="F68" s="10" t="s">
        <v>34</v>
      </c>
      <c r="G68" s="10" t="s">
        <v>34</v>
      </c>
      <c r="H68" s="13" t="s">
        <v>34</v>
      </c>
      <c r="I68" s="13" t="s">
        <v>34</v>
      </c>
      <c r="J68" s="13" t="s">
        <v>34</v>
      </c>
      <c r="K68" s="13" t="s">
        <v>34</v>
      </c>
      <c r="L68" s="13">
        <v>0</v>
      </c>
      <c r="M68" s="13">
        <v>34.1</v>
      </c>
      <c r="N68" s="13">
        <v>1400.49</v>
      </c>
      <c r="O68" s="13">
        <v>1.143</v>
      </c>
      <c r="P68" s="13">
        <v>0.84099999999999997</v>
      </c>
      <c r="Q68" s="13">
        <v>36.4</v>
      </c>
      <c r="R68" s="13">
        <v>2.8570000000000002</v>
      </c>
      <c r="S68" s="13" t="s">
        <v>34</v>
      </c>
      <c r="T68" s="13" t="s">
        <v>49</v>
      </c>
      <c r="U68" s="13" t="s">
        <v>362</v>
      </c>
      <c r="V68" s="13" t="s">
        <v>38</v>
      </c>
      <c r="W68" s="13" t="s">
        <v>43</v>
      </c>
      <c r="X68" s="10">
        <v>0.5</v>
      </c>
      <c r="Y68" s="13">
        <v>1</v>
      </c>
      <c r="Z68" s="13" t="s">
        <v>339</v>
      </c>
      <c r="AA68" s="13">
        <v>0.36699999999999999</v>
      </c>
      <c r="AB68" s="13" t="s">
        <v>34</v>
      </c>
      <c r="AC68" s="13" t="s">
        <v>398</v>
      </c>
      <c r="AD68" s="13" t="s">
        <v>277</v>
      </c>
      <c r="AE68" s="13">
        <v>0.86780000000000002</v>
      </c>
      <c r="AF68" s="94" t="s">
        <v>395</v>
      </c>
      <c r="AG68" s="13">
        <v>2024</v>
      </c>
      <c r="AH68" s="94" t="s">
        <v>396</v>
      </c>
      <c r="AI68" s="2">
        <v>50</v>
      </c>
      <c r="AJ68" s="2">
        <v>2</v>
      </c>
      <c r="AK68" s="2" t="s">
        <v>34</v>
      </c>
      <c r="AL68" s="2" t="str">
        <f t="shared" si="5"/>
        <v>Cui et al. (2024)</v>
      </c>
    </row>
    <row r="69" spans="1:38" x14ac:dyDescent="0.3">
      <c r="A69" s="11">
        <v>12.2524398178269</v>
      </c>
      <c r="B69" s="11">
        <v>660.20984665052401</v>
      </c>
      <c r="C69" s="10" t="s">
        <v>34</v>
      </c>
      <c r="D69" s="10" t="s">
        <v>394</v>
      </c>
      <c r="E69" s="10" t="s">
        <v>387</v>
      </c>
      <c r="F69" s="10" t="s">
        <v>34</v>
      </c>
      <c r="G69" s="10" t="s">
        <v>34</v>
      </c>
      <c r="H69" s="13" t="s">
        <v>34</v>
      </c>
      <c r="I69" s="13" t="s">
        <v>34</v>
      </c>
      <c r="J69" s="13" t="s">
        <v>34</v>
      </c>
      <c r="K69" s="13" t="s">
        <v>34</v>
      </c>
      <c r="L69" s="13">
        <v>0</v>
      </c>
      <c r="M69" s="13">
        <v>34.1</v>
      </c>
      <c r="N69" s="13">
        <v>1400.49</v>
      </c>
      <c r="O69" s="13">
        <v>1.143</v>
      </c>
      <c r="P69" s="13">
        <v>0.84099999999999997</v>
      </c>
      <c r="Q69" s="13">
        <v>36.4</v>
      </c>
      <c r="R69" s="13">
        <v>2.8570000000000002</v>
      </c>
      <c r="S69" s="13" t="s">
        <v>34</v>
      </c>
      <c r="T69" s="13" t="s">
        <v>49</v>
      </c>
      <c r="U69" s="13" t="s">
        <v>362</v>
      </c>
      <c r="V69" s="13" t="s">
        <v>38</v>
      </c>
      <c r="W69" s="13" t="s">
        <v>43</v>
      </c>
      <c r="X69" s="10">
        <v>0.5</v>
      </c>
      <c r="Y69" s="13">
        <v>1</v>
      </c>
      <c r="Z69" s="13" t="s">
        <v>339</v>
      </c>
      <c r="AA69" s="13">
        <v>0.36699999999999999</v>
      </c>
      <c r="AB69" s="13" t="s">
        <v>34</v>
      </c>
      <c r="AC69" s="13" t="s">
        <v>398</v>
      </c>
      <c r="AD69" s="13" t="s">
        <v>277</v>
      </c>
      <c r="AE69" s="13">
        <v>0.86780000000000002</v>
      </c>
      <c r="AF69" s="94" t="s">
        <v>395</v>
      </c>
      <c r="AG69" s="13">
        <v>2024</v>
      </c>
      <c r="AH69" s="94" t="s">
        <v>396</v>
      </c>
      <c r="AI69" s="2">
        <v>50</v>
      </c>
      <c r="AJ69" s="2">
        <v>2</v>
      </c>
      <c r="AK69" s="2" t="s">
        <v>34</v>
      </c>
      <c r="AL69" s="2" t="str">
        <f t="shared" si="5"/>
        <v>Cui et al. (2024)</v>
      </c>
    </row>
    <row r="70" spans="1:38" x14ac:dyDescent="0.3">
      <c r="A70" s="11">
        <v>12.0130123617436</v>
      </c>
      <c r="B70" s="11">
        <v>721.54963680387402</v>
      </c>
      <c r="C70" s="10" t="s">
        <v>34</v>
      </c>
      <c r="D70" s="10" t="s">
        <v>394</v>
      </c>
      <c r="E70" s="10" t="s">
        <v>387</v>
      </c>
      <c r="F70" s="10" t="s">
        <v>34</v>
      </c>
      <c r="G70" s="10" t="s">
        <v>34</v>
      </c>
      <c r="H70" s="13" t="s">
        <v>34</v>
      </c>
      <c r="I70" s="13" t="s">
        <v>34</v>
      </c>
      <c r="J70" s="13" t="s">
        <v>34</v>
      </c>
      <c r="K70" s="13" t="s">
        <v>34</v>
      </c>
      <c r="L70" s="13">
        <v>0</v>
      </c>
      <c r="M70" s="13">
        <v>34.1</v>
      </c>
      <c r="N70" s="13">
        <v>1400.49</v>
      </c>
      <c r="O70" s="13">
        <v>1.143</v>
      </c>
      <c r="P70" s="13">
        <v>0.84099999999999997</v>
      </c>
      <c r="Q70" s="13">
        <v>36.4</v>
      </c>
      <c r="R70" s="13">
        <v>2.8570000000000002</v>
      </c>
      <c r="S70" s="13" t="s">
        <v>34</v>
      </c>
      <c r="T70" s="13" t="s">
        <v>49</v>
      </c>
      <c r="U70" s="13" t="s">
        <v>362</v>
      </c>
      <c r="V70" s="13" t="s">
        <v>38</v>
      </c>
      <c r="W70" s="13" t="s">
        <v>43</v>
      </c>
      <c r="X70" s="10">
        <v>0.5</v>
      </c>
      <c r="Y70" s="13">
        <v>1</v>
      </c>
      <c r="Z70" s="13" t="s">
        <v>339</v>
      </c>
      <c r="AA70" s="13">
        <v>0.36699999999999999</v>
      </c>
      <c r="AB70" s="13" t="s">
        <v>34</v>
      </c>
      <c r="AC70" s="13" t="s">
        <v>398</v>
      </c>
      <c r="AD70" s="13" t="s">
        <v>277</v>
      </c>
      <c r="AE70" s="13">
        <v>0.86780000000000002</v>
      </c>
      <c r="AF70" s="94" t="s">
        <v>395</v>
      </c>
      <c r="AG70" s="13">
        <v>2024</v>
      </c>
      <c r="AH70" s="94" t="s">
        <v>396</v>
      </c>
      <c r="AI70" s="2">
        <v>50</v>
      </c>
      <c r="AJ70" s="2">
        <v>2</v>
      </c>
      <c r="AK70" s="2" t="s">
        <v>34</v>
      </c>
      <c r="AL70" s="2" t="str">
        <f t="shared" si="5"/>
        <v>Cui et al. (2024)</v>
      </c>
    </row>
    <row r="71" spans="1:38" x14ac:dyDescent="0.3">
      <c r="A71" s="11">
        <v>12.2940793754066</v>
      </c>
      <c r="B71" s="11">
        <v>854.72154963680396</v>
      </c>
      <c r="C71" s="10" t="s">
        <v>34</v>
      </c>
      <c r="D71" s="10" t="s">
        <v>394</v>
      </c>
      <c r="E71" s="10" t="s">
        <v>387</v>
      </c>
      <c r="F71" s="10" t="s">
        <v>34</v>
      </c>
      <c r="G71" s="10" t="s">
        <v>34</v>
      </c>
      <c r="H71" s="13" t="s">
        <v>34</v>
      </c>
      <c r="I71" s="13" t="s">
        <v>34</v>
      </c>
      <c r="J71" s="13" t="s">
        <v>34</v>
      </c>
      <c r="K71" s="13" t="s">
        <v>34</v>
      </c>
      <c r="L71" s="13">
        <v>0</v>
      </c>
      <c r="M71" s="13">
        <v>34.1</v>
      </c>
      <c r="N71" s="13">
        <v>1400.49</v>
      </c>
      <c r="O71" s="13">
        <v>1.143</v>
      </c>
      <c r="P71" s="13">
        <v>0.84099999999999997</v>
      </c>
      <c r="Q71" s="13">
        <v>36.4</v>
      </c>
      <c r="R71" s="13">
        <v>2.8570000000000002</v>
      </c>
      <c r="S71" s="13" t="s">
        <v>34</v>
      </c>
      <c r="T71" s="13" t="s">
        <v>49</v>
      </c>
      <c r="U71" s="13" t="s">
        <v>362</v>
      </c>
      <c r="V71" s="13" t="s">
        <v>38</v>
      </c>
      <c r="W71" s="13" t="s">
        <v>43</v>
      </c>
      <c r="X71" s="10">
        <v>0.5</v>
      </c>
      <c r="Y71" s="13">
        <v>1</v>
      </c>
      <c r="Z71" s="13" t="s">
        <v>339</v>
      </c>
      <c r="AA71" s="13">
        <v>0.36699999999999999</v>
      </c>
      <c r="AB71" s="13" t="s">
        <v>34</v>
      </c>
      <c r="AC71" s="13" t="s">
        <v>398</v>
      </c>
      <c r="AD71" s="13" t="s">
        <v>277</v>
      </c>
      <c r="AE71" s="13">
        <v>0.86780000000000002</v>
      </c>
      <c r="AF71" s="94" t="s">
        <v>395</v>
      </c>
      <c r="AG71" s="13">
        <v>2024</v>
      </c>
      <c r="AH71" s="94" t="s">
        <v>396</v>
      </c>
      <c r="AI71" s="2">
        <v>50</v>
      </c>
      <c r="AJ71" s="2">
        <v>2</v>
      </c>
      <c r="AK71" s="2" t="s">
        <v>34</v>
      </c>
      <c r="AL71" s="2" t="str">
        <f t="shared" si="5"/>
        <v>Cui et al. (2024)</v>
      </c>
    </row>
    <row r="72" spans="1:38" x14ac:dyDescent="0.3">
      <c r="A72" s="11">
        <v>7.8698763825634304</v>
      </c>
      <c r="B72" s="11">
        <v>129.13640032284101</v>
      </c>
      <c r="C72" s="10" t="s">
        <v>34</v>
      </c>
      <c r="D72" s="10" t="s">
        <v>394</v>
      </c>
      <c r="E72" s="10" t="s">
        <v>387</v>
      </c>
      <c r="F72" s="10" t="s">
        <v>34</v>
      </c>
      <c r="G72" s="10" t="s">
        <v>34</v>
      </c>
      <c r="H72" s="13" t="s">
        <v>34</v>
      </c>
      <c r="I72" s="13" t="s">
        <v>34</v>
      </c>
      <c r="J72" s="13" t="s">
        <v>34</v>
      </c>
      <c r="K72" s="13" t="s">
        <v>34</v>
      </c>
      <c r="L72" s="13">
        <v>0</v>
      </c>
      <c r="M72" s="13">
        <v>34.1</v>
      </c>
      <c r="N72" s="13">
        <v>1400.49</v>
      </c>
      <c r="O72" s="13">
        <v>1.143</v>
      </c>
      <c r="P72" s="13">
        <v>0.84099999999999997</v>
      </c>
      <c r="Q72" s="13">
        <v>36.4</v>
      </c>
      <c r="R72" s="13">
        <v>2.8570000000000002</v>
      </c>
      <c r="S72" s="13" t="s">
        <v>34</v>
      </c>
      <c r="T72" s="13" t="s">
        <v>49</v>
      </c>
      <c r="U72" s="13" t="s">
        <v>362</v>
      </c>
      <c r="V72" s="13" t="s">
        <v>38</v>
      </c>
      <c r="W72" s="13" t="s">
        <v>43</v>
      </c>
      <c r="X72" s="10">
        <v>0.5</v>
      </c>
      <c r="Y72" s="13">
        <v>1</v>
      </c>
      <c r="Z72" s="13" t="s">
        <v>339</v>
      </c>
      <c r="AA72" s="13">
        <v>0.38600000000000001</v>
      </c>
      <c r="AB72" s="13" t="s">
        <v>34</v>
      </c>
      <c r="AC72" s="13" t="s">
        <v>399</v>
      </c>
      <c r="AD72" s="13" t="s">
        <v>277</v>
      </c>
      <c r="AE72" s="13">
        <v>0.86780000000000002</v>
      </c>
      <c r="AF72" s="94" t="s">
        <v>395</v>
      </c>
      <c r="AG72" s="13">
        <v>2024</v>
      </c>
      <c r="AH72" s="94" t="s">
        <v>396</v>
      </c>
      <c r="AI72" s="2">
        <v>50</v>
      </c>
      <c r="AJ72" s="2">
        <v>2</v>
      </c>
      <c r="AK72" s="2" t="s">
        <v>34</v>
      </c>
      <c r="AL72" s="2" t="str">
        <f t="shared" si="5"/>
        <v>Cui et al. (2024)</v>
      </c>
    </row>
    <row r="73" spans="1:38" x14ac:dyDescent="0.3">
      <c r="A73" s="11">
        <v>7.7033181522446297</v>
      </c>
      <c r="B73" s="11">
        <v>150.92816787731999</v>
      </c>
      <c r="C73" s="10" t="s">
        <v>34</v>
      </c>
      <c r="D73" s="10" t="s">
        <v>394</v>
      </c>
      <c r="E73" s="10" t="s">
        <v>387</v>
      </c>
      <c r="F73" s="10" t="s">
        <v>34</v>
      </c>
      <c r="G73" s="10" t="s">
        <v>34</v>
      </c>
      <c r="H73" s="13" t="s">
        <v>34</v>
      </c>
      <c r="I73" s="13" t="s">
        <v>34</v>
      </c>
      <c r="J73" s="13" t="s">
        <v>34</v>
      </c>
      <c r="K73" s="13" t="s">
        <v>34</v>
      </c>
      <c r="L73" s="13">
        <v>0</v>
      </c>
      <c r="M73" s="13">
        <v>34.1</v>
      </c>
      <c r="N73" s="13">
        <v>1400.49</v>
      </c>
      <c r="O73" s="13">
        <v>1.143</v>
      </c>
      <c r="P73" s="13">
        <v>0.84099999999999997</v>
      </c>
      <c r="Q73" s="13">
        <v>36.4</v>
      </c>
      <c r="R73" s="13">
        <v>2.8570000000000002</v>
      </c>
      <c r="S73" s="13" t="s">
        <v>34</v>
      </c>
      <c r="T73" s="13" t="s">
        <v>49</v>
      </c>
      <c r="U73" s="13" t="s">
        <v>362</v>
      </c>
      <c r="V73" s="13" t="s">
        <v>38</v>
      </c>
      <c r="W73" s="13" t="s">
        <v>43</v>
      </c>
      <c r="X73" s="10">
        <v>0.5</v>
      </c>
      <c r="Y73" s="13">
        <v>1</v>
      </c>
      <c r="Z73" s="13" t="s">
        <v>339</v>
      </c>
      <c r="AA73" s="13">
        <v>0.38600000000000001</v>
      </c>
      <c r="AB73" s="13" t="s">
        <v>34</v>
      </c>
      <c r="AC73" s="13" t="s">
        <v>399</v>
      </c>
      <c r="AD73" s="13" t="s">
        <v>277</v>
      </c>
      <c r="AE73" s="13">
        <v>0.86780000000000002</v>
      </c>
      <c r="AF73" s="94" t="s">
        <v>395</v>
      </c>
      <c r="AG73" s="13">
        <v>2024</v>
      </c>
      <c r="AH73" s="94" t="s">
        <v>396</v>
      </c>
      <c r="AI73" s="2">
        <v>50</v>
      </c>
      <c r="AJ73" s="2">
        <v>2</v>
      </c>
      <c r="AK73" s="2" t="s">
        <v>34</v>
      </c>
      <c r="AL73" s="2" t="str">
        <f t="shared" si="5"/>
        <v>Cui et al. (2024)</v>
      </c>
    </row>
    <row r="74" spans="1:38" x14ac:dyDescent="0.3">
      <c r="A74" s="11">
        <v>8.16135328562134</v>
      </c>
      <c r="B74" s="11">
        <v>213.882163034705</v>
      </c>
      <c r="C74" s="10" t="s">
        <v>34</v>
      </c>
      <c r="D74" s="10" t="s">
        <v>394</v>
      </c>
      <c r="E74" s="10" t="s">
        <v>387</v>
      </c>
      <c r="F74" s="10" t="s">
        <v>34</v>
      </c>
      <c r="G74" s="10" t="s">
        <v>34</v>
      </c>
      <c r="H74" s="13" t="s">
        <v>34</v>
      </c>
      <c r="I74" s="13" t="s">
        <v>34</v>
      </c>
      <c r="J74" s="13" t="s">
        <v>34</v>
      </c>
      <c r="K74" s="13" t="s">
        <v>34</v>
      </c>
      <c r="L74" s="13">
        <v>0</v>
      </c>
      <c r="M74" s="13">
        <v>34.1</v>
      </c>
      <c r="N74" s="13">
        <v>1400.49</v>
      </c>
      <c r="O74" s="13">
        <v>1.143</v>
      </c>
      <c r="P74" s="13">
        <v>0.84099999999999997</v>
      </c>
      <c r="Q74" s="13">
        <v>36.4</v>
      </c>
      <c r="R74" s="13">
        <v>2.8570000000000002</v>
      </c>
      <c r="S74" s="13" t="s">
        <v>34</v>
      </c>
      <c r="T74" s="13" t="s">
        <v>49</v>
      </c>
      <c r="U74" s="13" t="s">
        <v>362</v>
      </c>
      <c r="V74" s="13" t="s">
        <v>38</v>
      </c>
      <c r="W74" s="13" t="s">
        <v>43</v>
      </c>
      <c r="X74" s="10">
        <v>0.5</v>
      </c>
      <c r="Y74" s="13">
        <v>1</v>
      </c>
      <c r="Z74" s="13" t="s">
        <v>339</v>
      </c>
      <c r="AA74" s="13">
        <v>0.38600000000000001</v>
      </c>
      <c r="AB74" s="13" t="s">
        <v>34</v>
      </c>
      <c r="AC74" s="13" t="s">
        <v>399</v>
      </c>
      <c r="AD74" s="13" t="s">
        <v>277</v>
      </c>
      <c r="AE74" s="13">
        <v>0.86780000000000002</v>
      </c>
      <c r="AF74" s="94" t="s">
        <v>395</v>
      </c>
      <c r="AG74" s="13">
        <v>2024</v>
      </c>
      <c r="AH74" s="94" t="s">
        <v>396</v>
      </c>
      <c r="AI74" s="2">
        <v>50</v>
      </c>
      <c r="AJ74" s="2">
        <v>2</v>
      </c>
      <c r="AK74" s="2" t="s">
        <v>34</v>
      </c>
      <c r="AL74" s="2" t="str">
        <f t="shared" si="5"/>
        <v>Cui et al. (2024)</v>
      </c>
    </row>
    <row r="75" spans="1:38" x14ac:dyDescent="0.3">
      <c r="A75" s="11">
        <v>9.7124268054651903</v>
      </c>
      <c r="B75" s="11">
        <v>309.927360774818</v>
      </c>
      <c r="C75" s="10" t="s">
        <v>34</v>
      </c>
      <c r="D75" s="10" t="s">
        <v>394</v>
      </c>
      <c r="E75" s="10" t="s">
        <v>387</v>
      </c>
      <c r="F75" s="10" t="s">
        <v>34</v>
      </c>
      <c r="G75" s="10" t="s">
        <v>34</v>
      </c>
      <c r="H75" s="13" t="s">
        <v>34</v>
      </c>
      <c r="I75" s="13" t="s">
        <v>34</v>
      </c>
      <c r="J75" s="13" t="s">
        <v>34</v>
      </c>
      <c r="K75" s="13" t="s">
        <v>34</v>
      </c>
      <c r="L75" s="13">
        <v>0</v>
      </c>
      <c r="M75" s="13">
        <v>34.1</v>
      </c>
      <c r="N75" s="13">
        <v>1400.49</v>
      </c>
      <c r="O75" s="13">
        <v>1.143</v>
      </c>
      <c r="P75" s="13">
        <v>0.84099999999999997</v>
      </c>
      <c r="Q75" s="13">
        <v>36.4</v>
      </c>
      <c r="R75" s="13">
        <v>2.8570000000000002</v>
      </c>
      <c r="S75" s="13" t="s">
        <v>34</v>
      </c>
      <c r="T75" s="13" t="s">
        <v>49</v>
      </c>
      <c r="U75" s="13" t="s">
        <v>362</v>
      </c>
      <c r="V75" s="13" t="s">
        <v>38</v>
      </c>
      <c r="W75" s="13" t="s">
        <v>43</v>
      </c>
      <c r="X75" s="10">
        <v>0.5</v>
      </c>
      <c r="Y75" s="13">
        <v>1</v>
      </c>
      <c r="Z75" s="13" t="s">
        <v>339</v>
      </c>
      <c r="AA75" s="13">
        <v>0.38600000000000001</v>
      </c>
      <c r="AB75" s="13" t="s">
        <v>34</v>
      </c>
      <c r="AC75" s="13" t="s">
        <v>399</v>
      </c>
      <c r="AD75" s="13" t="s">
        <v>277</v>
      </c>
      <c r="AE75" s="13">
        <v>0.86780000000000002</v>
      </c>
      <c r="AF75" s="94" t="s">
        <v>395</v>
      </c>
      <c r="AG75" s="13">
        <v>2024</v>
      </c>
      <c r="AH75" s="94" t="s">
        <v>396</v>
      </c>
      <c r="AI75" s="2">
        <v>50</v>
      </c>
      <c r="AJ75" s="2">
        <v>2</v>
      </c>
      <c r="AK75" s="2" t="s">
        <v>34</v>
      </c>
      <c r="AL75" s="2" t="str">
        <f t="shared" si="5"/>
        <v>Cui et al. (2024)</v>
      </c>
    </row>
    <row r="76" spans="1:38" x14ac:dyDescent="0.3">
      <c r="A76" s="11">
        <v>10.1080026024723</v>
      </c>
      <c r="B76" s="11">
        <v>318.80548829701303</v>
      </c>
      <c r="C76" s="10" t="s">
        <v>34</v>
      </c>
      <c r="D76" s="10" t="s">
        <v>394</v>
      </c>
      <c r="E76" s="10" t="s">
        <v>387</v>
      </c>
      <c r="F76" s="10" t="s">
        <v>34</v>
      </c>
      <c r="G76" s="10" t="s">
        <v>34</v>
      </c>
      <c r="H76" s="13" t="s">
        <v>34</v>
      </c>
      <c r="I76" s="13" t="s">
        <v>34</v>
      </c>
      <c r="J76" s="13" t="s">
        <v>34</v>
      </c>
      <c r="K76" s="13" t="s">
        <v>34</v>
      </c>
      <c r="L76" s="13">
        <v>0</v>
      </c>
      <c r="M76" s="13">
        <v>34.1</v>
      </c>
      <c r="N76" s="13">
        <v>1400.49</v>
      </c>
      <c r="O76" s="13">
        <v>1.143</v>
      </c>
      <c r="P76" s="13">
        <v>0.84099999999999997</v>
      </c>
      <c r="Q76" s="13">
        <v>36.4</v>
      </c>
      <c r="R76" s="13">
        <v>2.8570000000000002</v>
      </c>
      <c r="S76" s="13" t="s">
        <v>34</v>
      </c>
      <c r="T76" s="13" t="s">
        <v>49</v>
      </c>
      <c r="U76" s="13" t="s">
        <v>362</v>
      </c>
      <c r="V76" s="13" t="s">
        <v>38</v>
      </c>
      <c r="W76" s="13" t="s">
        <v>43</v>
      </c>
      <c r="X76" s="10">
        <v>0.5</v>
      </c>
      <c r="Y76" s="13">
        <v>1</v>
      </c>
      <c r="Z76" s="13" t="s">
        <v>339</v>
      </c>
      <c r="AA76" s="13">
        <v>0.38600000000000001</v>
      </c>
      <c r="AB76" s="13" t="s">
        <v>34</v>
      </c>
      <c r="AC76" s="13" t="s">
        <v>399</v>
      </c>
      <c r="AD76" s="13" t="s">
        <v>277</v>
      </c>
      <c r="AE76" s="13">
        <v>0.86780000000000002</v>
      </c>
      <c r="AF76" s="94" t="s">
        <v>395</v>
      </c>
      <c r="AG76" s="13">
        <v>2024</v>
      </c>
      <c r="AH76" s="94" t="s">
        <v>396</v>
      </c>
      <c r="AI76" s="2">
        <v>50</v>
      </c>
      <c r="AJ76" s="2">
        <v>2</v>
      </c>
      <c r="AK76" s="2" t="s">
        <v>34</v>
      </c>
      <c r="AL76" s="2" t="str">
        <f t="shared" si="5"/>
        <v>Cui et al. (2024)</v>
      </c>
    </row>
    <row r="77" spans="1:38" x14ac:dyDescent="0.3">
      <c r="A77" s="11">
        <v>11.929733246584201</v>
      </c>
      <c r="B77" s="11">
        <v>482.64729620661802</v>
      </c>
      <c r="C77" s="10" t="s">
        <v>34</v>
      </c>
      <c r="D77" s="10" t="s">
        <v>394</v>
      </c>
      <c r="E77" s="10" t="s">
        <v>387</v>
      </c>
      <c r="F77" s="10" t="s">
        <v>34</v>
      </c>
      <c r="G77" s="10" t="s">
        <v>34</v>
      </c>
      <c r="H77" s="13" t="s">
        <v>34</v>
      </c>
      <c r="I77" s="13" t="s">
        <v>34</v>
      </c>
      <c r="J77" s="13" t="s">
        <v>34</v>
      </c>
      <c r="K77" s="13" t="s">
        <v>34</v>
      </c>
      <c r="L77" s="13">
        <v>0</v>
      </c>
      <c r="M77" s="13">
        <v>34.1</v>
      </c>
      <c r="N77" s="13">
        <v>1400.49</v>
      </c>
      <c r="O77" s="13">
        <v>1.143</v>
      </c>
      <c r="P77" s="13">
        <v>0.84099999999999997</v>
      </c>
      <c r="Q77" s="13">
        <v>36.4</v>
      </c>
      <c r="R77" s="13">
        <v>2.8570000000000002</v>
      </c>
      <c r="S77" s="13" t="s">
        <v>34</v>
      </c>
      <c r="T77" s="13" t="s">
        <v>49</v>
      </c>
      <c r="U77" s="13" t="s">
        <v>362</v>
      </c>
      <c r="V77" s="13" t="s">
        <v>38</v>
      </c>
      <c r="W77" s="13" t="s">
        <v>43</v>
      </c>
      <c r="X77" s="10">
        <v>0.5</v>
      </c>
      <c r="Y77" s="13">
        <v>1</v>
      </c>
      <c r="Z77" s="13" t="s">
        <v>339</v>
      </c>
      <c r="AA77" s="13">
        <v>0.38600000000000001</v>
      </c>
      <c r="AB77" s="13" t="s">
        <v>34</v>
      </c>
      <c r="AC77" s="13" t="s">
        <v>399</v>
      </c>
      <c r="AD77" s="13" t="s">
        <v>277</v>
      </c>
      <c r="AE77" s="13">
        <v>0.86780000000000002</v>
      </c>
      <c r="AF77" s="94" t="s">
        <v>395</v>
      </c>
      <c r="AG77" s="13">
        <v>2024</v>
      </c>
      <c r="AH77" s="94" t="s">
        <v>396</v>
      </c>
      <c r="AI77" s="2">
        <v>50</v>
      </c>
      <c r="AJ77" s="2">
        <v>2</v>
      </c>
      <c r="AK77" s="2" t="s">
        <v>34</v>
      </c>
      <c r="AL77" s="2" t="str">
        <f t="shared" si="5"/>
        <v>Cui et al. (2024)</v>
      </c>
    </row>
    <row r="78" spans="1:38" x14ac:dyDescent="0.3">
      <c r="A78" s="11">
        <v>12.2836694860117</v>
      </c>
      <c r="B78" s="11">
        <v>728.00645682001596</v>
      </c>
      <c r="C78" s="10" t="s">
        <v>34</v>
      </c>
      <c r="D78" s="10" t="s">
        <v>394</v>
      </c>
      <c r="E78" s="10" t="s">
        <v>387</v>
      </c>
      <c r="F78" s="10" t="s">
        <v>34</v>
      </c>
      <c r="G78" s="10" t="s">
        <v>34</v>
      </c>
      <c r="H78" s="13" t="s">
        <v>34</v>
      </c>
      <c r="I78" s="13" t="s">
        <v>34</v>
      </c>
      <c r="J78" s="13" t="s">
        <v>34</v>
      </c>
      <c r="K78" s="13" t="s">
        <v>34</v>
      </c>
      <c r="L78" s="13">
        <v>0</v>
      </c>
      <c r="M78" s="13">
        <v>34.1</v>
      </c>
      <c r="N78" s="13">
        <v>1400.49</v>
      </c>
      <c r="O78" s="13">
        <v>1.143</v>
      </c>
      <c r="P78" s="13">
        <v>0.84099999999999997</v>
      </c>
      <c r="Q78" s="13">
        <v>36.4</v>
      </c>
      <c r="R78" s="13">
        <v>2.8570000000000002</v>
      </c>
      <c r="S78" s="13" t="s">
        <v>34</v>
      </c>
      <c r="T78" s="13" t="s">
        <v>49</v>
      </c>
      <c r="U78" s="13" t="s">
        <v>362</v>
      </c>
      <c r="V78" s="13" t="s">
        <v>38</v>
      </c>
      <c r="W78" s="13" t="s">
        <v>43</v>
      </c>
      <c r="X78" s="10">
        <v>0.5</v>
      </c>
      <c r="Y78" s="13">
        <v>1</v>
      </c>
      <c r="Z78" s="13" t="s">
        <v>339</v>
      </c>
      <c r="AA78" s="13">
        <v>0.38600000000000001</v>
      </c>
      <c r="AB78" s="13" t="s">
        <v>34</v>
      </c>
      <c r="AC78" s="13" t="s">
        <v>399</v>
      </c>
      <c r="AD78" s="13" t="s">
        <v>277</v>
      </c>
      <c r="AE78" s="13">
        <v>0.86780000000000002</v>
      </c>
      <c r="AF78" s="94" t="s">
        <v>395</v>
      </c>
      <c r="AG78" s="13">
        <v>2024</v>
      </c>
      <c r="AH78" s="94" t="s">
        <v>396</v>
      </c>
      <c r="AI78" s="2">
        <v>50</v>
      </c>
      <c r="AJ78" s="2">
        <v>2</v>
      </c>
      <c r="AK78" s="2" t="s">
        <v>34</v>
      </c>
      <c r="AL78" s="2" t="str">
        <f t="shared" si="5"/>
        <v>Cui et al. (2024)</v>
      </c>
    </row>
    <row r="79" spans="1:38" s="15" customFormat="1" ht="16.2" thickBot="1" x14ac:dyDescent="0.35">
      <c r="A79" s="17">
        <v>11.81522446324</v>
      </c>
      <c r="B79" s="17">
        <v>900.72639225181604</v>
      </c>
      <c r="C79" s="14" t="s">
        <v>34</v>
      </c>
      <c r="D79" s="14" t="s">
        <v>394</v>
      </c>
      <c r="E79" s="14" t="s">
        <v>387</v>
      </c>
      <c r="F79" s="14" t="s">
        <v>34</v>
      </c>
      <c r="G79" s="14" t="s">
        <v>34</v>
      </c>
      <c r="H79" s="18" t="s">
        <v>34</v>
      </c>
      <c r="I79" s="18" t="s">
        <v>34</v>
      </c>
      <c r="J79" s="18" t="s">
        <v>34</v>
      </c>
      <c r="K79" s="18" t="s">
        <v>34</v>
      </c>
      <c r="L79" s="18">
        <v>0</v>
      </c>
      <c r="M79" s="18">
        <v>34.1</v>
      </c>
      <c r="N79" s="18">
        <v>1400.49</v>
      </c>
      <c r="O79" s="18">
        <v>1.143</v>
      </c>
      <c r="P79" s="18">
        <v>0.84099999999999997</v>
      </c>
      <c r="Q79" s="18">
        <v>36.4</v>
      </c>
      <c r="R79" s="18">
        <v>2.8570000000000002</v>
      </c>
      <c r="S79" s="18" t="s">
        <v>34</v>
      </c>
      <c r="T79" s="18" t="s">
        <v>49</v>
      </c>
      <c r="U79" s="18" t="s">
        <v>362</v>
      </c>
      <c r="V79" s="18" t="s">
        <v>38</v>
      </c>
      <c r="W79" s="18" t="s">
        <v>43</v>
      </c>
      <c r="X79" s="14">
        <v>0.5</v>
      </c>
      <c r="Y79" s="18">
        <v>1</v>
      </c>
      <c r="Z79" s="18" t="s">
        <v>339</v>
      </c>
      <c r="AA79" s="18">
        <v>0.38600000000000001</v>
      </c>
      <c r="AB79" s="18" t="s">
        <v>34</v>
      </c>
      <c r="AC79" s="18" t="s">
        <v>399</v>
      </c>
      <c r="AD79" s="18" t="s">
        <v>277</v>
      </c>
      <c r="AE79" s="18">
        <v>0.86780000000000002</v>
      </c>
      <c r="AF79" s="62" t="s">
        <v>395</v>
      </c>
      <c r="AG79" s="18">
        <v>2024</v>
      </c>
      <c r="AH79" s="62" t="s">
        <v>396</v>
      </c>
      <c r="AI79" s="15">
        <v>50</v>
      </c>
      <c r="AJ79" s="15">
        <v>2</v>
      </c>
      <c r="AK79" s="15" t="s">
        <v>34</v>
      </c>
      <c r="AL79" s="15" t="str">
        <f t="shared" si="5"/>
        <v>Cui et al. (2024)</v>
      </c>
    </row>
    <row r="80" spans="1:38" x14ac:dyDescent="0.3">
      <c r="A80" s="12">
        <v>4.26</v>
      </c>
      <c r="B80" s="12">
        <v>679.287853857193</v>
      </c>
      <c r="C80" s="13" t="s">
        <v>255</v>
      </c>
      <c r="D80" s="13" t="s">
        <v>381</v>
      </c>
      <c r="E80" s="13" t="s">
        <v>382</v>
      </c>
      <c r="F80" s="13" t="s">
        <v>34</v>
      </c>
      <c r="G80" s="13">
        <v>0.11</v>
      </c>
      <c r="H80" s="13" t="s">
        <v>34</v>
      </c>
      <c r="I80" s="13" t="s">
        <v>34</v>
      </c>
      <c r="J80" s="13">
        <v>6</v>
      </c>
      <c r="K80" s="13">
        <v>2</v>
      </c>
      <c r="L80" s="13">
        <v>29.73</v>
      </c>
      <c r="M80" s="13" t="s">
        <v>424</v>
      </c>
      <c r="N80" s="13"/>
      <c r="O80" s="13">
        <v>0.93</v>
      </c>
      <c r="P80" s="13">
        <v>0.67</v>
      </c>
      <c r="Q80" s="13">
        <v>0</v>
      </c>
      <c r="R80" s="13">
        <v>2.68</v>
      </c>
      <c r="S80" s="13" t="s">
        <v>34</v>
      </c>
      <c r="T80" s="13" t="s">
        <v>36</v>
      </c>
      <c r="U80" s="13" t="s">
        <v>383</v>
      </c>
      <c r="V80" s="13" t="s">
        <v>38</v>
      </c>
      <c r="W80" s="13">
        <v>10</v>
      </c>
      <c r="X80" s="13">
        <v>0.35</v>
      </c>
      <c r="Y80" s="13">
        <v>1.4</v>
      </c>
      <c r="Z80" s="13" t="s">
        <v>34</v>
      </c>
      <c r="AA80" s="13" t="s">
        <v>34</v>
      </c>
      <c r="AB80" s="13" t="s">
        <v>34</v>
      </c>
      <c r="AC80" s="13" t="s">
        <v>34</v>
      </c>
      <c r="AD80" s="13" t="s">
        <v>277</v>
      </c>
      <c r="AE80" s="13">
        <v>1.6E-2</v>
      </c>
      <c r="AF80" s="95" t="s">
        <v>384</v>
      </c>
      <c r="AG80" s="13">
        <v>2025</v>
      </c>
      <c r="AH80" s="95" t="s">
        <v>385</v>
      </c>
      <c r="AI80" s="2">
        <v>76.2</v>
      </c>
      <c r="AJ80" s="2">
        <v>2</v>
      </c>
      <c r="AK80" s="2">
        <v>1</v>
      </c>
      <c r="AL80" s="2" t="str">
        <f t="shared" si="5"/>
        <v>Shivaprakash et al. (2025)</v>
      </c>
    </row>
    <row r="81" spans="1:38" x14ac:dyDescent="0.3">
      <c r="A81" s="11">
        <v>5.1999999999999966</v>
      </c>
      <c r="B81" s="11">
        <v>577.49906835680997</v>
      </c>
      <c r="C81" s="10" t="s">
        <v>255</v>
      </c>
      <c r="D81" s="10" t="s">
        <v>381</v>
      </c>
      <c r="E81" s="10" t="s">
        <v>382</v>
      </c>
      <c r="F81" s="10" t="s">
        <v>34</v>
      </c>
      <c r="G81" s="10">
        <v>0.11</v>
      </c>
      <c r="H81" s="13" t="s">
        <v>34</v>
      </c>
      <c r="I81" s="13" t="s">
        <v>34</v>
      </c>
      <c r="J81" s="13">
        <v>6</v>
      </c>
      <c r="K81" s="13">
        <v>2</v>
      </c>
      <c r="L81" s="13">
        <v>29.73</v>
      </c>
      <c r="M81" s="13" t="s">
        <v>424</v>
      </c>
      <c r="N81" s="13"/>
      <c r="O81" s="13">
        <v>0.93</v>
      </c>
      <c r="P81" s="13">
        <v>0.67</v>
      </c>
      <c r="Q81" s="13">
        <v>0</v>
      </c>
      <c r="R81" s="13">
        <v>2.68</v>
      </c>
      <c r="S81" s="13" t="s">
        <v>34</v>
      </c>
      <c r="T81" s="13" t="s">
        <v>36</v>
      </c>
      <c r="U81" s="13" t="s">
        <v>383</v>
      </c>
      <c r="V81" s="13" t="s">
        <v>38</v>
      </c>
      <c r="W81" s="13">
        <v>10</v>
      </c>
      <c r="X81" s="10">
        <v>0.35</v>
      </c>
      <c r="Y81" s="13">
        <v>1.4</v>
      </c>
      <c r="Z81" s="13" t="s">
        <v>34</v>
      </c>
      <c r="AA81" s="13" t="s">
        <v>34</v>
      </c>
      <c r="AB81" s="13" t="s">
        <v>34</v>
      </c>
      <c r="AC81" s="13" t="s">
        <v>34</v>
      </c>
      <c r="AD81" s="13" t="s">
        <v>277</v>
      </c>
      <c r="AE81" s="13">
        <v>1.6E-2</v>
      </c>
      <c r="AF81" s="94" t="s">
        <v>384</v>
      </c>
      <c r="AG81" s="13">
        <v>2025</v>
      </c>
      <c r="AH81" s="94" t="s">
        <v>385</v>
      </c>
      <c r="AI81" s="2">
        <v>76.2</v>
      </c>
      <c r="AJ81" s="2">
        <v>2</v>
      </c>
      <c r="AK81" s="2">
        <v>1</v>
      </c>
      <c r="AL81" s="2" t="str">
        <f t="shared" si="5"/>
        <v>Shivaprakash et al. (2025)</v>
      </c>
    </row>
    <row r="82" spans="1:38" x14ac:dyDescent="0.3">
      <c r="A82" s="11">
        <v>4.2851485148514801</v>
      </c>
      <c r="B82" s="11">
        <v>402.485807121101</v>
      </c>
      <c r="C82" s="10" t="s">
        <v>255</v>
      </c>
      <c r="D82" s="10" t="s">
        <v>381</v>
      </c>
      <c r="E82" s="10" t="s">
        <v>382</v>
      </c>
      <c r="F82" s="10" t="s">
        <v>34</v>
      </c>
      <c r="G82" s="10">
        <v>0.11</v>
      </c>
      <c r="H82" s="13" t="s">
        <v>34</v>
      </c>
      <c r="I82" s="13" t="s">
        <v>34</v>
      </c>
      <c r="J82" s="13">
        <v>6</v>
      </c>
      <c r="K82" s="13">
        <v>2</v>
      </c>
      <c r="L82" s="13">
        <v>29.73</v>
      </c>
      <c r="M82" s="13" t="s">
        <v>424</v>
      </c>
      <c r="N82" s="13"/>
      <c r="O82" s="13">
        <v>0.93</v>
      </c>
      <c r="P82" s="13">
        <v>0.67</v>
      </c>
      <c r="Q82" s="13">
        <v>0</v>
      </c>
      <c r="R82" s="13">
        <v>2.68</v>
      </c>
      <c r="S82" s="13" t="s">
        <v>34</v>
      </c>
      <c r="T82" s="13" t="s">
        <v>36</v>
      </c>
      <c r="U82" s="13" t="s">
        <v>383</v>
      </c>
      <c r="V82" s="13" t="s">
        <v>38</v>
      </c>
      <c r="W82" s="13">
        <v>10</v>
      </c>
      <c r="X82" s="10">
        <v>0.25</v>
      </c>
      <c r="Y82" s="13">
        <v>1</v>
      </c>
      <c r="Z82" s="13" t="s">
        <v>34</v>
      </c>
      <c r="AA82" s="13" t="s">
        <v>34</v>
      </c>
      <c r="AB82" s="13" t="s">
        <v>34</v>
      </c>
      <c r="AC82" s="13" t="s">
        <v>34</v>
      </c>
      <c r="AD82" s="13" t="s">
        <v>277</v>
      </c>
      <c r="AE82" s="13">
        <v>1.6E-2</v>
      </c>
      <c r="AF82" s="94" t="s">
        <v>384</v>
      </c>
      <c r="AG82" s="13">
        <v>2025</v>
      </c>
      <c r="AH82" s="94" t="s">
        <v>385</v>
      </c>
      <c r="AI82" s="2">
        <v>76.2</v>
      </c>
      <c r="AJ82" s="2">
        <v>2</v>
      </c>
      <c r="AK82" s="2">
        <v>1</v>
      </c>
      <c r="AL82" s="2" t="str">
        <f t="shared" si="5"/>
        <v>Shivaprakash et al. (2025)</v>
      </c>
    </row>
    <row r="83" spans="1:38" x14ac:dyDescent="0.3">
      <c r="A83" s="12"/>
      <c r="B83" s="12"/>
      <c r="C83" s="13"/>
      <c r="D83" s="13"/>
      <c r="E83" s="13"/>
      <c r="F83" s="13"/>
      <c r="G83" s="13">
        <f>MIN(G2:G82)</f>
        <v>0.11</v>
      </c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</row>
    <row r="84" spans="1:38" x14ac:dyDescent="0.3">
      <c r="G84" s="10">
        <f>MAX(G2:G82)</f>
        <v>0.7</v>
      </c>
    </row>
  </sheetData>
  <sortState xmlns:xlrd2="http://schemas.microsoft.com/office/spreadsheetml/2017/richdata2" ref="A2:AL84">
    <sortCondition ref="E2:E84"/>
  </sortState>
  <mergeCells count="1">
    <mergeCell ref="BO3:BT3"/>
  </mergeCells>
  <phoneticPr fontId="4" type="noConversion"/>
  <dataValidations count="2">
    <dataValidation type="list" allowBlank="1" showInputMessage="1" showErrorMessage="1" sqref="V2:V40" xr:uid="{E1EA8FDF-3073-42B3-8BED-95D2812EC42E}">
      <formula1>"IMMERSION,PERCOLATION,MIX-COMPACT,INJECTION"</formula1>
    </dataValidation>
    <dataValidation type="list" allowBlank="1" showInputMessage="1" showErrorMessage="1" sqref="U2:U40" xr:uid="{68AD5BD9-F946-471E-96C1-2D7D98FBABFD}">
      <formula1>"Augmented, Stimulated, Jack Beans, Soybeans, Commercial, "</formula1>
    </dataValidation>
  </dataValidation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C8AED-E800-4E72-9440-CAD4BDB0AE3B}">
  <dimension ref="A1:AV36"/>
  <sheetViews>
    <sheetView topLeftCell="AJ1" workbookViewId="0">
      <selection activeCell="AT1" sqref="AT1:AV4"/>
    </sheetView>
  </sheetViews>
  <sheetFormatPr defaultRowHeight="14.4" x14ac:dyDescent="0.3"/>
  <cols>
    <col min="2" max="2" width="12.6640625" customWidth="1"/>
    <col min="42" max="42" width="20.21875" customWidth="1"/>
    <col min="43" max="43" width="22.88671875" customWidth="1"/>
    <col min="44" max="44" width="19.109375" customWidth="1"/>
    <col min="46" max="46" width="11.5546875" customWidth="1"/>
    <col min="47" max="47" width="17.77734375" bestFit="1" customWidth="1"/>
  </cols>
  <sheetData>
    <row r="1" spans="1:48" s="1" customFormat="1" ht="78.599999999999994" thickBot="1" x14ac:dyDescent="0.35">
      <c r="A1" s="16" t="s">
        <v>0</v>
      </c>
      <c r="B1" s="16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416</v>
      </c>
      <c r="O1" s="3" t="s">
        <v>14</v>
      </c>
      <c r="P1" s="3" t="s">
        <v>15</v>
      </c>
      <c r="Q1" s="3" t="s">
        <v>44</v>
      </c>
      <c r="R1" s="3" t="s">
        <v>30</v>
      </c>
      <c r="S1" s="3" t="s">
        <v>417</v>
      </c>
      <c r="T1" s="4" t="s">
        <v>17</v>
      </c>
      <c r="U1" s="4" t="s">
        <v>18</v>
      </c>
      <c r="V1" s="4" t="s">
        <v>19</v>
      </c>
      <c r="W1" s="4" t="s">
        <v>20</v>
      </c>
      <c r="X1" s="5" t="s">
        <v>21</v>
      </c>
      <c r="Y1" s="5" t="s">
        <v>22</v>
      </c>
      <c r="Z1" s="5" t="s">
        <v>23</v>
      </c>
      <c r="AA1" s="5" t="s">
        <v>415</v>
      </c>
      <c r="AB1" s="5" t="s">
        <v>52</v>
      </c>
      <c r="AC1" s="6" t="s">
        <v>26</v>
      </c>
      <c r="AD1" s="7" t="s">
        <v>31</v>
      </c>
      <c r="AE1" s="8" t="s">
        <v>25</v>
      </c>
      <c r="AF1" s="9" t="s">
        <v>27</v>
      </c>
      <c r="AG1" s="9" t="s">
        <v>28</v>
      </c>
      <c r="AH1" s="9" t="s">
        <v>29</v>
      </c>
      <c r="AI1" s="58" t="s">
        <v>376</v>
      </c>
      <c r="AJ1" s="58" t="s">
        <v>377</v>
      </c>
      <c r="AK1" s="58" t="s">
        <v>378</v>
      </c>
      <c r="AL1" s="1" t="s">
        <v>418</v>
      </c>
      <c r="AP1" s="1" t="s">
        <v>418</v>
      </c>
      <c r="AQ1" s="2" t="s">
        <v>419</v>
      </c>
      <c r="AR1" s="2" t="s">
        <v>441</v>
      </c>
      <c r="AT1" s="73" t="s">
        <v>418</v>
      </c>
      <c r="AU1" s="10" t="s">
        <v>419</v>
      </c>
      <c r="AV1" s="10" t="s">
        <v>441</v>
      </c>
    </row>
    <row r="2" spans="1:48" s="2" customFormat="1" ht="31.8" thickBot="1" x14ac:dyDescent="0.35">
      <c r="A2" s="12">
        <v>7.8082191780821901</v>
      </c>
      <c r="B2" s="12">
        <v>10545.4545454545</v>
      </c>
      <c r="C2" s="13" t="s">
        <v>34</v>
      </c>
      <c r="D2" s="13" t="s">
        <v>174</v>
      </c>
      <c r="E2" s="13" t="s">
        <v>170</v>
      </c>
      <c r="F2" s="13">
        <v>1</v>
      </c>
      <c r="G2" s="13" t="s">
        <v>34</v>
      </c>
      <c r="H2" s="13" t="s">
        <v>34</v>
      </c>
      <c r="I2" s="13" t="s">
        <v>34</v>
      </c>
      <c r="J2" s="13" t="s">
        <v>34</v>
      </c>
      <c r="K2" s="13" t="s">
        <v>34</v>
      </c>
      <c r="L2" s="13" t="s">
        <v>34</v>
      </c>
      <c r="M2" s="13" t="s">
        <v>34</v>
      </c>
      <c r="N2" s="13" t="s">
        <v>34</v>
      </c>
      <c r="O2" s="13" t="s">
        <v>34</v>
      </c>
      <c r="P2" s="13" t="s">
        <v>34</v>
      </c>
      <c r="Q2" s="13">
        <v>0</v>
      </c>
      <c r="R2" s="13" t="s">
        <v>34</v>
      </c>
      <c r="S2" s="13" t="s">
        <v>34</v>
      </c>
      <c r="T2" s="13" t="s">
        <v>49</v>
      </c>
      <c r="U2" s="13" t="s">
        <v>50</v>
      </c>
      <c r="V2" s="13" t="s">
        <v>38</v>
      </c>
      <c r="W2" s="13" t="s">
        <v>34</v>
      </c>
      <c r="X2" s="13">
        <v>0.33</v>
      </c>
      <c r="Y2" s="13">
        <v>1</v>
      </c>
      <c r="Z2" s="13" t="s">
        <v>177</v>
      </c>
      <c r="AA2" s="13" t="s">
        <v>34</v>
      </c>
      <c r="AB2" s="13" t="s">
        <v>34</v>
      </c>
      <c r="AC2" s="13" t="s">
        <v>40</v>
      </c>
      <c r="AD2" s="13" t="s">
        <v>32</v>
      </c>
      <c r="AE2" s="13">
        <v>6.9900000000000004E-2</v>
      </c>
      <c r="AF2" s="13" t="s">
        <v>178</v>
      </c>
      <c r="AG2" s="13">
        <v>2018</v>
      </c>
      <c r="AH2" s="13" t="s">
        <v>179</v>
      </c>
      <c r="AI2" s="2">
        <v>25</v>
      </c>
      <c r="AJ2" s="2">
        <v>2</v>
      </c>
      <c r="AK2" s="2" t="s">
        <v>34</v>
      </c>
      <c r="AL2" s="2" t="s">
        <v>419</v>
      </c>
      <c r="AP2" s="3" t="s">
        <v>2</v>
      </c>
      <c r="AQ2" s="13" t="s">
        <v>34</v>
      </c>
      <c r="AR2" s="105" t="s">
        <v>33</v>
      </c>
      <c r="AT2" s="73" t="s">
        <v>4</v>
      </c>
      <c r="AU2" s="10" t="s">
        <v>170</v>
      </c>
      <c r="AV2" s="10" t="s">
        <v>387</v>
      </c>
    </row>
    <row r="3" spans="1:48" s="2" customFormat="1" ht="31.8" thickBot="1" x14ac:dyDescent="0.35">
      <c r="A3" s="11">
        <v>11.0326659641728</v>
      </c>
      <c r="B3" s="11">
        <v>10969.696969696899</v>
      </c>
      <c r="C3" s="13" t="s">
        <v>34</v>
      </c>
      <c r="D3" s="10" t="s">
        <v>174</v>
      </c>
      <c r="E3" s="13" t="s">
        <v>170</v>
      </c>
      <c r="F3" s="13">
        <v>1</v>
      </c>
      <c r="G3" s="13" t="s">
        <v>34</v>
      </c>
      <c r="H3" s="13" t="s">
        <v>34</v>
      </c>
      <c r="I3" s="13" t="s">
        <v>34</v>
      </c>
      <c r="J3" s="13" t="s">
        <v>34</v>
      </c>
      <c r="K3" s="13" t="s">
        <v>34</v>
      </c>
      <c r="L3" s="13" t="s">
        <v>34</v>
      </c>
      <c r="M3" s="13" t="s">
        <v>34</v>
      </c>
      <c r="N3" s="13" t="s">
        <v>34</v>
      </c>
      <c r="O3" s="13" t="s">
        <v>34</v>
      </c>
      <c r="P3" s="13" t="s">
        <v>34</v>
      </c>
      <c r="Q3" s="13">
        <v>0</v>
      </c>
      <c r="R3" s="13" t="s">
        <v>34</v>
      </c>
      <c r="S3" s="13" t="s">
        <v>34</v>
      </c>
      <c r="T3" s="13" t="s">
        <v>49</v>
      </c>
      <c r="U3" s="13" t="s">
        <v>50</v>
      </c>
      <c r="V3" s="13" t="s">
        <v>38</v>
      </c>
      <c r="W3" s="13" t="s">
        <v>34</v>
      </c>
      <c r="X3" s="13">
        <v>0.33</v>
      </c>
      <c r="Y3" s="13">
        <v>1</v>
      </c>
      <c r="Z3" s="13" t="s">
        <v>177</v>
      </c>
      <c r="AA3" s="13" t="s">
        <v>34</v>
      </c>
      <c r="AB3" s="13" t="s">
        <v>34</v>
      </c>
      <c r="AC3" s="13" t="s">
        <v>40</v>
      </c>
      <c r="AD3" s="13" t="s">
        <v>32</v>
      </c>
      <c r="AE3" s="13">
        <v>6.9900000000000004E-2</v>
      </c>
      <c r="AF3" s="13" t="s">
        <v>178</v>
      </c>
      <c r="AG3" s="13">
        <v>2018</v>
      </c>
      <c r="AH3" s="13" t="s">
        <v>179</v>
      </c>
      <c r="AI3" s="2">
        <v>25</v>
      </c>
      <c r="AJ3" s="2">
        <v>2</v>
      </c>
      <c r="AK3" s="2" t="s">
        <v>34</v>
      </c>
      <c r="AL3" s="2" t="s">
        <v>419</v>
      </c>
      <c r="AP3" s="3" t="s">
        <v>3</v>
      </c>
      <c r="AQ3" s="13" t="s">
        <v>174</v>
      </c>
      <c r="AR3" s="105" t="s">
        <v>386</v>
      </c>
      <c r="AT3" s="73" t="s">
        <v>5</v>
      </c>
      <c r="AU3" s="10">
        <v>1</v>
      </c>
      <c r="AV3" s="10">
        <v>0.13800000000000001</v>
      </c>
    </row>
    <row r="4" spans="1:48" s="2" customFormat="1" ht="31.8" thickBot="1" x14ac:dyDescent="0.35">
      <c r="A4" s="11">
        <v>13.6880927291886</v>
      </c>
      <c r="B4" s="11">
        <v>10545.4545454545</v>
      </c>
      <c r="C4" s="13" t="s">
        <v>34</v>
      </c>
      <c r="D4" s="13" t="s">
        <v>174</v>
      </c>
      <c r="E4" s="13" t="s">
        <v>170</v>
      </c>
      <c r="F4" s="13">
        <v>1</v>
      </c>
      <c r="G4" s="13" t="s">
        <v>34</v>
      </c>
      <c r="H4" s="13" t="s">
        <v>34</v>
      </c>
      <c r="I4" s="13" t="s">
        <v>34</v>
      </c>
      <c r="J4" s="13" t="s">
        <v>34</v>
      </c>
      <c r="K4" s="13" t="s">
        <v>34</v>
      </c>
      <c r="L4" s="13" t="s">
        <v>34</v>
      </c>
      <c r="M4" s="13" t="s">
        <v>34</v>
      </c>
      <c r="N4" s="13" t="s">
        <v>34</v>
      </c>
      <c r="O4" s="13" t="s">
        <v>34</v>
      </c>
      <c r="P4" s="13" t="s">
        <v>34</v>
      </c>
      <c r="Q4" s="13">
        <v>0</v>
      </c>
      <c r="R4" s="13" t="s">
        <v>34</v>
      </c>
      <c r="S4" s="13" t="s">
        <v>34</v>
      </c>
      <c r="T4" s="13" t="s">
        <v>49</v>
      </c>
      <c r="U4" s="13" t="s">
        <v>50</v>
      </c>
      <c r="V4" s="13" t="s">
        <v>38</v>
      </c>
      <c r="W4" s="13" t="s">
        <v>34</v>
      </c>
      <c r="X4" s="13">
        <v>0.33</v>
      </c>
      <c r="Y4" s="13">
        <v>1</v>
      </c>
      <c r="Z4" s="13" t="s">
        <v>177</v>
      </c>
      <c r="AA4" s="13" t="s">
        <v>34</v>
      </c>
      <c r="AB4" s="13" t="s">
        <v>34</v>
      </c>
      <c r="AC4" s="13" t="s">
        <v>40</v>
      </c>
      <c r="AD4" s="13" t="s">
        <v>32</v>
      </c>
      <c r="AE4" s="13">
        <v>6.9900000000000004E-2</v>
      </c>
      <c r="AF4" s="13" t="s">
        <v>178</v>
      </c>
      <c r="AG4" s="13">
        <v>2018</v>
      </c>
      <c r="AH4" s="13" t="s">
        <v>179</v>
      </c>
      <c r="AI4" s="2">
        <v>25</v>
      </c>
      <c r="AJ4" s="2">
        <v>2</v>
      </c>
      <c r="AK4" s="2" t="s">
        <v>34</v>
      </c>
      <c r="AL4" s="2" t="s">
        <v>419</v>
      </c>
      <c r="AP4" s="9" t="s">
        <v>4</v>
      </c>
      <c r="AQ4" s="100" t="s">
        <v>170</v>
      </c>
      <c r="AR4" s="106" t="s">
        <v>387</v>
      </c>
      <c r="AT4" s="73" t="s">
        <v>448</v>
      </c>
      <c r="AU4" s="10" t="s">
        <v>450</v>
      </c>
      <c r="AV4" s="10" t="s">
        <v>449</v>
      </c>
    </row>
    <row r="5" spans="1:48" s="2" customFormat="1" ht="16.2" thickBot="1" x14ac:dyDescent="0.35">
      <c r="A5" s="11">
        <v>10.686373467916299</v>
      </c>
      <c r="B5" s="11">
        <v>8392.2822053603504</v>
      </c>
      <c r="C5" s="13" t="s">
        <v>34</v>
      </c>
      <c r="D5" s="13" t="s">
        <v>174</v>
      </c>
      <c r="E5" s="13" t="s">
        <v>170</v>
      </c>
      <c r="F5" s="13">
        <v>1</v>
      </c>
      <c r="G5" s="13" t="s">
        <v>34</v>
      </c>
      <c r="H5" s="13" t="s">
        <v>34</v>
      </c>
      <c r="I5" s="13" t="s">
        <v>34</v>
      </c>
      <c r="J5" s="13" t="s">
        <v>34</v>
      </c>
      <c r="K5" s="13" t="s">
        <v>34</v>
      </c>
      <c r="L5" s="13" t="s">
        <v>34</v>
      </c>
      <c r="M5" s="13" t="s">
        <v>34</v>
      </c>
      <c r="N5" s="13" t="s">
        <v>34</v>
      </c>
      <c r="O5" s="13" t="s">
        <v>34</v>
      </c>
      <c r="P5" s="13" t="s">
        <v>34</v>
      </c>
      <c r="Q5" s="13">
        <v>0</v>
      </c>
      <c r="R5" s="13" t="s">
        <v>34</v>
      </c>
      <c r="S5" s="13" t="s">
        <v>34</v>
      </c>
      <c r="T5" s="13" t="s">
        <v>49</v>
      </c>
      <c r="U5" s="13" t="s">
        <v>50</v>
      </c>
      <c r="V5" s="13" t="s">
        <v>38</v>
      </c>
      <c r="W5" s="13" t="s">
        <v>34</v>
      </c>
      <c r="X5" s="13">
        <v>0.33</v>
      </c>
      <c r="Y5" s="13">
        <v>1</v>
      </c>
      <c r="Z5" s="13" t="s">
        <v>177</v>
      </c>
      <c r="AA5" s="13" t="s">
        <v>34</v>
      </c>
      <c r="AB5" s="13" t="s">
        <v>34</v>
      </c>
      <c r="AC5" s="13" t="s">
        <v>40</v>
      </c>
      <c r="AD5" s="13" t="s">
        <v>32</v>
      </c>
      <c r="AE5" s="13">
        <v>6.9900000000000004E-2</v>
      </c>
      <c r="AF5" s="13" t="s">
        <v>178</v>
      </c>
      <c r="AG5" s="13">
        <v>2018</v>
      </c>
      <c r="AH5" s="13" t="s">
        <v>179</v>
      </c>
      <c r="AI5" s="2">
        <v>50</v>
      </c>
      <c r="AJ5" s="2">
        <v>2</v>
      </c>
      <c r="AK5" s="2" t="s">
        <v>34</v>
      </c>
      <c r="AL5" s="2" t="s">
        <v>419</v>
      </c>
      <c r="AP5" s="9" t="s">
        <v>5</v>
      </c>
      <c r="AQ5" s="100">
        <v>1</v>
      </c>
      <c r="AR5" s="101">
        <v>0.13800000000000001</v>
      </c>
    </row>
    <row r="6" spans="1:48" s="2" customFormat="1" ht="16.2" thickBot="1" x14ac:dyDescent="0.35">
      <c r="A6" s="11">
        <v>11.370232747305501</v>
      </c>
      <c r="B6" s="11">
        <v>7798.8218173226096</v>
      </c>
      <c r="C6" s="13" t="s">
        <v>34</v>
      </c>
      <c r="D6" s="13" t="s">
        <v>174</v>
      </c>
      <c r="E6" s="13" t="s">
        <v>170</v>
      </c>
      <c r="F6" s="13">
        <v>1</v>
      </c>
      <c r="G6" s="13" t="s">
        <v>34</v>
      </c>
      <c r="H6" s="13" t="s">
        <v>34</v>
      </c>
      <c r="I6" s="13" t="s">
        <v>34</v>
      </c>
      <c r="J6" s="13" t="s">
        <v>34</v>
      </c>
      <c r="K6" s="13" t="s">
        <v>34</v>
      </c>
      <c r="L6" s="13" t="s">
        <v>34</v>
      </c>
      <c r="M6" s="13" t="s">
        <v>34</v>
      </c>
      <c r="N6" s="13" t="s">
        <v>34</v>
      </c>
      <c r="O6" s="13" t="s">
        <v>34</v>
      </c>
      <c r="P6" s="13" t="s">
        <v>34</v>
      </c>
      <c r="Q6" s="13">
        <v>0</v>
      </c>
      <c r="R6" s="13" t="s">
        <v>34</v>
      </c>
      <c r="S6" s="13" t="s">
        <v>34</v>
      </c>
      <c r="T6" s="13" t="s">
        <v>49</v>
      </c>
      <c r="U6" s="13" t="s">
        <v>50</v>
      </c>
      <c r="V6" s="13" t="s">
        <v>38</v>
      </c>
      <c r="W6" s="13" t="s">
        <v>34</v>
      </c>
      <c r="X6" s="13">
        <v>0.33</v>
      </c>
      <c r="Y6" s="13">
        <v>1</v>
      </c>
      <c r="Z6" s="13" t="s">
        <v>177</v>
      </c>
      <c r="AA6" s="13" t="s">
        <v>34</v>
      </c>
      <c r="AB6" s="13" t="s">
        <v>34</v>
      </c>
      <c r="AC6" s="13" t="s">
        <v>40</v>
      </c>
      <c r="AD6" s="13" t="s">
        <v>32</v>
      </c>
      <c r="AE6" s="13">
        <v>6.9900000000000004E-2</v>
      </c>
      <c r="AF6" s="13" t="s">
        <v>178</v>
      </c>
      <c r="AG6" s="13">
        <v>2018</v>
      </c>
      <c r="AH6" s="13" t="s">
        <v>179</v>
      </c>
      <c r="AI6" s="2">
        <v>50</v>
      </c>
      <c r="AJ6" s="2">
        <v>2</v>
      </c>
      <c r="AK6" s="2" t="s">
        <v>34</v>
      </c>
      <c r="AL6" s="2" t="s">
        <v>419</v>
      </c>
      <c r="AP6" s="3" t="s">
        <v>6</v>
      </c>
      <c r="AQ6" s="13" t="s">
        <v>34</v>
      </c>
      <c r="AR6" s="66">
        <v>0.30199999999999999</v>
      </c>
    </row>
    <row r="7" spans="1:48" s="2" customFormat="1" ht="16.2" thickBot="1" x14ac:dyDescent="0.35">
      <c r="A7" s="11">
        <v>6.5437302423603798</v>
      </c>
      <c r="B7" s="11">
        <v>9979.7979797979788</v>
      </c>
      <c r="C7" s="13" t="s">
        <v>34</v>
      </c>
      <c r="D7" s="13" t="s">
        <v>174</v>
      </c>
      <c r="E7" s="13" t="s">
        <v>170</v>
      </c>
      <c r="F7" s="13">
        <v>1</v>
      </c>
      <c r="G7" s="13" t="s">
        <v>34</v>
      </c>
      <c r="H7" s="13" t="s">
        <v>34</v>
      </c>
      <c r="I7" s="13" t="s">
        <v>34</v>
      </c>
      <c r="J7" s="13" t="s">
        <v>34</v>
      </c>
      <c r="K7" s="13" t="s">
        <v>34</v>
      </c>
      <c r="L7" s="13" t="s">
        <v>34</v>
      </c>
      <c r="M7" s="13" t="s">
        <v>34</v>
      </c>
      <c r="N7" s="13" t="s">
        <v>34</v>
      </c>
      <c r="O7" s="13" t="s">
        <v>34</v>
      </c>
      <c r="P7" s="13" t="s">
        <v>34</v>
      </c>
      <c r="Q7" s="13">
        <v>0</v>
      </c>
      <c r="R7" s="13" t="s">
        <v>34</v>
      </c>
      <c r="S7" s="13" t="s">
        <v>34</v>
      </c>
      <c r="T7" s="10" t="s">
        <v>180</v>
      </c>
      <c r="U7" s="10" t="s">
        <v>37</v>
      </c>
      <c r="V7" s="13" t="s">
        <v>38</v>
      </c>
      <c r="W7" s="13" t="s">
        <v>34</v>
      </c>
      <c r="X7" s="13">
        <v>0.33</v>
      </c>
      <c r="Y7" s="13">
        <v>1</v>
      </c>
      <c r="Z7" s="10" t="s">
        <v>181</v>
      </c>
      <c r="AA7" s="13" t="s">
        <v>34</v>
      </c>
      <c r="AB7" s="13" t="s">
        <v>34</v>
      </c>
      <c r="AC7" s="10" t="s">
        <v>182</v>
      </c>
      <c r="AD7" s="13" t="s">
        <v>32</v>
      </c>
      <c r="AE7" s="13">
        <v>6.9900000000000004E-2</v>
      </c>
      <c r="AF7" s="13" t="s">
        <v>178</v>
      </c>
      <c r="AG7" s="13">
        <v>2018</v>
      </c>
      <c r="AH7" s="13" t="s">
        <v>179</v>
      </c>
      <c r="AI7" s="2">
        <v>50</v>
      </c>
      <c r="AJ7" s="2">
        <v>2</v>
      </c>
      <c r="AK7" s="2" t="s">
        <v>34</v>
      </c>
      <c r="AL7" s="2" t="s">
        <v>419</v>
      </c>
      <c r="AP7" s="3" t="s">
        <v>7</v>
      </c>
      <c r="AQ7" s="13" t="s">
        <v>34</v>
      </c>
      <c r="AR7" s="66">
        <v>0.215</v>
      </c>
    </row>
    <row r="8" spans="1:48" s="2" customFormat="1" ht="16.2" thickBot="1" x14ac:dyDescent="0.35">
      <c r="A8" s="11">
        <v>6.2908324552160098</v>
      </c>
      <c r="B8" s="11">
        <v>9595.9595959595899</v>
      </c>
      <c r="C8" s="13" t="s">
        <v>34</v>
      </c>
      <c r="D8" s="13" t="s">
        <v>174</v>
      </c>
      <c r="E8" s="13" t="s">
        <v>170</v>
      </c>
      <c r="F8" s="13">
        <v>1</v>
      </c>
      <c r="G8" s="13" t="s">
        <v>34</v>
      </c>
      <c r="H8" s="13" t="s">
        <v>34</v>
      </c>
      <c r="I8" s="13" t="s">
        <v>34</v>
      </c>
      <c r="J8" s="13" t="s">
        <v>34</v>
      </c>
      <c r="K8" s="13" t="s">
        <v>34</v>
      </c>
      <c r="L8" s="13" t="s">
        <v>34</v>
      </c>
      <c r="M8" s="13" t="s">
        <v>34</v>
      </c>
      <c r="N8" s="13" t="s">
        <v>34</v>
      </c>
      <c r="O8" s="13" t="s">
        <v>34</v>
      </c>
      <c r="P8" s="13" t="s">
        <v>34</v>
      </c>
      <c r="Q8" s="13">
        <v>0</v>
      </c>
      <c r="R8" s="13" t="s">
        <v>34</v>
      </c>
      <c r="S8" s="13" t="s">
        <v>34</v>
      </c>
      <c r="T8" s="10" t="s">
        <v>180</v>
      </c>
      <c r="U8" s="10" t="s">
        <v>37</v>
      </c>
      <c r="V8" s="13" t="s">
        <v>38</v>
      </c>
      <c r="W8" s="13" t="s">
        <v>34</v>
      </c>
      <c r="X8" s="13">
        <v>0.33</v>
      </c>
      <c r="Y8" s="13">
        <v>1</v>
      </c>
      <c r="Z8" s="10" t="s">
        <v>181</v>
      </c>
      <c r="AA8" s="13" t="s">
        <v>34</v>
      </c>
      <c r="AB8" s="13" t="s">
        <v>34</v>
      </c>
      <c r="AC8" s="10" t="s">
        <v>182</v>
      </c>
      <c r="AD8" s="13" t="s">
        <v>32</v>
      </c>
      <c r="AE8" s="13">
        <v>6.9900000000000004E-2</v>
      </c>
      <c r="AF8" s="13" t="s">
        <v>178</v>
      </c>
      <c r="AG8" s="13">
        <v>2018</v>
      </c>
      <c r="AH8" s="13" t="s">
        <v>179</v>
      </c>
      <c r="AI8" s="2">
        <v>50</v>
      </c>
      <c r="AJ8" s="2">
        <v>2</v>
      </c>
      <c r="AK8" s="2" t="s">
        <v>34</v>
      </c>
      <c r="AL8" s="2" t="s">
        <v>419</v>
      </c>
      <c r="AP8" s="3" t="s">
        <v>8</v>
      </c>
      <c r="AQ8" s="13" t="s">
        <v>34</v>
      </c>
      <c r="AR8" s="66">
        <v>0.34399999999999997</v>
      </c>
    </row>
    <row r="9" spans="1:48" s="2" customFormat="1" ht="31.8" thickBot="1" x14ac:dyDescent="0.35">
      <c r="A9" s="11">
        <v>6.2908324552160098</v>
      </c>
      <c r="B9" s="11">
        <v>9111.1111111111113</v>
      </c>
      <c r="C9" s="13" t="s">
        <v>34</v>
      </c>
      <c r="D9" s="13" t="s">
        <v>174</v>
      </c>
      <c r="E9" s="13" t="s">
        <v>170</v>
      </c>
      <c r="F9" s="13">
        <v>1</v>
      </c>
      <c r="G9" s="13" t="s">
        <v>34</v>
      </c>
      <c r="H9" s="13" t="s">
        <v>34</v>
      </c>
      <c r="I9" s="13" t="s">
        <v>34</v>
      </c>
      <c r="J9" s="13" t="s">
        <v>34</v>
      </c>
      <c r="K9" s="13" t="s">
        <v>34</v>
      </c>
      <c r="L9" s="13" t="s">
        <v>34</v>
      </c>
      <c r="M9" s="13" t="s">
        <v>34</v>
      </c>
      <c r="N9" s="13" t="s">
        <v>34</v>
      </c>
      <c r="O9" s="13" t="s">
        <v>34</v>
      </c>
      <c r="P9" s="13" t="s">
        <v>34</v>
      </c>
      <c r="Q9" s="13">
        <v>0</v>
      </c>
      <c r="R9" s="13" t="s">
        <v>34</v>
      </c>
      <c r="S9" s="13" t="s">
        <v>34</v>
      </c>
      <c r="T9" s="10" t="s">
        <v>180</v>
      </c>
      <c r="U9" s="10" t="s">
        <v>37</v>
      </c>
      <c r="V9" s="13" t="s">
        <v>38</v>
      </c>
      <c r="W9" s="13" t="s">
        <v>34</v>
      </c>
      <c r="X9" s="13">
        <v>0.33</v>
      </c>
      <c r="Y9" s="13">
        <v>1</v>
      </c>
      <c r="Z9" s="10" t="s">
        <v>181</v>
      </c>
      <c r="AA9" s="13" t="s">
        <v>34</v>
      </c>
      <c r="AB9" s="13" t="s">
        <v>34</v>
      </c>
      <c r="AC9" s="10" t="s">
        <v>182</v>
      </c>
      <c r="AD9" s="13" t="s">
        <v>32</v>
      </c>
      <c r="AE9" s="13">
        <v>6.9900000000000004E-2</v>
      </c>
      <c r="AF9" s="13" t="s">
        <v>178</v>
      </c>
      <c r="AG9" s="13">
        <v>2018</v>
      </c>
      <c r="AH9" s="13" t="s">
        <v>179</v>
      </c>
      <c r="AI9" s="2">
        <v>50</v>
      </c>
      <c r="AJ9" s="2">
        <v>2</v>
      </c>
      <c r="AK9" s="2" t="s">
        <v>34</v>
      </c>
      <c r="AL9" s="2" t="s">
        <v>419</v>
      </c>
      <c r="AP9" s="3" t="s">
        <v>9</v>
      </c>
      <c r="AQ9" s="13" t="s">
        <v>34</v>
      </c>
      <c r="AR9" s="66">
        <v>2.1800000000000002</v>
      </c>
    </row>
    <row r="10" spans="1:48" s="2" customFormat="1" ht="31.8" thickBot="1" x14ac:dyDescent="0.35">
      <c r="A10" s="11">
        <v>10.6533192834562</v>
      </c>
      <c r="B10" s="11">
        <v>10121.2121212121</v>
      </c>
      <c r="C10" s="13" t="s">
        <v>34</v>
      </c>
      <c r="D10" s="13" t="s">
        <v>174</v>
      </c>
      <c r="E10" s="13" t="s">
        <v>170</v>
      </c>
      <c r="F10" s="13">
        <v>1</v>
      </c>
      <c r="G10" s="13" t="s">
        <v>34</v>
      </c>
      <c r="H10" s="13" t="s">
        <v>34</v>
      </c>
      <c r="I10" s="13" t="s">
        <v>34</v>
      </c>
      <c r="J10" s="13" t="s">
        <v>34</v>
      </c>
      <c r="K10" s="13" t="s">
        <v>34</v>
      </c>
      <c r="L10" s="13" t="s">
        <v>34</v>
      </c>
      <c r="M10" s="13" t="s">
        <v>34</v>
      </c>
      <c r="N10" s="13" t="s">
        <v>34</v>
      </c>
      <c r="O10" s="13" t="s">
        <v>34</v>
      </c>
      <c r="P10" s="13" t="s">
        <v>34</v>
      </c>
      <c r="Q10" s="13">
        <v>0</v>
      </c>
      <c r="R10" s="13" t="s">
        <v>34</v>
      </c>
      <c r="S10" s="13" t="s">
        <v>34</v>
      </c>
      <c r="T10" s="10" t="s">
        <v>36</v>
      </c>
      <c r="U10" s="10" t="s">
        <v>37</v>
      </c>
      <c r="V10" s="13" t="s">
        <v>38</v>
      </c>
      <c r="W10" s="10" t="s">
        <v>34</v>
      </c>
      <c r="X10" s="13">
        <v>0.33</v>
      </c>
      <c r="Y10" s="13">
        <v>1</v>
      </c>
      <c r="Z10" s="13" t="s">
        <v>39</v>
      </c>
      <c r="AA10" s="13" t="s">
        <v>34</v>
      </c>
      <c r="AB10" s="13" t="s">
        <v>34</v>
      </c>
      <c r="AC10" s="13" t="s">
        <v>40</v>
      </c>
      <c r="AD10" s="13" t="s">
        <v>32</v>
      </c>
      <c r="AE10" s="13">
        <v>6.9900000000000004E-2</v>
      </c>
      <c r="AF10" s="13" t="s">
        <v>178</v>
      </c>
      <c r="AG10" s="13">
        <v>2018</v>
      </c>
      <c r="AH10" s="13" t="s">
        <v>179</v>
      </c>
      <c r="AI10" s="2">
        <v>50</v>
      </c>
      <c r="AJ10" s="2">
        <v>2</v>
      </c>
      <c r="AK10" s="2" t="s">
        <v>34</v>
      </c>
      <c r="AL10" s="2" t="s">
        <v>419</v>
      </c>
      <c r="AP10" s="3" t="s">
        <v>10</v>
      </c>
      <c r="AQ10" s="13" t="s">
        <v>34</v>
      </c>
      <c r="AR10" s="66">
        <v>0.92</v>
      </c>
    </row>
    <row r="11" spans="1:48" s="2" customFormat="1" ht="16.2" thickBot="1" x14ac:dyDescent="0.35">
      <c r="A11" s="11">
        <v>11.4436248682824</v>
      </c>
      <c r="B11" s="11">
        <v>10424.2424242424</v>
      </c>
      <c r="C11" s="13" t="s">
        <v>34</v>
      </c>
      <c r="D11" s="13" t="s">
        <v>174</v>
      </c>
      <c r="E11" s="13" t="s">
        <v>170</v>
      </c>
      <c r="F11" s="13">
        <v>1</v>
      </c>
      <c r="G11" s="13" t="s">
        <v>34</v>
      </c>
      <c r="H11" s="13" t="s">
        <v>34</v>
      </c>
      <c r="I11" s="13" t="s">
        <v>34</v>
      </c>
      <c r="J11" s="13" t="s">
        <v>34</v>
      </c>
      <c r="K11" s="13" t="s">
        <v>34</v>
      </c>
      <c r="L11" s="13" t="s">
        <v>34</v>
      </c>
      <c r="M11" s="13" t="s">
        <v>34</v>
      </c>
      <c r="N11" s="13" t="s">
        <v>34</v>
      </c>
      <c r="O11" s="13" t="s">
        <v>34</v>
      </c>
      <c r="P11" s="13" t="s">
        <v>34</v>
      </c>
      <c r="Q11" s="13">
        <v>0</v>
      </c>
      <c r="R11" s="13" t="s">
        <v>34</v>
      </c>
      <c r="S11" s="13" t="s">
        <v>34</v>
      </c>
      <c r="T11" s="10" t="s">
        <v>36</v>
      </c>
      <c r="U11" s="10" t="s">
        <v>37</v>
      </c>
      <c r="V11" s="13" t="s">
        <v>38</v>
      </c>
      <c r="W11" s="10" t="s">
        <v>34</v>
      </c>
      <c r="X11" s="13">
        <v>0.33</v>
      </c>
      <c r="Y11" s="13">
        <v>1</v>
      </c>
      <c r="Z11" s="13" t="s">
        <v>39</v>
      </c>
      <c r="AA11" s="13" t="s">
        <v>34</v>
      </c>
      <c r="AB11" s="13" t="s">
        <v>34</v>
      </c>
      <c r="AC11" s="13" t="s">
        <v>40</v>
      </c>
      <c r="AD11" s="13" t="s">
        <v>32</v>
      </c>
      <c r="AE11" s="13">
        <v>6.9900000000000004E-2</v>
      </c>
      <c r="AF11" s="13" t="s">
        <v>178</v>
      </c>
      <c r="AG11" s="13">
        <v>2018</v>
      </c>
      <c r="AH11" s="13" t="s">
        <v>179</v>
      </c>
      <c r="AI11" s="2">
        <v>50</v>
      </c>
      <c r="AJ11" s="2">
        <v>2</v>
      </c>
      <c r="AK11" s="2" t="s">
        <v>34</v>
      </c>
      <c r="AL11" s="2" t="s">
        <v>419</v>
      </c>
      <c r="AP11" s="3" t="s">
        <v>11</v>
      </c>
      <c r="AQ11" s="13" t="s">
        <v>34</v>
      </c>
      <c r="AR11" s="66">
        <v>0</v>
      </c>
    </row>
    <row r="12" spans="1:48" s="2" customFormat="1" ht="16.2" thickBot="1" x14ac:dyDescent="0.35">
      <c r="A12" s="11">
        <v>14.3835616438356</v>
      </c>
      <c r="B12" s="11">
        <v>10484.848484848399</v>
      </c>
      <c r="C12" s="13" t="s">
        <v>34</v>
      </c>
      <c r="D12" s="13" t="s">
        <v>174</v>
      </c>
      <c r="E12" s="13" t="s">
        <v>170</v>
      </c>
      <c r="F12" s="13">
        <v>1</v>
      </c>
      <c r="G12" s="13" t="s">
        <v>34</v>
      </c>
      <c r="H12" s="13" t="s">
        <v>34</v>
      </c>
      <c r="I12" s="13" t="s">
        <v>34</v>
      </c>
      <c r="J12" s="13" t="s">
        <v>34</v>
      </c>
      <c r="K12" s="13" t="s">
        <v>34</v>
      </c>
      <c r="L12" s="13" t="s">
        <v>34</v>
      </c>
      <c r="M12" s="13" t="s">
        <v>34</v>
      </c>
      <c r="N12" s="13" t="s">
        <v>34</v>
      </c>
      <c r="O12" s="13" t="s">
        <v>34</v>
      </c>
      <c r="P12" s="13" t="s">
        <v>34</v>
      </c>
      <c r="Q12" s="13">
        <v>0</v>
      </c>
      <c r="R12" s="13" t="s">
        <v>34</v>
      </c>
      <c r="S12" s="13" t="s">
        <v>34</v>
      </c>
      <c r="T12" s="10" t="s">
        <v>36</v>
      </c>
      <c r="U12" s="10" t="s">
        <v>37</v>
      </c>
      <c r="V12" s="13" t="s">
        <v>38</v>
      </c>
      <c r="W12" s="10" t="s">
        <v>34</v>
      </c>
      <c r="X12" s="13">
        <v>0.33</v>
      </c>
      <c r="Y12" s="13">
        <v>1</v>
      </c>
      <c r="Z12" s="13" t="s">
        <v>39</v>
      </c>
      <c r="AA12" s="13" t="s">
        <v>34</v>
      </c>
      <c r="AB12" s="13" t="s">
        <v>34</v>
      </c>
      <c r="AC12" s="13" t="s">
        <v>40</v>
      </c>
      <c r="AD12" s="13" t="s">
        <v>32</v>
      </c>
      <c r="AE12" s="13">
        <v>6.9900000000000004E-2</v>
      </c>
      <c r="AF12" s="13" t="s">
        <v>178</v>
      </c>
      <c r="AG12" s="13">
        <v>2018</v>
      </c>
      <c r="AH12" s="13" t="s">
        <v>179</v>
      </c>
      <c r="AI12" s="2">
        <v>50</v>
      </c>
      <c r="AJ12" s="2">
        <v>2</v>
      </c>
      <c r="AK12" s="2" t="s">
        <v>34</v>
      </c>
      <c r="AL12" s="2" t="s">
        <v>419</v>
      </c>
      <c r="AP12" s="3" t="s">
        <v>12</v>
      </c>
      <c r="AQ12" s="13" t="s">
        <v>34</v>
      </c>
      <c r="AR12" s="66">
        <v>40</v>
      </c>
    </row>
    <row r="13" spans="1:48" s="2" customFormat="1" ht="16.2" thickBot="1" x14ac:dyDescent="0.35">
      <c r="A13" s="11">
        <v>5.9430979978925196</v>
      </c>
      <c r="B13" s="11">
        <v>10161.616161616101</v>
      </c>
      <c r="C13" s="13" t="s">
        <v>34</v>
      </c>
      <c r="D13" s="13" t="s">
        <v>174</v>
      </c>
      <c r="E13" s="13" t="s">
        <v>170</v>
      </c>
      <c r="F13" s="13">
        <v>1</v>
      </c>
      <c r="G13" s="13" t="s">
        <v>34</v>
      </c>
      <c r="H13" s="13" t="s">
        <v>34</v>
      </c>
      <c r="I13" s="13" t="s">
        <v>34</v>
      </c>
      <c r="J13" s="13" t="s">
        <v>34</v>
      </c>
      <c r="K13" s="13" t="s">
        <v>34</v>
      </c>
      <c r="L13" s="13" t="s">
        <v>34</v>
      </c>
      <c r="M13" s="13" t="s">
        <v>34</v>
      </c>
      <c r="N13" s="13" t="s">
        <v>34</v>
      </c>
      <c r="O13" s="13" t="s">
        <v>34</v>
      </c>
      <c r="P13" s="13" t="s">
        <v>34</v>
      </c>
      <c r="Q13" s="13">
        <v>0</v>
      </c>
      <c r="R13" s="13" t="s">
        <v>34</v>
      </c>
      <c r="S13" s="13" t="s">
        <v>34</v>
      </c>
      <c r="T13" s="10" t="s">
        <v>36</v>
      </c>
      <c r="U13" s="10" t="s">
        <v>37</v>
      </c>
      <c r="V13" s="13" t="s">
        <v>38</v>
      </c>
      <c r="W13" s="10" t="s">
        <v>34</v>
      </c>
      <c r="X13" s="13">
        <v>0.33</v>
      </c>
      <c r="Y13" s="13">
        <v>1</v>
      </c>
      <c r="Z13" s="13" t="s">
        <v>39</v>
      </c>
      <c r="AA13" s="13" t="s">
        <v>34</v>
      </c>
      <c r="AB13" s="13" t="s">
        <v>34</v>
      </c>
      <c r="AC13" s="13" t="s">
        <v>40</v>
      </c>
      <c r="AD13" s="13" t="s">
        <v>32</v>
      </c>
      <c r="AE13" s="13">
        <v>6.9900000000000004E-2</v>
      </c>
      <c r="AF13" s="13" t="s">
        <v>178</v>
      </c>
      <c r="AG13" s="13">
        <v>2018</v>
      </c>
      <c r="AH13" s="13" t="s">
        <v>179</v>
      </c>
      <c r="AI13" s="2">
        <v>50</v>
      </c>
      <c r="AJ13" s="2">
        <v>2</v>
      </c>
      <c r="AK13" s="2" t="s">
        <v>34</v>
      </c>
      <c r="AL13" s="2" t="s">
        <v>419</v>
      </c>
      <c r="AP13" s="3" t="s">
        <v>416</v>
      </c>
      <c r="AQ13" s="13" t="s">
        <v>34</v>
      </c>
      <c r="AR13" s="66">
        <v>1075.05</v>
      </c>
    </row>
    <row r="14" spans="1:48" s="2" customFormat="1" ht="16.2" thickBot="1" x14ac:dyDescent="0.35">
      <c r="A14" s="11">
        <v>6.13277133825079</v>
      </c>
      <c r="B14" s="11">
        <v>9333.3333333333303</v>
      </c>
      <c r="C14" s="13" t="s">
        <v>34</v>
      </c>
      <c r="D14" s="13" t="s">
        <v>174</v>
      </c>
      <c r="E14" s="13" t="s">
        <v>170</v>
      </c>
      <c r="F14" s="13">
        <v>1</v>
      </c>
      <c r="G14" s="13" t="s">
        <v>34</v>
      </c>
      <c r="H14" s="13" t="s">
        <v>34</v>
      </c>
      <c r="I14" s="13" t="s">
        <v>34</v>
      </c>
      <c r="J14" s="13" t="s">
        <v>34</v>
      </c>
      <c r="K14" s="13" t="s">
        <v>34</v>
      </c>
      <c r="L14" s="13" t="s">
        <v>34</v>
      </c>
      <c r="M14" s="13" t="s">
        <v>34</v>
      </c>
      <c r="N14" s="13" t="s">
        <v>34</v>
      </c>
      <c r="O14" s="13" t="s">
        <v>34</v>
      </c>
      <c r="P14" s="13" t="s">
        <v>34</v>
      </c>
      <c r="Q14" s="13">
        <v>0</v>
      </c>
      <c r="R14" s="13" t="s">
        <v>34</v>
      </c>
      <c r="S14" s="13" t="s">
        <v>34</v>
      </c>
      <c r="T14" s="10" t="s">
        <v>36</v>
      </c>
      <c r="U14" s="10" t="s">
        <v>37</v>
      </c>
      <c r="V14" s="13" t="s">
        <v>38</v>
      </c>
      <c r="W14" s="10" t="s">
        <v>34</v>
      </c>
      <c r="X14" s="13">
        <v>0.33</v>
      </c>
      <c r="Y14" s="13">
        <v>1</v>
      </c>
      <c r="Z14" s="13" t="s">
        <v>39</v>
      </c>
      <c r="AA14" s="13" t="s">
        <v>34</v>
      </c>
      <c r="AB14" s="13" t="s">
        <v>34</v>
      </c>
      <c r="AC14" s="13" t="s">
        <v>40</v>
      </c>
      <c r="AD14" s="13" t="s">
        <v>32</v>
      </c>
      <c r="AE14" s="13">
        <v>6.9900000000000004E-2</v>
      </c>
      <c r="AF14" s="13" t="s">
        <v>178</v>
      </c>
      <c r="AG14" s="13">
        <v>2018</v>
      </c>
      <c r="AH14" s="13" t="s">
        <v>179</v>
      </c>
      <c r="AI14" s="2">
        <v>50</v>
      </c>
      <c r="AJ14" s="2">
        <v>2</v>
      </c>
      <c r="AK14" s="2" t="s">
        <v>34</v>
      </c>
      <c r="AL14" s="2" t="s">
        <v>419</v>
      </c>
      <c r="AP14" s="3" t="s">
        <v>14</v>
      </c>
      <c r="AQ14" s="13" t="s">
        <v>34</v>
      </c>
      <c r="AR14" s="66">
        <v>1.75</v>
      </c>
    </row>
    <row r="15" spans="1:48" s="2" customFormat="1" ht="16.2" thickBot="1" x14ac:dyDescent="0.35">
      <c r="A15" s="11">
        <v>7.3340358271865096</v>
      </c>
      <c r="B15" s="11">
        <v>8424.2424242424204</v>
      </c>
      <c r="C15" s="13" t="s">
        <v>34</v>
      </c>
      <c r="D15" s="13" t="s">
        <v>174</v>
      </c>
      <c r="E15" s="13" t="s">
        <v>170</v>
      </c>
      <c r="F15" s="13">
        <v>1</v>
      </c>
      <c r="G15" s="13" t="s">
        <v>34</v>
      </c>
      <c r="H15" s="13" t="s">
        <v>34</v>
      </c>
      <c r="I15" s="13" t="s">
        <v>34</v>
      </c>
      <c r="J15" s="13" t="s">
        <v>34</v>
      </c>
      <c r="K15" s="13" t="s">
        <v>34</v>
      </c>
      <c r="L15" s="13" t="s">
        <v>34</v>
      </c>
      <c r="M15" s="13" t="s">
        <v>34</v>
      </c>
      <c r="N15" s="13" t="s">
        <v>34</v>
      </c>
      <c r="O15" s="13" t="s">
        <v>34</v>
      </c>
      <c r="P15" s="13" t="s">
        <v>34</v>
      </c>
      <c r="Q15" s="13">
        <v>0</v>
      </c>
      <c r="R15" s="13" t="s">
        <v>34</v>
      </c>
      <c r="S15" s="13" t="s">
        <v>34</v>
      </c>
      <c r="T15" s="10" t="s">
        <v>36</v>
      </c>
      <c r="U15" s="10" t="s">
        <v>37</v>
      </c>
      <c r="V15" s="13" t="s">
        <v>38</v>
      </c>
      <c r="W15" s="10" t="s">
        <v>34</v>
      </c>
      <c r="X15" s="13">
        <v>0.33</v>
      </c>
      <c r="Y15" s="13">
        <v>1</v>
      </c>
      <c r="Z15" s="13" t="s">
        <v>39</v>
      </c>
      <c r="AA15" s="13" t="s">
        <v>34</v>
      </c>
      <c r="AB15" s="13" t="s">
        <v>34</v>
      </c>
      <c r="AC15" s="13" t="s">
        <v>40</v>
      </c>
      <c r="AD15" s="13" t="s">
        <v>32</v>
      </c>
      <c r="AE15" s="13">
        <v>6.9900000000000004E-2</v>
      </c>
      <c r="AF15" s="13" t="s">
        <v>178</v>
      </c>
      <c r="AG15" s="13">
        <v>2018</v>
      </c>
      <c r="AH15" s="13" t="s">
        <v>179</v>
      </c>
      <c r="AI15" s="2">
        <v>50</v>
      </c>
      <c r="AJ15" s="2">
        <v>2</v>
      </c>
      <c r="AK15" s="2" t="s">
        <v>34</v>
      </c>
      <c r="AL15" s="2" t="s">
        <v>419</v>
      </c>
      <c r="AP15" s="3" t="s">
        <v>15</v>
      </c>
      <c r="AQ15" s="13" t="s">
        <v>34</v>
      </c>
      <c r="AR15" s="66">
        <v>1.27</v>
      </c>
    </row>
    <row r="16" spans="1:48" s="2" customFormat="1" ht="31.8" thickBot="1" x14ac:dyDescent="0.35">
      <c r="A16" s="11">
        <v>6.8598524762908299</v>
      </c>
      <c r="B16" s="11">
        <v>9959.5959595959594</v>
      </c>
      <c r="C16" s="13" t="s">
        <v>34</v>
      </c>
      <c r="D16" s="13" t="s">
        <v>174</v>
      </c>
      <c r="E16" s="13" t="s">
        <v>170</v>
      </c>
      <c r="F16" s="13">
        <v>1</v>
      </c>
      <c r="G16" s="13" t="s">
        <v>34</v>
      </c>
      <c r="H16" s="13" t="s">
        <v>34</v>
      </c>
      <c r="I16" s="13" t="s">
        <v>34</v>
      </c>
      <c r="J16" s="13" t="s">
        <v>34</v>
      </c>
      <c r="K16" s="13" t="s">
        <v>34</v>
      </c>
      <c r="L16" s="13" t="s">
        <v>34</v>
      </c>
      <c r="M16" s="13" t="s">
        <v>34</v>
      </c>
      <c r="N16" s="13" t="s">
        <v>34</v>
      </c>
      <c r="O16" s="13" t="s">
        <v>34</v>
      </c>
      <c r="P16" s="13" t="s">
        <v>34</v>
      </c>
      <c r="Q16" s="13">
        <v>0</v>
      </c>
      <c r="R16" s="13" t="s">
        <v>34</v>
      </c>
      <c r="S16" s="13" t="s">
        <v>34</v>
      </c>
      <c r="T16" s="10" t="s">
        <v>183</v>
      </c>
      <c r="U16" s="10" t="s">
        <v>50</v>
      </c>
      <c r="V16" s="10" t="s">
        <v>38</v>
      </c>
      <c r="W16" s="10" t="s">
        <v>34</v>
      </c>
      <c r="X16" s="13">
        <v>0.33</v>
      </c>
      <c r="Y16" s="13">
        <v>1</v>
      </c>
      <c r="Z16" s="10" t="s">
        <v>177</v>
      </c>
      <c r="AA16" s="10" t="s">
        <v>34</v>
      </c>
      <c r="AB16" s="13" t="s">
        <v>34</v>
      </c>
      <c r="AC16" s="10" t="s">
        <v>184</v>
      </c>
      <c r="AD16" s="13" t="s">
        <v>32</v>
      </c>
      <c r="AE16" s="13">
        <v>6.9900000000000004E-2</v>
      </c>
      <c r="AF16" s="13" t="s">
        <v>178</v>
      </c>
      <c r="AG16" s="13">
        <v>2018</v>
      </c>
      <c r="AH16" s="13" t="s">
        <v>179</v>
      </c>
      <c r="AI16" s="2">
        <v>50</v>
      </c>
      <c r="AJ16" s="2">
        <v>2</v>
      </c>
      <c r="AK16" s="2" t="s">
        <v>34</v>
      </c>
      <c r="AL16" s="2" t="s">
        <v>419</v>
      </c>
      <c r="AP16" s="3" t="s">
        <v>44</v>
      </c>
      <c r="AQ16" s="13">
        <v>0</v>
      </c>
      <c r="AR16" s="66">
        <v>0</v>
      </c>
    </row>
    <row r="17" spans="1:44" s="2" customFormat="1" ht="31.8" thickBot="1" x14ac:dyDescent="0.35">
      <c r="A17" s="11">
        <v>6.3540569020020996</v>
      </c>
      <c r="B17" s="11">
        <v>8949.4949494949506</v>
      </c>
      <c r="C17" s="13" t="s">
        <v>34</v>
      </c>
      <c r="D17" s="13" t="s">
        <v>174</v>
      </c>
      <c r="E17" s="13" t="s">
        <v>170</v>
      </c>
      <c r="F17" s="13">
        <v>1</v>
      </c>
      <c r="G17" s="13" t="s">
        <v>34</v>
      </c>
      <c r="H17" s="13" t="s">
        <v>34</v>
      </c>
      <c r="I17" s="13" t="s">
        <v>34</v>
      </c>
      <c r="J17" s="13" t="s">
        <v>34</v>
      </c>
      <c r="K17" s="13" t="s">
        <v>34</v>
      </c>
      <c r="L17" s="13" t="s">
        <v>34</v>
      </c>
      <c r="M17" s="13" t="s">
        <v>34</v>
      </c>
      <c r="N17" s="13" t="s">
        <v>34</v>
      </c>
      <c r="O17" s="13" t="s">
        <v>34</v>
      </c>
      <c r="P17" s="13" t="s">
        <v>34</v>
      </c>
      <c r="Q17" s="13">
        <v>0</v>
      </c>
      <c r="R17" s="13" t="s">
        <v>34</v>
      </c>
      <c r="S17" s="13" t="s">
        <v>34</v>
      </c>
      <c r="T17" s="10" t="s">
        <v>183</v>
      </c>
      <c r="U17" s="10" t="s">
        <v>50</v>
      </c>
      <c r="V17" s="10" t="s">
        <v>38</v>
      </c>
      <c r="W17" s="10" t="s">
        <v>34</v>
      </c>
      <c r="X17" s="13">
        <v>0.33</v>
      </c>
      <c r="Y17" s="13">
        <v>1</v>
      </c>
      <c r="Z17" s="10" t="s">
        <v>177</v>
      </c>
      <c r="AA17" s="10" t="s">
        <v>34</v>
      </c>
      <c r="AB17" s="13" t="s">
        <v>34</v>
      </c>
      <c r="AC17" s="10" t="s">
        <v>184</v>
      </c>
      <c r="AD17" s="13" t="s">
        <v>32</v>
      </c>
      <c r="AE17" s="13">
        <v>6.9900000000000004E-2</v>
      </c>
      <c r="AF17" s="13" t="s">
        <v>178</v>
      </c>
      <c r="AG17" s="13">
        <v>2018</v>
      </c>
      <c r="AH17" s="13" t="s">
        <v>179</v>
      </c>
      <c r="AI17" s="2">
        <v>50</v>
      </c>
      <c r="AJ17" s="2">
        <v>2</v>
      </c>
      <c r="AK17" s="2" t="s">
        <v>34</v>
      </c>
      <c r="AL17" s="2" t="s">
        <v>419</v>
      </c>
      <c r="AP17" s="3" t="s">
        <v>30</v>
      </c>
      <c r="AQ17" s="13" t="s">
        <v>34</v>
      </c>
      <c r="AR17" s="66">
        <v>2.75</v>
      </c>
    </row>
    <row r="18" spans="1:44" s="15" customFormat="1" ht="31.8" thickBot="1" x14ac:dyDescent="0.35">
      <c r="A18" s="17">
        <v>6.4488935721812402</v>
      </c>
      <c r="B18" s="17">
        <v>8787.8787878787807</v>
      </c>
      <c r="C18" s="18" t="s">
        <v>34</v>
      </c>
      <c r="D18" s="18" t="s">
        <v>174</v>
      </c>
      <c r="E18" s="18" t="s">
        <v>170</v>
      </c>
      <c r="F18" s="18">
        <v>1</v>
      </c>
      <c r="G18" s="18" t="s">
        <v>34</v>
      </c>
      <c r="H18" s="18" t="s">
        <v>34</v>
      </c>
      <c r="I18" s="18" t="s">
        <v>34</v>
      </c>
      <c r="J18" s="18" t="s">
        <v>34</v>
      </c>
      <c r="K18" s="18" t="s">
        <v>34</v>
      </c>
      <c r="L18" s="18" t="s">
        <v>34</v>
      </c>
      <c r="M18" s="18" t="s">
        <v>34</v>
      </c>
      <c r="N18" s="18" t="s">
        <v>34</v>
      </c>
      <c r="O18" s="18" t="s">
        <v>34</v>
      </c>
      <c r="P18" s="18" t="s">
        <v>34</v>
      </c>
      <c r="Q18" s="18">
        <v>0</v>
      </c>
      <c r="R18" s="18" t="s">
        <v>34</v>
      </c>
      <c r="S18" s="18" t="s">
        <v>34</v>
      </c>
      <c r="T18" s="14" t="s">
        <v>183</v>
      </c>
      <c r="U18" s="14" t="s">
        <v>50</v>
      </c>
      <c r="V18" s="14" t="s">
        <v>38</v>
      </c>
      <c r="W18" s="14" t="s">
        <v>34</v>
      </c>
      <c r="X18" s="18">
        <v>0.33</v>
      </c>
      <c r="Y18" s="18">
        <v>1</v>
      </c>
      <c r="Z18" s="14" t="s">
        <v>177</v>
      </c>
      <c r="AA18" s="14" t="s">
        <v>34</v>
      </c>
      <c r="AB18" s="18" t="s">
        <v>34</v>
      </c>
      <c r="AC18" s="14" t="s">
        <v>184</v>
      </c>
      <c r="AD18" s="18" t="s">
        <v>32</v>
      </c>
      <c r="AE18" s="18">
        <v>6.9900000000000004E-2</v>
      </c>
      <c r="AF18" s="18" t="s">
        <v>178</v>
      </c>
      <c r="AG18" s="18">
        <v>2018</v>
      </c>
      <c r="AH18" s="18" t="s">
        <v>179</v>
      </c>
      <c r="AI18" s="62">
        <v>50</v>
      </c>
      <c r="AJ18" s="34">
        <v>2</v>
      </c>
      <c r="AK18" s="34" t="s">
        <v>34</v>
      </c>
      <c r="AL18" s="2" t="s">
        <v>419</v>
      </c>
      <c r="AP18" s="3" t="s">
        <v>417</v>
      </c>
      <c r="AQ18" s="13" t="s">
        <v>34</v>
      </c>
      <c r="AR18" s="66">
        <v>4.4500000000000003E-4</v>
      </c>
    </row>
    <row r="19" spans="1:44" s="2" customFormat="1" ht="16.2" thickBot="1" x14ac:dyDescent="0.35">
      <c r="A19" s="65">
        <v>15.226793770897515</v>
      </c>
      <c r="B19" s="65">
        <v>211.83206106870099</v>
      </c>
      <c r="C19" s="66" t="s">
        <v>33</v>
      </c>
      <c r="D19" s="66" t="s">
        <v>386</v>
      </c>
      <c r="E19" s="66" t="s">
        <v>387</v>
      </c>
      <c r="F19" s="66">
        <v>0.13800000000000001</v>
      </c>
      <c r="G19" s="66">
        <v>0.30199999999999999</v>
      </c>
      <c r="H19" s="66">
        <v>0.215</v>
      </c>
      <c r="I19" s="66">
        <v>0.34399999999999997</v>
      </c>
      <c r="J19" s="66">
        <v>2.1800000000000002</v>
      </c>
      <c r="K19" s="66">
        <v>0.92</v>
      </c>
      <c r="L19" s="66">
        <v>0</v>
      </c>
      <c r="M19" s="66">
        <v>40</v>
      </c>
      <c r="N19" s="66">
        <v>1075.05</v>
      </c>
      <c r="O19" s="66">
        <v>1.75</v>
      </c>
      <c r="P19" s="66">
        <v>1.27</v>
      </c>
      <c r="Q19" s="66">
        <v>0</v>
      </c>
      <c r="R19" s="66">
        <v>2.75</v>
      </c>
      <c r="S19" s="66">
        <v>4.4500000000000003E-4</v>
      </c>
      <c r="T19" s="66" t="s">
        <v>36</v>
      </c>
      <c r="U19" s="66" t="s">
        <v>388</v>
      </c>
      <c r="V19" s="66" t="s">
        <v>38</v>
      </c>
      <c r="W19" s="66">
        <v>3</v>
      </c>
      <c r="X19" s="66">
        <v>1</v>
      </c>
      <c r="Y19" s="66">
        <v>1</v>
      </c>
      <c r="Z19" s="66" t="s">
        <v>33</v>
      </c>
      <c r="AA19" s="66">
        <v>9.6000000000000002E-2</v>
      </c>
      <c r="AB19" s="66" t="s">
        <v>34</v>
      </c>
      <c r="AC19" s="66" t="s">
        <v>40</v>
      </c>
      <c r="AD19" s="66" t="s">
        <v>277</v>
      </c>
      <c r="AE19" s="66">
        <v>0.96779999999999999</v>
      </c>
      <c r="AF19" s="66" t="s">
        <v>342</v>
      </c>
      <c r="AG19" s="13">
        <v>2017</v>
      </c>
      <c r="AH19" s="66" t="s">
        <v>389</v>
      </c>
      <c r="AI19" s="67">
        <v>40</v>
      </c>
      <c r="AJ19" s="67">
        <v>2</v>
      </c>
      <c r="AK19" s="67">
        <v>1.25</v>
      </c>
      <c r="AL19" s="2" t="s">
        <v>441</v>
      </c>
      <c r="AP19" s="9" t="s">
        <v>17</v>
      </c>
      <c r="AQ19" s="100" t="s">
        <v>49</v>
      </c>
      <c r="AR19" s="101" t="s">
        <v>36</v>
      </c>
    </row>
    <row r="20" spans="1:44" s="2" customFormat="1" ht="16.2" thickBot="1" x14ac:dyDescent="0.35">
      <c r="A20" s="11">
        <v>21.396037787715557</v>
      </c>
      <c r="B20" s="11">
        <v>563.931297709923</v>
      </c>
      <c r="C20" s="10" t="s">
        <v>33</v>
      </c>
      <c r="D20" s="10" t="s">
        <v>386</v>
      </c>
      <c r="E20" s="10" t="s">
        <v>387</v>
      </c>
      <c r="F20" s="10">
        <v>0.13800000000000001</v>
      </c>
      <c r="G20" s="10">
        <v>0.30199999999999999</v>
      </c>
      <c r="H20" s="10">
        <v>0.215</v>
      </c>
      <c r="I20" s="10">
        <v>0.34399999999999997</v>
      </c>
      <c r="J20" s="10">
        <v>2.1800000000000002</v>
      </c>
      <c r="K20" s="10">
        <v>0.92</v>
      </c>
      <c r="L20" s="10">
        <v>0</v>
      </c>
      <c r="M20" s="10">
        <v>40</v>
      </c>
      <c r="N20" s="10">
        <v>1075.05</v>
      </c>
      <c r="O20" s="10">
        <v>1.75</v>
      </c>
      <c r="P20" s="10">
        <v>1.27</v>
      </c>
      <c r="Q20" s="10">
        <v>0</v>
      </c>
      <c r="R20" s="10">
        <v>2.75</v>
      </c>
      <c r="S20" s="10">
        <v>4.4500000000000003E-4</v>
      </c>
      <c r="T20" s="10" t="s">
        <v>36</v>
      </c>
      <c r="U20" s="10" t="s">
        <v>388</v>
      </c>
      <c r="V20" s="10" t="s">
        <v>38</v>
      </c>
      <c r="W20" s="10">
        <v>3</v>
      </c>
      <c r="X20" s="10">
        <v>1</v>
      </c>
      <c r="Y20" s="10">
        <v>1</v>
      </c>
      <c r="Z20" s="10" t="s">
        <v>33</v>
      </c>
      <c r="AA20" s="10">
        <v>9.6000000000000002E-2</v>
      </c>
      <c r="AB20" s="10" t="s">
        <v>34</v>
      </c>
      <c r="AC20" s="10" t="s">
        <v>40</v>
      </c>
      <c r="AD20" s="10" t="s">
        <v>277</v>
      </c>
      <c r="AE20" s="10">
        <v>0.96779999999999999</v>
      </c>
      <c r="AF20" s="10" t="s">
        <v>342</v>
      </c>
      <c r="AG20" s="10">
        <v>2017</v>
      </c>
      <c r="AH20" s="10" t="s">
        <v>389</v>
      </c>
      <c r="AI20" s="2">
        <v>40</v>
      </c>
      <c r="AJ20" s="2">
        <v>2</v>
      </c>
      <c r="AK20" s="2">
        <v>1.25</v>
      </c>
      <c r="AL20" s="2" t="s">
        <v>441</v>
      </c>
      <c r="AP20" s="4" t="s">
        <v>18</v>
      </c>
      <c r="AQ20" s="13" t="s">
        <v>50</v>
      </c>
      <c r="AR20" s="66" t="s">
        <v>388</v>
      </c>
    </row>
    <row r="21" spans="1:44" s="2" customFormat="1" ht="16.2" thickBot="1" x14ac:dyDescent="0.35">
      <c r="A21" s="11">
        <v>27.851099810925518</v>
      </c>
      <c r="B21" s="11">
        <v>1067.7480916030499</v>
      </c>
      <c r="C21" s="10" t="s">
        <v>33</v>
      </c>
      <c r="D21" s="10" t="s">
        <v>386</v>
      </c>
      <c r="E21" s="10" t="s">
        <v>387</v>
      </c>
      <c r="F21" s="10">
        <v>0.13800000000000001</v>
      </c>
      <c r="G21" s="10">
        <v>0.30199999999999999</v>
      </c>
      <c r="H21" s="10">
        <v>0.215</v>
      </c>
      <c r="I21" s="10">
        <v>0.34399999999999997</v>
      </c>
      <c r="J21" s="10">
        <v>2.1800000000000002</v>
      </c>
      <c r="K21" s="10">
        <v>0.92</v>
      </c>
      <c r="L21" s="10">
        <v>0</v>
      </c>
      <c r="M21" s="10">
        <v>40</v>
      </c>
      <c r="N21" s="10">
        <v>1075.05</v>
      </c>
      <c r="O21" s="10">
        <v>1.75</v>
      </c>
      <c r="P21" s="10">
        <v>1.27</v>
      </c>
      <c r="Q21" s="10">
        <v>0</v>
      </c>
      <c r="R21" s="10">
        <v>2.75</v>
      </c>
      <c r="S21" s="10">
        <v>4.4500000000000003E-4</v>
      </c>
      <c r="T21" s="10" t="s">
        <v>36</v>
      </c>
      <c r="U21" s="10" t="s">
        <v>388</v>
      </c>
      <c r="V21" s="10" t="s">
        <v>38</v>
      </c>
      <c r="W21" s="10">
        <v>3</v>
      </c>
      <c r="X21" s="10">
        <v>1</v>
      </c>
      <c r="Y21" s="10">
        <v>1</v>
      </c>
      <c r="Z21" s="10" t="s">
        <v>33</v>
      </c>
      <c r="AA21" s="10">
        <v>9.6000000000000002E-2</v>
      </c>
      <c r="AB21" s="10" t="s">
        <v>34</v>
      </c>
      <c r="AC21" s="10" t="s">
        <v>40</v>
      </c>
      <c r="AD21" s="10" t="s">
        <v>277</v>
      </c>
      <c r="AE21" s="10">
        <v>0.96779999999999999</v>
      </c>
      <c r="AF21" s="10" t="s">
        <v>342</v>
      </c>
      <c r="AG21" s="10">
        <v>2017</v>
      </c>
      <c r="AH21" s="10" t="s">
        <v>389</v>
      </c>
      <c r="AI21" s="2">
        <v>40</v>
      </c>
      <c r="AJ21" s="2">
        <v>2</v>
      </c>
      <c r="AK21" s="2">
        <v>1.25</v>
      </c>
      <c r="AL21" s="2" t="s">
        <v>441</v>
      </c>
      <c r="AP21" s="4" t="s">
        <v>19</v>
      </c>
      <c r="AQ21" s="13" t="s">
        <v>38</v>
      </c>
      <c r="AR21" s="66" t="s">
        <v>38</v>
      </c>
    </row>
    <row r="22" spans="1:44" s="2" customFormat="1" ht="16.2" thickBot="1" x14ac:dyDescent="0.35">
      <c r="A22" s="11">
        <v>32.268898498016881</v>
      </c>
      <c r="B22" s="11">
        <v>2301.5267175572499</v>
      </c>
      <c r="C22" s="10" t="s">
        <v>33</v>
      </c>
      <c r="D22" s="10" t="s">
        <v>386</v>
      </c>
      <c r="E22" s="10" t="s">
        <v>387</v>
      </c>
      <c r="F22" s="10">
        <v>0.13800000000000001</v>
      </c>
      <c r="G22" s="10">
        <v>0.30199999999999999</v>
      </c>
      <c r="H22" s="10">
        <v>0.215</v>
      </c>
      <c r="I22" s="10">
        <v>0.34399999999999997</v>
      </c>
      <c r="J22" s="10">
        <v>2.1800000000000002</v>
      </c>
      <c r="K22" s="10">
        <v>0.92</v>
      </c>
      <c r="L22" s="10">
        <v>0</v>
      </c>
      <c r="M22" s="10">
        <v>40</v>
      </c>
      <c r="N22" s="10">
        <v>1075.05</v>
      </c>
      <c r="O22" s="10">
        <v>1.75</v>
      </c>
      <c r="P22" s="10">
        <v>1.27</v>
      </c>
      <c r="Q22" s="10">
        <v>0</v>
      </c>
      <c r="R22" s="10">
        <v>2.75</v>
      </c>
      <c r="S22" s="10">
        <v>4.4500000000000003E-4</v>
      </c>
      <c r="T22" s="10" t="s">
        <v>36</v>
      </c>
      <c r="U22" s="10" t="s">
        <v>388</v>
      </c>
      <c r="V22" s="10" t="s">
        <v>38</v>
      </c>
      <c r="W22" s="10">
        <v>3</v>
      </c>
      <c r="X22" s="10">
        <v>1</v>
      </c>
      <c r="Y22" s="10">
        <v>1</v>
      </c>
      <c r="Z22" s="10" t="s">
        <v>33</v>
      </c>
      <c r="AA22" s="10">
        <v>9.6000000000000002E-2</v>
      </c>
      <c r="AB22" s="10" t="s">
        <v>34</v>
      </c>
      <c r="AC22" s="10" t="s">
        <v>40</v>
      </c>
      <c r="AD22" s="10" t="s">
        <v>277</v>
      </c>
      <c r="AE22" s="10">
        <v>0.96779999999999999</v>
      </c>
      <c r="AF22" s="10" t="s">
        <v>342</v>
      </c>
      <c r="AG22" s="10">
        <v>2017</v>
      </c>
      <c r="AH22" s="10" t="s">
        <v>389</v>
      </c>
      <c r="AI22" s="2">
        <v>40</v>
      </c>
      <c r="AJ22" s="2">
        <v>2</v>
      </c>
      <c r="AK22" s="2">
        <v>1.25</v>
      </c>
      <c r="AL22" s="2" t="s">
        <v>441</v>
      </c>
      <c r="AP22" s="4" t="s">
        <v>20</v>
      </c>
      <c r="AQ22" s="13" t="s">
        <v>34</v>
      </c>
      <c r="AR22" s="66">
        <v>3</v>
      </c>
    </row>
    <row r="23" spans="1:44" s="2" customFormat="1" ht="31.8" thickBot="1" x14ac:dyDescent="0.35">
      <c r="A23" s="11">
        <v>17.139533882066328</v>
      </c>
      <c r="B23" s="11">
        <v>312.02290076335902</v>
      </c>
      <c r="C23" s="10" t="s">
        <v>33</v>
      </c>
      <c r="D23" s="10" t="s">
        <v>386</v>
      </c>
      <c r="E23" s="10" t="s">
        <v>387</v>
      </c>
      <c r="F23" s="10">
        <v>0.13800000000000001</v>
      </c>
      <c r="G23" s="10">
        <v>0.30199999999999999</v>
      </c>
      <c r="H23" s="10">
        <v>0.215</v>
      </c>
      <c r="I23" s="10">
        <v>0.34399999999999997</v>
      </c>
      <c r="J23" s="10">
        <v>2.1800000000000002</v>
      </c>
      <c r="K23" s="10">
        <v>0.92</v>
      </c>
      <c r="L23" s="10">
        <v>0</v>
      </c>
      <c r="M23" s="10">
        <v>40</v>
      </c>
      <c r="N23" s="10">
        <v>1075.05</v>
      </c>
      <c r="O23" s="10">
        <v>1.75</v>
      </c>
      <c r="P23" s="10">
        <v>1.27</v>
      </c>
      <c r="Q23" s="10">
        <v>0</v>
      </c>
      <c r="R23" s="10">
        <v>2.75</v>
      </c>
      <c r="S23" s="10">
        <v>4.4500000000000003E-4</v>
      </c>
      <c r="T23" s="10" t="s">
        <v>36</v>
      </c>
      <c r="U23" s="10" t="s">
        <v>388</v>
      </c>
      <c r="V23" s="10" t="s">
        <v>38</v>
      </c>
      <c r="W23" s="10">
        <v>3</v>
      </c>
      <c r="X23" s="10">
        <v>1</v>
      </c>
      <c r="Y23" s="10">
        <v>1</v>
      </c>
      <c r="Z23" s="10" t="s">
        <v>33</v>
      </c>
      <c r="AA23" s="10">
        <v>9.6000000000000002E-2</v>
      </c>
      <c r="AB23" s="10" t="s">
        <v>34</v>
      </c>
      <c r="AC23" s="10" t="s">
        <v>390</v>
      </c>
      <c r="AD23" s="10" t="s">
        <v>277</v>
      </c>
      <c r="AE23" s="10">
        <v>0.96779999999999999</v>
      </c>
      <c r="AF23" s="10" t="s">
        <v>342</v>
      </c>
      <c r="AG23" s="10">
        <v>2017</v>
      </c>
      <c r="AH23" s="10" t="s">
        <v>389</v>
      </c>
      <c r="AI23" s="2">
        <v>40</v>
      </c>
      <c r="AJ23" s="2">
        <v>2</v>
      </c>
      <c r="AK23" s="2">
        <v>1.25</v>
      </c>
      <c r="AL23" s="2" t="s">
        <v>441</v>
      </c>
      <c r="AP23" s="9" t="s">
        <v>21</v>
      </c>
      <c r="AQ23" s="100">
        <v>0.33</v>
      </c>
      <c r="AR23" s="101">
        <v>1</v>
      </c>
    </row>
    <row r="24" spans="1:44" s="2" customFormat="1" ht="16.2" thickBot="1" x14ac:dyDescent="0.35">
      <c r="A24" s="11">
        <v>24.030246338742874</v>
      </c>
      <c r="B24" s="11">
        <v>941.79389312977105</v>
      </c>
      <c r="C24" s="10" t="s">
        <v>33</v>
      </c>
      <c r="D24" s="10" t="s">
        <v>386</v>
      </c>
      <c r="E24" s="10" t="s">
        <v>387</v>
      </c>
      <c r="F24" s="10">
        <v>0.13800000000000001</v>
      </c>
      <c r="G24" s="10">
        <v>0.30199999999999999</v>
      </c>
      <c r="H24" s="10">
        <v>0.215</v>
      </c>
      <c r="I24" s="10">
        <v>0.34399999999999997</v>
      </c>
      <c r="J24" s="10">
        <v>2.1800000000000002</v>
      </c>
      <c r="K24" s="10">
        <v>0.92</v>
      </c>
      <c r="L24" s="10">
        <v>0</v>
      </c>
      <c r="M24" s="10">
        <v>40</v>
      </c>
      <c r="N24" s="10">
        <v>1075.05</v>
      </c>
      <c r="O24" s="10">
        <v>1.75</v>
      </c>
      <c r="P24" s="10">
        <v>1.27</v>
      </c>
      <c r="Q24" s="10">
        <v>0</v>
      </c>
      <c r="R24" s="10">
        <v>2.75</v>
      </c>
      <c r="S24" s="10">
        <v>4.4500000000000003E-4</v>
      </c>
      <c r="T24" s="10" t="s">
        <v>36</v>
      </c>
      <c r="U24" s="10" t="s">
        <v>388</v>
      </c>
      <c r="V24" s="10" t="s">
        <v>38</v>
      </c>
      <c r="W24" s="10">
        <v>3</v>
      </c>
      <c r="X24" s="10">
        <v>1</v>
      </c>
      <c r="Y24" s="10">
        <v>1</v>
      </c>
      <c r="Z24" s="10" t="s">
        <v>33</v>
      </c>
      <c r="AA24" s="10">
        <v>9.6000000000000002E-2</v>
      </c>
      <c r="AB24" s="10" t="s">
        <v>34</v>
      </c>
      <c r="AC24" s="10" t="s">
        <v>390</v>
      </c>
      <c r="AD24" s="10" t="s">
        <v>277</v>
      </c>
      <c r="AE24" s="10">
        <v>0.96779999999999999</v>
      </c>
      <c r="AF24" s="10" t="s">
        <v>342</v>
      </c>
      <c r="AG24" s="10">
        <v>2017</v>
      </c>
      <c r="AH24" s="10" t="s">
        <v>389</v>
      </c>
      <c r="AI24" s="2">
        <v>40</v>
      </c>
      <c r="AJ24" s="2">
        <v>2</v>
      </c>
      <c r="AK24" s="2">
        <v>1.25</v>
      </c>
      <c r="AL24" s="2" t="s">
        <v>441</v>
      </c>
      <c r="AP24" s="5" t="s">
        <v>22</v>
      </c>
      <c r="AQ24" s="13">
        <v>1</v>
      </c>
      <c r="AR24" s="66">
        <v>1</v>
      </c>
    </row>
    <row r="25" spans="1:44" s="2" customFormat="1" ht="16.2" thickBot="1" x14ac:dyDescent="0.35">
      <c r="A25" s="11">
        <v>29.295736504123308</v>
      </c>
      <c r="B25" s="11">
        <v>1468.5114503816701</v>
      </c>
      <c r="C25" s="10" t="s">
        <v>33</v>
      </c>
      <c r="D25" s="10" t="s">
        <v>386</v>
      </c>
      <c r="E25" s="10" t="s">
        <v>387</v>
      </c>
      <c r="F25" s="10">
        <v>0.13800000000000001</v>
      </c>
      <c r="G25" s="10">
        <v>0.30199999999999999</v>
      </c>
      <c r="H25" s="10">
        <v>0.215</v>
      </c>
      <c r="I25" s="10">
        <v>0.34399999999999997</v>
      </c>
      <c r="J25" s="10">
        <v>2.1800000000000002</v>
      </c>
      <c r="K25" s="10">
        <v>0.92</v>
      </c>
      <c r="L25" s="10">
        <v>0</v>
      </c>
      <c r="M25" s="10">
        <v>40</v>
      </c>
      <c r="N25" s="10">
        <v>1075.05</v>
      </c>
      <c r="O25" s="10">
        <v>1.75</v>
      </c>
      <c r="P25" s="10">
        <v>1.27</v>
      </c>
      <c r="Q25" s="10">
        <v>0</v>
      </c>
      <c r="R25" s="10">
        <v>2.75</v>
      </c>
      <c r="S25" s="10">
        <v>4.4500000000000003E-4</v>
      </c>
      <c r="T25" s="10" t="s">
        <v>36</v>
      </c>
      <c r="U25" s="10" t="s">
        <v>388</v>
      </c>
      <c r="V25" s="10" t="s">
        <v>38</v>
      </c>
      <c r="W25" s="10">
        <v>3</v>
      </c>
      <c r="X25" s="10">
        <v>1</v>
      </c>
      <c r="Y25" s="10">
        <v>1</v>
      </c>
      <c r="Z25" s="10" t="s">
        <v>33</v>
      </c>
      <c r="AA25" s="10">
        <v>9.6000000000000002E-2</v>
      </c>
      <c r="AB25" s="10" t="s">
        <v>34</v>
      </c>
      <c r="AC25" s="10" t="s">
        <v>390</v>
      </c>
      <c r="AD25" s="10" t="s">
        <v>277</v>
      </c>
      <c r="AE25" s="10">
        <v>0.96779999999999999</v>
      </c>
      <c r="AF25" s="10" t="s">
        <v>342</v>
      </c>
      <c r="AG25" s="10">
        <v>2017</v>
      </c>
      <c r="AH25" s="10" t="s">
        <v>389</v>
      </c>
      <c r="AI25" s="2">
        <v>40</v>
      </c>
      <c r="AJ25" s="2">
        <v>2</v>
      </c>
      <c r="AK25" s="2">
        <v>1.25</v>
      </c>
      <c r="AL25" s="2" t="s">
        <v>441</v>
      </c>
      <c r="AP25" s="9" t="s">
        <v>23</v>
      </c>
      <c r="AQ25" s="100" t="s">
        <v>177</v>
      </c>
      <c r="AR25" s="101" t="s">
        <v>33</v>
      </c>
    </row>
    <row r="26" spans="1:44" s="2" customFormat="1" ht="31.8" thickBot="1" x14ac:dyDescent="0.35">
      <c r="A26" s="17">
        <v>32.740284568562458</v>
      </c>
      <c r="B26" s="17">
        <v>2458.96946564885</v>
      </c>
      <c r="C26" s="14" t="s">
        <v>33</v>
      </c>
      <c r="D26" s="14" t="s">
        <v>386</v>
      </c>
      <c r="E26" s="14" t="s">
        <v>387</v>
      </c>
      <c r="F26" s="14">
        <v>0.13800000000000001</v>
      </c>
      <c r="G26" s="14">
        <v>0.30199999999999999</v>
      </c>
      <c r="H26" s="14">
        <v>0.215</v>
      </c>
      <c r="I26" s="14">
        <v>0.34399999999999997</v>
      </c>
      <c r="J26" s="14">
        <v>2.1800000000000002</v>
      </c>
      <c r="K26" s="14">
        <v>0.92</v>
      </c>
      <c r="L26" s="14">
        <v>0</v>
      </c>
      <c r="M26" s="14">
        <v>40</v>
      </c>
      <c r="N26" s="14">
        <v>1075.05</v>
      </c>
      <c r="O26" s="14">
        <v>1.75</v>
      </c>
      <c r="P26" s="14">
        <v>1.27</v>
      </c>
      <c r="Q26" s="14">
        <v>0</v>
      </c>
      <c r="R26" s="14">
        <v>2.75</v>
      </c>
      <c r="S26" s="14">
        <v>4.4500000000000003E-4</v>
      </c>
      <c r="T26" s="14" t="s">
        <v>36</v>
      </c>
      <c r="U26" s="14" t="s">
        <v>388</v>
      </c>
      <c r="V26" s="14" t="s">
        <v>38</v>
      </c>
      <c r="W26" s="14">
        <v>3</v>
      </c>
      <c r="X26" s="14">
        <v>1</v>
      </c>
      <c r="Y26" s="14">
        <v>1</v>
      </c>
      <c r="Z26" s="14" t="s">
        <v>33</v>
      </c>
      <c r="AA26" s="14">
        <v>9.6000000000000002E-2</v>
      </c>
      <c r="AB26" s="14" t="s">
        <v>34</v>
      </c>
      <c r="AC26" s="14" t="s">
        <v>390</v>
      </c>
      <c r="AD26" s="14" t="s">
        <v>277</v>
      </c>
      <c r="AE26" s="14">
        <v>0.96779999999999999</v>
      </c>
      <c r="AF26" s="14" t="s">
        <v>342</v>
      </c>
      <c r="AG26" s="14">
        <v>2017</v>
      </c>
      <c r="AH26" s="14" t="s">
        <v>389</v>
      </c>
      <c r="AI26" s="15">
        <v>40</v>
      </c>
      <c r="AJ26" s="15">
        <v>2</v>
      </c>
      <c r="AK26" s="15">
        <v>1.25</v>
      </c>
      <c r="AL26" s="2" t="s">
        <v>441</v>
      </c>
      <c r="AP26" s="5" t="s">
        <v>415</v>
      </c>
      <c r="AQ26" s="13" t="s">
        <v>34</v>
      </c>
      <c r="AR26" s="66">
        <v>9.6000000000000002E-2</v>
      </c>
    </row>
    <row r="27" spans="1:44" ht="16.2" thickBot="1" x14ac:dyDescent="0.35">
      <c r="AP27" s="5" t="s">
        <v>52</v>
      </c>
      <c r="AQ27" s="13" t="s">
        <v>34</v>
      </c>
      <c r="AR27" s="66" t="s">
        <v>34</v>
      </c>
    </row>
    <row r="28" spans="1:44" ht="16.2" thickBot="1" x14ac:dyDescent="0.35">
      <c r="AP28" s="5" t="s">
        <v>26</v>
      </c>
      <c r="AQ28" s="13" t="s">
        <v>40</v>
      </c>
      <c r="AR28" s="66" t="s">
        <v>40</v>
      </c>
    </row>
    <row r="29" spans="1:44" ht="16.2" thickBot="1" x14ac:dyDescent="0.35">
      <c r="AP29" s="8" t="s">
        <v>31</v>
      </c>
      <c r="AQ29" s="13" t="s">
        <v>32</v>
      </c>
      <c r="AR29" s="66" t="s">
        <v>277</v>
      </c>
    </row>
    <row r="30" spans="1:44" ht="16.2" thickBot="1" x14ac:dyDescent="0.35">
      <c r="AP30" s="8" t="s">
        <v>25</v>
      </c>
      <c r="AQ30" s="13">
        <v>6.9900000000000004E-2</v>
      </c>
      <c r="AR30" s="66">
        <v>0.96779999999999999</v>
      </c>
    </row>
    <row r="31" spans="1:44" ht="15.6" x14ac:dyDescent="0.3">
      <c r="AP31" s="9" t="s">
        <v>27</v>
      </c>
      <c r="AQ31" s="13" t="s">
        <v>178</v>
      </c>
      <c r="AR31" s="66" t="s">
        <v>342</v>
      </c>
    </row>
    <row r="32" spans="1:44" ht="16.2" thickBot="1" x14ac:dyDescent="0.35">
      <c r="AP32" s="9" t="s">
        <v>28</v>
      </c>
      <c r="AQ32" s="13">
        <v>2018</v>
      </c>
      <c r="AR32" s="13">
        <v>2017</v>
      </c>
    </row>
    <row r="33" spans="42:44" ht="16.2" thickBot="1" x14ac:dyDescent="0.35">
      <c r="AP33" s="9" t="s">
        <v>29</v>
      </c>
      <c r="AQ33" s="13" t="s">
        <v>179</v>
      </c>
      <c r="AR33" s="66" t="s">
        <v>389</v>
      </c>
    </row>
    <row r="34" spans="42:44" ht="16.2" thickBot="1" x14ac:dyDescent="0.35">
      <c r="AP34" s="58" t="s">
        <v>376</v>
      </c>
      <c r="AQ34" s="2">
        <v>25</v>
      </c>
      <c r="AR34" s="67">
        <v>40</v>
      </c>
    </row>
    <row r="35" spans="42:44" ht="31.8" thickBot="1" x14ac:dyDescent="0.35">
      <c r="AP35" s="58" t="s">
        <v>377</v>
      </c>
      <c r="AQ35" s="2">
        <v>2</v>
      </c>
      <c r="AR35" s="67">
        <v>2</v>
      </c>
    </row>
    <row r="36" spans="42:44" ht="15.6" x14ac:dyDescent="0.3">
      <c r="AP36" s="102" t="s">
        <v>378</v>
      </c>
      <c r="AQ36" s="103" t="s">
        <v>34</v>
      </c>
      <c r="AR36" s="104">
        <v>1.25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B2F2E-AFDE-4BB2-BE79-2859D59A03B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Charts</vt:lpstr>
      </vt:variant>
      <vt:variant>
        <vt:i4>1</vt:i4>
      </vt:variant>
    </vt:vector>
  </HeadingPairs>
  <TitlesOfParts>
    <vt:vector size="19" baseType="lpstr">
      <vt:lpstr>UCS</vt:lpstr>
      <vt:lpstr>NFMD_compared</vt:lpstr>
      <vt:lpstr>UCS_distribution</vt:lpstr>
      <vt:lpstr>Sheet7</vt:lpstr>
      <vt:lpstr>Treatment_method_vs_RD</vt:lpstr>
      <vt:lpstr>Almajed_vs_Cui</vt:lpstr>
      <vt:lpstr>van Passen vs Cui</vt:lpstr>
      <vt:lpstr>Beser_vs_Hui</vt:lpstr>
      <vt:lpstr>Permeability_Comparison</vt:lpstr>
      <vt:lpstr>Permeability</vt:lpstr>
      <vt:lpstr>Triaxial</vt:lpstr>
      <vt:lpstr>Sheet1</vt:lpstr>
      <vt:lpstr>Notes</vt:lpstr>
      <vt:lpstr>Sheet2</vt:lpstr>
      <vt:lpstr>Sheet3</vt:lpstr>
      <vt:lpstr>Sheet4</vt:lpstr>
      <vt:lpstr>Beser_vs_Liu_2017</vt:lpstr>
      <vt:lpstr>Sheet5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pokharel</dc:creator>
  <cp:lastModifiedBy>santosh pokharel</cp:lastModifiedBy>
  <dcterms:created xsi:type="dcterms:W3CDTF">2015-06-05T18:17:20Z</dcterms:created>
  <dcterms:modified xsi:type="dcterms:W3CDTF">2025-11-11T04:31:13Z</dcterms:modified>
</cp:coreProperties>
</file>